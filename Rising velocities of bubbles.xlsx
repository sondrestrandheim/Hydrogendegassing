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/>
  <mc:AlternateContent xmlns:mc="http://schemas.openxmlformats.org/markup-compatibility/2006">
    <mc:Choice Requires="x15">
      <x15ac:absPath xmlns:x15ac="http://schemas.microsoft.com/office/spreadsheetml/2010/11/ac" url="https://nhy-my.sharepoint.com/personal/arild_hakonsen_hydro_com/Documents/Backup/Hydrogen de-gassing/"/>
    </mc:Choice>
  </mc:AlternateContent>
  <xr:revisionPtr revIDLastSave="0" documentId="8_{FF7F619B-1910-476E-B987-008D65B29251}" xr6:coauthVersionLast="47" xr6:coauthVersionMax="47" xr10:uidLastSave="{00000000-0000-0000-0000-000000000000}"/>
  <bookViews>
    <workbookView xWindow="-120" yWindow="-120" windowWidth="38640" windowHeight="21120" xr2:uid="{46DBAF2E-396D-4FDA-A7CD-456E3478F784}"/>
  </bookViews>
  <sheets>
    <sheet name="Numeric model" sheetId="3" r:id="rId1"/>
    <sheet name="De-gassing" sheetId="2" r:id="rId2"/>
    <sheet name="Rising velocity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3" l="1"/>
  <c r="AA13" i="2"/>
  <c r="G12" i="3"/>
  <c r="I2" i="3"/>
  <c r="C12" i="3"/>
  <c r="JI32" i="3"/>
  <c r="IU32" i="3"/>
  <c r="IG32" i="3"/>
  <c r="HS32" i="3"/>
  <c r="HE32" i="3"/>
  <c r="AN40" i="2"/>
  <c r="F5" i="3"/>
  <c r="F3" i="3"/>
  <c r="G10" i="3"/>
  <c r="J34" i="3" s="1"/>
  <c r="O34" i="3" s="1"/>
  <c r="N3" i="3"/>
  <c r="GQ32" i="3"/>
  <c r="GC32" i="3"/>
  <c r="FO32" i="3"/>
  <c r="FA32" i="3"/>
  <c r="EM32" i="3"/>
  <c r="DY32" i="3"/>
  <c r="DK32" i="3"/>
  <c r="CW32" i="3"/>
  <c r="CI32" i="3"/>
  <c r="BU32" i="3"/>
  <c r="BG32" i="3"/>
  <c r="AS32" i="3"/>
  <c r="AE32" i="3"/>
  <c r="Q32" i="3"/>
  <c r="C28" i="3"/>
  <c r="C27" i="3"/>
  <c r="G19" i="3"/>
  <c r="G20" i="3" s="1"/>
  <c r="C13" i="3"/>
  <c r="C11" i="3"/>
  <c r="C10" i="3"/>
  <c r="S23" i="2"/>
  <c r="U3" i="2"/>
  <c r="G23" i="2"/>
  <c r="J34" i="2"/>
  <c r="O34" i="2" s="1"/>
  <c r="D37" i="2"/>
  <c r="G12" i="2"/>
  <c r="A4" i="2"/>
  <c r="G10" i="2"/>
  <c r="X35" i="2" s="1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C28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40" i="2"/>
  <c r="G24" i="2"/>
  <c r="A6" i="2"/>
  <c r="A7" i="2" s="1"/>
  <c r="AA21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3" i="2"/>
  <c r="C27" i="2"/>
  <c r="G19" i="2" s="1"/>
  <c r="G20" i="2" s="1"/>
  <c r="C12" i="2"/>
  <c r="C13" i="2"/>
  <c r="M5" i="2" s="1"/>
  <c r="C10" i="2"/>
  <c r="F3" i="2"/>
  <c r="F5" i="2"/>
  <c r="C11" i="2"/>
  <c r="I13" i="1"/>
  <c r="J13" i="1"/>
  <c r="I22" i="1"/>
  <c r="J22" i="1"/>
  <c r="I23" i="1"/>
  <c r="J24" i="1"/>
  <c r="I29" i="1"/>
  <c r="J33" i="1"/>
  <c r="I44" i="1"/>
  <c r="J44" i="1"/>
  <c r="I45" i="1"/>
  <c r="I46" i="1"/>
  <c r="J46" i="1"/>
  <c r="I49" i="1"/>
  <c r="J49" i="1"/>
  <c r="J54" i="1"/>
  <c r="I55" i="1"/>
  <c r="I67" i="1"/>
  <c r="J67" i="1"/>
  <c r="I68" i="1"/>
  <c r="J68" i="1"/>
  <c r="I71" i="1"/>
  <c r="J71" i="1"/>
  <c r="I73" i="1"/>
  <c r="J76" i="1"/>
  <c r="I77" i="1"/>
  <c r="J77" i="1"/>
  <c r="I93" i="1"/>
  <c r="J93" i="1"/>
  <c r="I95" i="1"/>
  <c r="J98" i="1"/>
  <c r="I99" i="1"/>
  <c r="J99" i="1"/>
  <c r="I110" i="1"/>
  <c r="J111" i="1"/>
  <c r="H33" i="1"/>
  <c r="H44" i="1"/>
  <c r="H48" i="1"/>
  <c r="H49" i="1"/>
  <c r="H52" i="1"/>
  <c r="H53" i="1"/>
  <c r="H55" i="1"/>
  <c r="H77" i="1"/>
  <c r="H88" i="1"/>
  <c r="H92" i="1"/>
  <c r="H93" i="1"/>
  <c r="H96" i="1"/>
  <c r="H97" i="1"/>
  <c r="H99" i="1"/>
  <c r="H13" i="1"/>
  <c r="B14" i="1"/>
  <c r="D14" i="1" s="1"/>
  <c r="F112" i="1"/>
  <c r="H112" i="1" s="1"/>
  <c r="F111" i="1"/>
  <c r="I111" i="1" s="1"/>
  <c r="F110" i="1"/>
  <c r="J110" i="1" s="1"/>
  <c r="F109" i="1"/>
  <c r="H109" i="1" s="1"/>
  <c r="F108" i="1"/>
  <c r="H108" i="1" s="1"/>
  <c r="F107" i="1"/>
  <c r="H107" i="1" s="1"/>
  <c r="F106" i="1"/>
  <c r="H106" i="1" s="1"/>
  <c r="F105" i="1"/>
  <c r="I105" i="1" s="1"/>
  <c r="F104" i="1"/>
  <c r="I104" i="1" s="1"/>
  <c r="F103" i="1"/>
  <c r="H103" i="1" s="1"/>
  <c r="F102" i="1"/>
  <c r="I102" i="1" s="1"/>
  <c r="F101" i="1"/>
  <c r="H101" i="1" s="1"/>
  <c r="F100" i="1"/>
  <c r="I100" i="1" s="1"/>
  <c r="F99" i="1"/>
  <c r="F98" i="1"/>
  <c r="I98" i="1" s="1"/>
  <c r="F97" i="1"/>
  <c r="I97" i="1" s="1"/>
  <c r="F96" i="1"/>
  <c r="I96" i="1" s="1"/>
  <c r="F95" i="1"/>
  <c r="J95" i="1" s="1"/>
  <c r="F94" i="1"/>
  <c r="I94" i="1" s="1"/>
  <c r="F93" i="1"/>
  <c r="F92" i="1"/>
  <c r="J92" i="1" s="1"/>
  <c r="F91" i="1"/>
  <c r="I91" i="1" s="1"/>
  <c r="F90" i="1"/>
  <c r="H90" i="1" s="1"/>
  <c r="F89" i="1"/>
  <c r="H89" i="1" s="1"/>
  <c r="F88" i="1"/>
  <c r="I88" i="1" s="1"/>
  <c r="F87" i="1"/>
  <c r="H87" i="1" s="1"/>
  <c r="F86" i="1"/>
  <c r="H86" i="1" s="1"/>
  <c r="F85" i="1"/>
  <c r="H85" i="1" s="1"/>
  <c r="F84" i="1"/>
  <c r="H84" i="1" s="1"/>
  <c r="F83" i="1"/>
  <c r="I83" i="1" s="1"/>
  <c r="F82" i="1"/>
  <c r="I82" i="1" s="1"/>
  <c r="F81" i="1"/>
  <c r="H81" i="1" s="1"/>
  <c r="F80" i="1"/>
  <c r="I80" i="1" s="1"/>
  <c r="F79" i="1"/>
  <c r="I79" i="1" s="1"/>
  <c r="F78" i="1"/>
  <c r="I78" i="1" s="1"/>
  <c r="F77" i="1"/>
  <c r="F76" i="1"/>
  <c r="I76" i="1" s="1"/>
  <c r="F75" i="1"/>
  <c r="I75" i="1" s="1"/>
  <c r="F74" i="1"/>
  <c r="J74" i="1" s="1"/>
  <c r="F73" i="1"/>
  <c r="J73" i="1" s="1"/>
  <c r="F72" i="1"/>
  <c r="I72" i="1" s="1"/>
  <c r="F71" i="1"/>
  <c r="H71" i="1" s="1"/>
  <c r="F70" i="1"/>
  <c r="J70" i="1" s="1"/>
  <c r="F69" i="1"/>
  <c r="I69" i="1" s="1"/>
  <c r="F68" i="1"/>
  <c r="H68" i="1" s="1"/>
  <c r="F67" i="1"/>
  <c r="H67" i="1" s="1"/>
  <c r="F66" i="1"/>
  <c r="H66" i="1" s="1"/>
  <c r="F65" i="1"/>
  <c r="H65" i="1" s="1"/>
  <c r="F64" i="1"/>
  <c r="H64" i="1" s="1"/>
  <c r="F63" i="1"/>
  <c r="H63" i="1" s="1"/>
  <c r="F62" i="1"/>
  <c r="H62" i="1" s="1"/>
  <c r="F61" i="1"/>
  <c r="H61" i="1" s="1"/>
  <c r="F60" i="1"/>
  <c r="I60" i="1" s="1"/>
  <c r="F59" i="1"/>
  <c r="H59" i="1" s="1"/>
  <c r="F58" i="1"/>
  <c r="I58" i="1" s="1"/>
  <c r="F57" i="1"/>
  <c r="H57" i="1" s="1"/>
  <c r="F56" i="1"/>
  <c r="H56" i="1" s="1"/>
  <c r="F55" i="1"/>
  <c r="J55" i="1" s="1"/>
  <c r="F54" i="1"/>
  <c r="I54" i="1" s="1"/>
  <c r="F53" i="1"/>
  <c r="I53" i="1" s="1"/>
  <c r="F52" i="1"/>
  <c r="J52" i="1" s="1"/>
  <c r="F51" i="1"/>
  <c r="J51" i="1" s="1"/>
  <c r="F50" i="1"/>
  <c r="I50" i="1" s="1"/>
  <c r="F49" i="1"/>
  <c r="F48" i="1"/>
  <c r="J48" i="1" s="1"/>
  <c r="F47" i="1"/>
  <c r="I47" i="1" s="1"/>
  <c r="F46" i="1"/>
  <c r="H46" i="1" s="1"/>
  <c r="F45" i="1"/>
  <c r="J45" i="1" s="1"/>
  <c r="F44" i="1"/>
  <c r="F43" i="1"/>
  <c r="H43" i="1" s="1"/>
  <c r="F42" i="1"/>
  <c r="H42" i="1" s="1"/>
  <c r="F41" i="1"/>
  <c r="H41" i="1" s="1"/>
  <c r="F40" i="1"/>
  <c r="H40" i="1" s="1"/>
  <c r="F39" i="1"/>
  <c r="I39" i="1" s="1"/>
  <c r="F38" i="1"/>
  <c r="I38" i="1" s="1"/>
  <c r="F37" i="1"/>
  <c r="H37" i="1" s="1"/>
  <c r="F36" i="1"/>
  <c r="I36" i="1" s="1"/>
  <c r="F35" i="1"/>
  <c r="I35" i="1" s="1"/>
  <c r="F34" i="1"/>
  <c r="J34" i="1" s="1"/>
  <c r="F33" i="1"/>
  <c r="I33" i="1" s="1"/>
  <c r="F32" i="1"/>
  <c r="I32" i="1" s="1"/>
  <c r="F31" i="1"/>
  <c r="I31" i="1" s="1"/>
  <c r="F30" i="1"/>
  <c r="I30" i="1" s="1"/>
  <c r="F29" i="1"/>
  <c r="J29" i="1" s="1"/>
  <c r="F28" i="1"/>
  <c r="I28" i="1" s="1"/>
  <c r="F27" i="1"/>
  <c r="I27" i="1" s="1"/>
  <c r="F26" i="1"/>
  <c r="J26" i="1" s="1"/>
  <c r="F25" i="1"/>
  <c r="I25" i="1" s="1"/>
  <c r="F24" i="1"/>
  <c r="H24" i="1" s="1"/>
  <c r="F23" i="1"/>
  <c r="J23" i="1" s="1"/>
  <c r="F22" i="1"/>
  <c r="H22" i="1" s="1"/>
  <c r="F21" i="1"/>
  <c r="H21" i="1" s="1"/>
  <c r="F20" i="1"/>
  <c r="H20" i="1" s="1"/>
  <c r="F19" i="1"/>
  <c r="H19" i="1" s="1"/>
  <c r="F18" i="1"/>
  <c r="H18" i="1" s="1"/>
  <c r="F17" i="1"/>
  <c r="I17" i="1" s="1"/>
  <c r="F16" i="1"/>
  <c r="I16" i="1" s="1"/>
  <c r="F15" i="1"/>
  <c r="H15" i="1" s="1"/>
  <c r="F14" i="1"/>
  <c r="I14" i="1" s="1"/>
  <c r="F13" i="1"/>
  <c r="D21" i="1"/>
  <c r="D22" i="1"/>
  <c r="D23" i="1"/>
  <c r="D24" i="1"/>
  <c r="D25" i="1"/>
  <c r="D26" i="1"/>
  <c r="D27" i="1"/>
  <c r="D29" i="1"/>
  <c r="D30" i="1"/>
  <c r="D31" i="1"/>
  <c r="D43" i="1"/>
  <c r="D44" i="1"/>
  <c r="D45" i="1"/>
  <c r="D46" i="1"/>
  <c r="D47" i="1"/>
  <c r="D48" i="1"/>
  <c r="D49" i="1"/>
  <c r="D50" i="1"/>
  <c r="D51" i="1"/>
  <c r="D52" i="1"/>
  <c r="D53" i="1"/>
  <c r="D65" i="1"/>
  <c r="D66" i="1"/>
  <c r="D67" i="1"/>
  <c r="D68" i="1"/>
  <c r="D69" i="1"/>
  <c r="D70" i="1"/>
  <c r="D71" i="1"/>
  <c r="D72" i="1"/>
  <c r="D73" i="1"/>
  <c r="D74" i="1"/>
  <c r="D75" i="1"/>
  <c r="D87" i="1"/>
  <c r="D88" i="1"/>
  <c r="D89" i="1"/>
  <c r="D90" i="1"/>
  <c r="D91" i="1"/>
  <c r="D92" i="1"/>
  <c r="D93" i="1"/>
  <c r="D94" i="1"/>
  <c r="D95" i="1"/>
  <c r="D96" i="1"/>
  <c r="D97" i="1"/>
  <c r="D109" i="1"/>
  <c r="D110" i="1"/>
  <c r="D111" i="1"/>
  <c r="D112" i="1"/>
  <c r="D13" i="1"/>
  <c r="B15" i="1"/>
  <c r="D15" i="1" s="1"/>
  <c r="B16" i="1"/>
  <c r="D16" i="1" s="1"/>
  <c r="B17" i="1"/>
  <c r="D17" i="1" s="1"/>
  <c r="B18" i="1"/>
  <c r="D18" i="1" s="1"/>
  <c r="B19" i="1"/>
  <c r="D19" i="1" s="1"/>
  <c r="B20" i="1"/>
  <c r="D20" i="1" s="1"/>
  <c r="B21" i="1"/>
  <c r="B22" i="1"/>
  <c r="B23" i="1"/>
  <c r="B24" i="1"/>
  <c r="B25" i="1"/>
  <c r="B26" i="1"/>
  <c r="B27" i="1"/>
  <c r="B28" i="1"/>
  <c r="D28" i="1" s="1"/>
  <c r="B29" i="1"/>
  <c r="B30" i="1"/>
  <c r="B31" i="1"/>
  <c r="B32" i="1"/>
  <c r="D32" i="1" s="1"/>
  <c r="B33" i="1"/>
  <c r="D33" i="1" s="1"/>
  <c r="B34" i="1"/>
  <c r="D34" i="1" s="1"/>
  <c r="B35" i="1"/>
  <c r="D35" i="1" s="1"/>
  <c r="B36" i="1"/>
  <c r="D36" i="1" s="1"/>
  <c r="B37" i="1"/>
  <c r="D37" i="1" s="1"/>
  <c r="B38" i="1"/>
  <c r="D38" i="1" s="1"/>
  <c r="B39" i="1"/>
  <c r="D39" i="1" s="1"/>
  <c r="B40" i="1"/>
  <c r="D40" i="1" s="1"/>
  <c r="B41" i="1"/>
  <c r="D41" i="1" s="1"/>
  <c r="B42" i="1"/>
  <c r="D42" i="1" s="1"/>
  <c r="B43" i="1"/>
  <c r="B44" i="1"/>
  <c r="B45" i="1"/>
  <c r="B46" i="1"/>
  <c r="B47" i="1"/>
  <c r="B48" i="1"/>
  <c r="B49" i="1"/>
  <c r="B50" i="1"/>
  <c r="B51" i="1"/>
  <c r="B52" i="1"/>
  <c r="B53" i="1"/>
  <c r="B54" i="1"/>
  <c r="D54" i="1" s="1"/>
  <c r="B55" i="1"/>
  <c r="D55" i="1" s="1"/>
  <c r="B56" i="1"/>
  <c r="D56" i="1" s="1"/>
  <c r="B57" i="1"/>
  <c r="D57" i="1" s="1"/>
  <c r="B58" i="1"/>
  <c r="D58" i="1" s="1"/>
  <c r="B59" i="1"/>
  <c r="D59" i="1" s="1"/>
  <c r="B60" i="1"/>
  <c r="D60" i="1" s="1"/>
  <c r="B61" i="1"/>
  <c r="D61" i="1" s="1"/>
  <c r="B62" i="1"/>
  <c r="D62" i="1" s="1"/>
  <c r="B63" i="1"/>
  <c r="D63" i="1" s="1"/>
  <c r="B64" i="1"/>
  <c r="D64" i="1" s="1"/>
  <c r="B65" i="1"/>
  <c r="B66" i="1"/>
  <c r="B67" i="1"/>
  <c r="B68" i="1"/>
  <c r="B69" i="1"/>
  <c r="B70" i="1"/>
  <c r="B71" i="1"/>
  <c r="B72" i="1"/>
  <c r="B73" i="1"/>
  <c r="B74" i="1"/>
  <c r="B75" i="1"/>
  <c r="B76" i="1"/>
  <c r="D76" i="1" s="1"/>
  <c r="B77" i="1"/>
  <c r="D77" i="1" s="1"/>
  <c r="B78" i="1"/>
  <c r="D78" i="1" s="1"/>
  <c r="B79" i="1"/>
  <c r="D79" i="1" s="1"/>
  <c r="B80" i="1"/>
  <c r="D80" i="1" s="1"/>
  <c r="B81" i="1"/>
  <c r="D81" i="1" s="1"/>
  <c r="B82" i="1"/>
  <c r="D82" i="1" s="1"/>
  <c r="B83" i="1"/>
  <c r="D83" i="1" s="1"/>
  <c r="B84" i="1"/>
  <c r="D84" i="1" s="1"/>
  <c r="B85" i="1"/>
  <c r="D85" i="1" s="1"/>
  <c r="B86" i="1"/>
  <c r="D86" i="1" s="1"/>
  <c r="B87" i="1"/>
  <c r="B88" i="1"/>
  <c r="B89" i="1"/>
  <c r="B90" i="1"/>
  <c r="B91" i="1"/>
  <c r="B92" i="1"/>
  <c r="B93" i="1"/>
  <c r="B94" i="1"/>
  <c r="B95" i="1"/>
  <c r="B96" i="1"/>
  <c r="B97" i="1"/>
  <c r="B98" i="1"/>
  <c r="D98" i="1" s="1"/>
  <c r="B99" i="1"/>
  <c r="D99" i="1" s="1"/>
  <c r="B100" i="1"/>
  <c r="D100" i="1" s="1"/>
  <c r="B101" i="1"/>
  <c r="D101" i="1" s="1"/>
  <c r="B102" i="1"/>
  <c r="D102" i="1" s="1"/>
  <c r="B103" i="1"/>
  <c r="D103" i="1" s="1"/>
  <c r="B104" i="1"/>
  <c r="D104" i="1" s="1"/>
  <c r="B105" i="1"/>
  <c r="D105" i="1" s="1"/>
  <c r="B106" i="1"/>
  <c r="D106" i="1" s="1"/>
  <c r="B107" i="1"/>
  <c r="D107" i="1" s="1"/>
  <c r="B108" i="1"/>
  <c r="D108" i="1" s="1"/>
  <c r="B109" i="1"/>
  <c r="B110" i="1"/>
  <c r="B111" i="1"/>
  <c r="B112" i="1"/>
  <c r="B13" i="1"/>
  <c r="Y2" i="3" l="1"/>
  <c r="G24" i="3"/>
  <c r="G13" i="3"/>
  <c r="G14" i="3" s="1"/>
  <c r="G15" i="3"/>
  <c r="G27" i="3"/>
  <c r="G28" i="3"/>
  <c r="C14" i="3"/>
  <c r="G23" i="3"/>
  <c r="E36" i="2"/>
  <c r="H36" i="2" s="1"/>
  <c r="G27" i="2"/>
  <c r="F36" i="2" s="1"/>
  <c r="I36" i="2" s="1"/>
  <c r="L5" i="2"/>
  <c r="G13" i="2"/>
  <c r="AF51" i="2"/>
  <c r="G15" i="2"/>
  <c r="G16" i="2" s="1"/>
  <c r="G17" i="2" s="1"/>
  <c r="AF46" i="2"/>
  <c r="AF45" i="2"/>
  <c r="AF44" i="2"/>
  <c r="AF43" i="2"/>
  <c r="AF50" i="2"/>
  <c r="AF49" i="2"/>
  <c r="AF48" i="2"/>
  <c r="AF47" i="2"/>
  <c r="AF40" i="2"/>
  <c r="AF42" i="2"/>
  <c r="AF41" i="2"/>
  <c r="M3" i="2"/>
  <c r="G28" i="2"/>
  <c r="AF52" i="2"/>
  <c r="L14" i="2"/>
  <c r="L6" i="2"/>
  <c r="L7" i="2"/>
  <c r="L4" i="2"/>
  <c r="L3" i="2"/>
  <c r="L21" i="2"/>
  <c r="L20" i="2"/>
  <c r="L19" i="2"/>
  <c r="L22" i="2"/>
  <c r="L18" i="2"/>
  <c r="L17" i="2"/>
  <c r="L16" i="2"/>
  <c r="L15" i="2"/>
  <c r="L12" i="2"/>
  <c r="L13" i="2"/>
  <c r="L11" i="2"/>
  <c r="L10" i="2"/>
  <c r="L9" i="2"/>
  <c r="L8" i="2"/>
  <c r="AA14" i="2"/>
  <c r="AA15" i="2"/>
  <c r="AA22" i="2" s="1"/>
  <c r="M4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H35" i="1"/>
  <c r="H78" i="1"/>
  <c r="J35" i="1"/>
  <c r="H32" i="1"/>
  <c r="H75" i="1"/>
  <c r="H31" i="1"/>
  <c r="J66" i="1"/>
  <c r="I34" i="1"/>
  <c r="H74" i="1"/>
  <c r="H30" i="1"/>
  <c r="J90" i="1"/>
  <c r="I66" i="1"/>
  <c r="H27" i="1"/>
  <c r="I90" i="1"/>
  <c r="J57" i="1"/>
  <c r="I101" i="1"/>
  <c r="H34" i="1"/>
  <c r="J101" i="1"/>
  <c r="H80" i="1"/>
  <c r="J97" i="1"/>
  <c r="H26" i="1"/>
  <c r="J32" i="1"/>
  <c r="H111" i="1"/>
  <c r="H23" i="1"/>
  <c r="I89" i="1"/>
  <c r="J56" i="1"/>
  <c r="J31" i="1"/>
  <c r="H110" i="1"/>
  <c r="J88" i="1"/>
  <c r="I56" i="1"/>
  <c r="H102" i="1"/>
  <c r="H58" i="1"/>
  <c r="J112" i="1"/>
  <c r="J27" i="1"/>
  <c r="H36" i="1"/>
  <c r="H79" i="1"/>
  <c r="H76" i="1"/>
  <c r="H70" i="1"/>
  <c r="J89" i="1"/>
  <c r="I57" i="1"/>
  <c r="I112" i="1"/>
  <c r="J79" i="1"/>
  <c r="H100" i="1"/>
  <c r="J78" i="1"/>
  <c r="J53" i="1"/>
  <c r="I24" i="1"/>
  <c r="H98" i="1"/>
  <c r="H54" i="1"/>
  <c r="I51" i="1"/>
  <c r="J100" i="1"/>
  <c r="J75" i="1"/>
  <c r="H45" i="1"/>
  <c r="J21" i="1"/>
  <c r="H95" i="1"/>
  <c r="H73" i="1"/>
  <c r="H51" i="1"/>
  <c r="H29" i="1"/>
  <c r="I109" i="1"/>
  <c r="I87" i="1"/>
  <c r="I65" i="1"/>
  <c r="I43" i="1"/>
  <c r="I21" i="1"/>
  <c r="J109" i="1"/>
  <c r="J87" i="1"/>
  <c r="J65" i="1"/>
  <c r="H72" i="1"/>
  <c r="J20" i="1"/>
  <c r="I86" i="1"/>
  <c r="I64" i="1"/>
  <c r="I42" i="1"/>
  <c r="I20" i="1"/>
  <c r="J96" i="1"/>
  <c r="J63" i="1"/>
  <c r="J30" i="1"/>
  <c r="H91" i="1"/>
  <c r="H69" i="1"/>
  <c r="H47" i="1"/>
  <c r="H25" i="1"/>
  <c r="I85" i="1"/>
  <c r="I74" i="1"/>
  <c r="I63" i="1"/>
  <c r="I52" i="1"/>
  <c r="I41" i="1"/>
  <c r="I19" i="1"/>
  <c r="J43" i="1"/>
  <c r="H94" i="1"/>
  <c r="H50" i="1"/>
  <c r="H28" i="1"/>
  <c r="J108" i="1"/>
  <c r="J86" i="1"/>
  <c r="J64" i="1"/>
  <c r="J42" i="1"/>
  <c r="I108" i="1"/>
  <c r="J107" i="1"/>
  <c r="J85" i="1"/>
  <c r="J41" i="1"/>
  <c r="J19" i="1"/>
  <c r="I107" i="1"/>
  <c r="J106" i="1"/>
  <c r="J84" i="1"/>
  <c r="J62" i="1"/>
  <c r="J40" i="1"/>
  <c r="J18" i="1"/>
  <c r="I106" i="1"/>
  <c r="I84" i="1"/>
  <c r="I62" i="1"/>
  <c r="I40" i="1"/>
  <c r="I18" i="1"/>
  <c r="J105" i="1"/>
  <c r="J83" i="1"/>
  <c r="J72" i="1"/>
  <c r="J61" i="1"/>
  <c r="J50" i="1"/>
  <c r="J39" i="1"/>
  <c r="J28" i="1"/>
  <c r="J104" i="1"/>
  <c r="J60" i="1"/>
  <c r="J38" i="1"/>
  <c r="J16" i="1"/>
  <c r="H105" i="1"/>
  <c r="H83" i="1"/>
  <c r="H39" i="1"/>
  <c r="H17" i="1"/>
  <c r="I92" i="1"/>
  <c r="I81" i="1"/>
  <c r="I70" i="1"/>
  <c r="I48" i="1"/>
  <c r="I37" i="1"/>
  <c r="I26" i="1"/>
  <c r="H104" i="1"/>
  <c r="H82" i="1"/>
  <c r="H60" i="1"/>
  <c r="H38" i="1"/>
  <c r="H16" i="1"/>
  <c r="J102" i="1"/>
  <c r="J91" i="1"/>
  <c r="J80" i="1"/>
  <c r="J69" i="1"/>
  <c r="J58" i="1"/>
  <c r="J47" i="1"/>
  <c r="J36" i="1"/>
  <c r="J25" i="1"/>
  <c r="J94" i="1"/>
  <c r="J17" i="1"/>
  <c r="I61" i="1"/>
  <c r="J82" i="1"/>
  <c r="J103" i="1"/>
  <c r="J81" i="1"/>
  <c r="J59" i="1"/>
  <c r="J37" i="1"/>
  <c r="J15" i="1"/>
  <c r="I103" i="1"/>
  <c r="I59" i="1"/>
  <c r="I15" i="1"/>
  <c r="J14" i="1"/>
  <c r="H14" i="1"/>
  <c r="G25" i="3" l="1"/>
  <c r="G18" i="3"/>
  <c r="C112" i="3" s="1"/>
  <c r="D112" i="3" s="1"/>
  <c r="G29" i="3"/>
  <c r="G14" i="2"/>
  <c r="G29" i="2"/>
  <c r="AJ40" i="2"/>
  <c r="G25" i="2"/>
  <c r="G18" i="2"/>
  <c r="C14" i="2"/>
  <c r="AA23" i="2"/>
  <c r="AA24" i="2" s="1"/>
  <c r="AA25" i="2" s="1"/>
  <c r="AA26" i="2" s="1"/>
  <c r="AA27" i="2" s="1"/>
  <c r="AA28" i="2" s="1"/>
  <c r="AA29" i="2" s="1"/>
  <c r="AA30" i="2" s="1"/>
  <c r="AA31" i="2" s="1"/>
  <c r="C100" i="3" l="1"/>
  <c r="D100" i="3" s="1"/>
  <c r="C115" i="3"/>
  <c r="D115" i="3" s="1"/>
  <c r="C104" i="3"/>
  <c r="D104" i="3" s="1"/>
  <c r="E104" i="3" s="1"/>
  <c r="F104" i="3" s="1"/>
  <c r="G104" i="3" s="1"/>
  <c r="C121" i="3"/>
  <c r="D121" i="3" s="1"/>
  <c r="R121" i="3" s="1"/>
  <c r="C70" i="3"/>
  <c r="D70" i="3" s="1"/>
  <c r="R70" i="3" s="1"/>
  <c r="C86" i="3"/>
  <c r="D86" i="3" s="1"/>
  <c r="R86" i="3" s="1"/>
  <c r="C48" i="3"/>
  <c r="D48" i="3" s="1"/>
  <c r="E48" i="3" s="1"/>
  <c r="H48" i="3" s="1"/>
  <c r="C42" i="3"/>
  <c r="D42" i="3" s="1"/>
  <c r="E42" i="3" s="1"/>
  <c r="C51" i="3"/>
  <c r="D51" i="3" s="1"/>
  <c r="E51" i="3" s="1"/>
  <c r="C38" i="3"/>
  <c r="D38" i="3" s="1"/>
  <c r="E38" i="3" s="1"/>
  <c r="C65" i="3"/>
  <c r="D65" i="3" s="1"/>
  <c r="E65" i="3" s="1"/>
  <c r="F65" i="3" s="1"/>
  <c r="G65" i="3" s="1"/>
  <c r="C55" i="3"/>
  <c r="D55" i="3" s="1"/>
  <c r="E55" i="3" s="1"/>
  <c r="H55" i="3" s="1"/>
  <c r="C46" i="3"/>
  <c r="D46" i="3" s="1"/>
  <c r="E46" i="3" s="1"/>
  <c r="H46" i="3" s="1"/>
  <c r="C97" i="3"/>
  <c r="D97" i="3" s="1"/>
  <c r="E97" i="3" s="1"/>
  <c r="H97" i="3" s="1"/>
  <c r="C60" i="3"/>
  <c r="D60" i="3" s="1"/>
  <c r="R60" i="3" s="1"/>
  <c r="C90" i="3"/>
  <c r="D90" i="3" s="1"/>
  <c r="E90" i="3" s="1"/>
  <c r="C119" i="3"/>
  <c r="D119" i="3" s="1"/>
  <c r="R119" i="3" s="1"/>
  <c r="C131" i="3"/>
  <c r="D131" i="3" s="1"/>
  <c r="E131" i="3" s="1"/>
  <c r="H131" i="3" s="1"/>
  <c r="C45" i="3"/>
  <c r="D45" i="3" s="1"/>
  <c r="R45" i="3" s="1"/>
  <c r="C108" i="3"/>
  <c r="D108" i="3" s="1"/>
  <c r="E108" i="3" s="1"/>
  <c r="F108" i="3" s="1"/>
  <c r="G108" i="3" s="1"/>
  <c r="C84" i="3"/>
  <c r="D84" i="3" s="1"/>
  <c r="E84" i="3" s="1"/>
  <c r="C91" i="3"/>
  <c r="D91" i="3" s="1"/>
  <c r="E91" i="3" s="1"/>
  <c r="H91" i="3" s="1"/>
  <c r="C34" i="3"/>
  <c r="D34" i="3" s="1"/>
  <c r="E34" i="3" s="1"/>
  <c r="H34" i="3" s="1"/>
  <c r="C49" i="3"/>
  <c r="D49" i="3" s="1"/>
  <c r="R49" i="3" s="1"/>
  <c r="C44" i="3"/>
  <c r="D44" i="3" s="1"/>
  <c r="E44" i="3" s="1"/>
  <c r="F44" i="3" s="1"/>
  <c r="G44" i="3" s="1"/>
  <c r="C56" i="3"/>
  <c r="D56" i="3" s="1"/>
  <c r="R56" i="3" s="1"/>
  <c r="C102" i="3"/>
  <c r="D102" i="3" s="1"/>
  <c r="E102" i="3" s="1"/>
  <c r="H102" i="3" s="1"/>
  <c r="C41" i="3"/>
  <c r="D41" i="3" s="1"/>
  <c r="E41" i="3" s="1"/>
  <c r="C52" i="3"/>
  <c r="D52" i="3" s="1"/>
  <c r="E52" i="3" s="1"/>
  <c r="C98" i="3"/>
  <c r="D98" i="3" s="1"/>
  <c r="R98" i="3" s="1"/>
  <c r="C130" i="3"/>
  <c r="D130" i="3" s="1"/>
  <c r="E130" i="3" s="1"/>
  <c r="C110" i="3"/>
  <c r="D110" i="3" s="1"/>
  <c r="R110" i="3" s="1"/>
  <c r="C105" i="3"/>
  <c r="D105" i="3" s="1"/>
  <c r="R105" i="3" s="1"/>
  <c r="C109" i="3"/>
  <c r="D109" i="3" s="1"/>
  <c r="E109" i="3" s="1"/>
  <c r="F109" i="3" s="1"/>
  <c r="G109" i="3" s="1"/>
  <c r="C43" i="3"/>
  <c r="D43" i="3" s="1"/>
  <c r="E43" i="3" s="1"/>
  <c r="C96" i="3"/>
  <c r="D96" i="3" s="1"/>
  <c r="R96" i="3" s="1"/>
  <c r="C77" i="3"/>
  <c r="D77" i="3" s="1"/>
  <c r="E77" i="3" s="1"/>
  <c r="C53" i="3"/>
  <c r="D53" i="3" s="1"/>
  <c r="E53" i="3" s="1"/>
  <c r="F53" i="3" s="1"/>
  <c r="G53" i="3" s="1"/>
  <c r="C68" i="3"/>
  <c r="D68" i="3" s="1"/>
  <c r="E68" i="3" s="1"/>
  <c r="H68" i="3" s="1"/>
  <c r="C106" i="3"/>
  <c r="D106" i="3" s="1"/>
  <c r="E106" i="3" s="1"/>
  <c r="C66" i="3"/>
  <c r="D66" i="3" s="1"/>
  <c r="E66" i="3" s="1"/>
  <c r="C35" i="3"/>
  <c r="D35" i="3" s="1"/>
  <c r="E35" i="3" s="1"/>
  <c r="F35" i="3" s="1"/>
  <c r="G35" i="3" s="1"/>
  <c r="C124" i="3"/>
  <c r="D124" i="3" s="1"/>
  <c r="E124" i="3" s="1"/>
  <c r="H124" i="3" s="1"/>
  <c r="C83" i="3"/>
  <c r="D83" i="3" s="1"/>
  <c r="R83" i="3" s="1"/>
  <c r="C126" i="3"/>
  <c r="D126" i="3" s="1"/>
  <c r="R126" i="3" s="1"/>
  <c r="C81" i="3"/>
  <c r="D81" i="3" s="1"/>
  <c r="E81" i="3" s="1"/>
  <c r="C71" i="3"/>
  <c r="D71" i="3" s="1"/>
  <c r="E71" i="3" s="1"/>
  <c r="C62" i="3"/>
  <c r="D62" i="3" s="1"/>
  <c r="R62" i="3" s="1"/>
  <c r="C125" i="3"/>
  <c r="D125" i="3" s="1"/>
  <c r="E125" i="3" s="1"/>
  <c r="C103" i="3"/>
  <c r="D103" i="3" s="1"/>
  <c r="E103" i="3" s="1"/>
  <c r="C120" i="3"/>
  <c r="D120" i="3" s="1"/>
  <c r="R120" i="3" s="1"/>
  <c r="C123" i="3"/>
  <c r="D123" i="3" s="1"/>
  <c r="E123" i="3" s="1"/>
  <c r="C127" i="3"/>
  <c r="D127" i="3" s="1"/>
  <c r="E127" i="3" s="1"/>
  <c r="H127" i="3" s="1"/>
  <c r="C95" i="3"/>
  <c r="D95" i="3" s="1"/>
  <c r="E95" i="3" s="1"/>
  <c r="H95" i="3" s="1"/>
  <c r="C74" i="3"/>
  <c r="D74" i="3" s="1"/>
  <c r="E74" i="3" s="1"/>
  <c r="C129" i="3"/>
  <c r="D129" i="3" s="1"/>
  <c r="R129" i="3" s="1"/>
  <c r="C117" i="3"/>
  <c r="D117" i="3" s="1"/>
  <c r="E117" i="3" s="1"/>
  <c r="F117" i="3" s="1"/>
  <c r="G117" i="3" s="1"/>
  <c r="C114" i="3"/>
  <c r="D114" i="3" s="1"/>
  <c r="E114" i="3" s="1"/>
  <c r="C72" i="3"/>
  <c r="D72" i="3" s="1"/>
  <c r="E72" i="3" s="1"/>
  <c r="F72" i="3" s="1"/>
  <c r="G72" i="3" s="1"/>
  <c r="C64" i="3"/>
  <c r="D64" i="3" s="1"/>
  <c r="E64" i="3" s="1"/>
  <c r="H64" i="3" s="1"/>
  <c r="C94" i="3"/>
  <c r="D94" i="3" s="1"/>
  <c r="E94" i="3" s="1"/>
  <c r="F94" i="3" s="1"/>
  <c r="G94" i="3" s="1"/>
  <c r="C116" i="3"/>
  <c r="D116" i="3" s="1"/>
  <c r="R116" i="3" s="1"/>
  <c r="C80" i="3"/>
  <c r="D80" i="3" s="1"/>
  <c r="E80" i="3" s="1"/>
  <c r="C111" i="3"/>
  <c r="D111" i="3" s="1"/>
  <c r="E111" i="3" s="1"/>
  <c r="F111" i="3" s="1"/>
  <c r="G111" i="3" s="1"/>
  <c r="C99" i="3"/>
  <c r="D99" i="3" s="1"/>
  <c r="E99" i="3" s="1"/>
  <c r="C87" i="3"/>
  <c r="D87" i="3" s="1"/>
  <c r="E87" i="3" s="1"/>
  <c r="H87" i="3" s="1"/>
  <c r="C59" i="3"/>
  <c r="D59" i="3" s="1"/>
  <c r="E59" i="3" s="1"/>
  <c r="C101" i="3"/>
  <c r="D101" i="3" s="1"/>
  <c r="E101" i="3" s="1"/>
  <c r="C63" i="3"/>
  <c r="D63" i="3" s="1"/>
  <c r="E63" i="3" s="1"/>
  <c r="H63" i="3" s="1"/>
  <c r="G16" i="3"/>
  <c r="G17" i="3" s="1"/>
  <c r="JI58" i="3"/>
  <c r="IU120" i="3"/>
  <c r="IU79" i="3"/>
  <c r="IG127" i="3"/>
  <c r="IG117" i="3"/>
  <c r="IG108" i="3"/>
  <c r="IG78" i="3"/>
  <c r="IG68" i="3"/>
  <c r="IG59" i="3"/>
  <c r="HS133" i="3"/>
  <c r="HS123" i="3"/>
  <c r="IU129" i="3"/>
  <c r="JI120" i="3"/>
  <c r="JI99" i="3"/>
  <c r="IU130" i="3"/>
  <c r="IU110" i="3"/>
  <c r="IU89" i="3"/>
  <c r="IU36" i="3"/>
  <c r="IG88" i="3"/>
  <c r="IG49" i="3"/>
  <c r="HS84" i="3"/>
  <c r="IU109" i="3"/>
  <c r="JI69" i="3"/>
  <c r="IU56" i="3"/>
  <c r="IG116" i="3"/>
  <c r="IG107" i="3"/>
  <c r="IG77" i="3"/>
  <c r="HS122" i="3"/>
  <c r="IU119" i="3"/>
  <c r="IG97" i="3"/>
  <c r="HS71" i="3"/>
  <c r="JI130" i="3"/>
  <c r="JI108" i="3"/>
  <c r="IU99" i="3"/>
  <c r="IU88" i="3"/>
  <c r="IU78" i="3"/>
  <c r="IU65" i="3"/>
  <c r="IU45" i="3"/>
  <c r="IG125" i="3"/>
  <c r="IG115" i="3"/>
  <c r="IG76" i="3"/>
  <c r="IG48" i="3"/>
  <c r="HS106" i="3"/>
  <c r="M25" i="3"/>
  <c r="JI64" i="3"/>
  <c r="IU125" i="3"/>
  <c r="IU96" i="3"/>
  <c r="IU75" i="3"/>
  <c r="IU42" i="3"/>
  <c r="IG133" i="3"/>
  <c r="IG113" i="3"/>
  <c r="IG103" i="3"/>
  <c r="IG93" i="3"/>
  <c r="IG64" i="3"/>
  <c r="IG45" i="3"/>
  <c r="HS128" i="3"/>
  <c r="HS90" i="3"/>
  <c r="HS45" i="3"/>
  <c r="M26" i="3"/>
  <c r="M19" i="3"/>
  <c r="JI95" i="3"/>
  <c r="JI75" i="3"/>
  <c r="JI54" i="3"/>
  <c r="IU116" i="3"/>
  <c r="IU84" i="3"/>
  <c r="IU62" i="3"/>
  <c r="IU52" i="3"/>
  <c r="IG121" i="3"/>
  <c r="IG73" i="3"/>
  <c r="IG55" i="3"/>
  <c r="IG37" i="3"/>
  <c r="M22" i="3"/>
  <c r="IG56" i="3"/>
  <c r="HS76" i="3"/>
  <c r="HS44" i="3"/>
  <c r="IU101" i="3"/>
  <c r="M24" i="3"/>
  <c r="IU131" i="3"/>
  <c r="IU38" i="3"/>
  <c r="IG110" i="3"/>
  <c r="HS73" i="3"/>
  <c r="HE81" i="3"/>
  <c r="M28" i="3"/>
  <c r="IU68" i="3"/>
  <c r="IG39" i="3"/>
  <c r="M23" i="3"/>
  <c r="JI91" i="3"/>
  <c r="JI59" i="3"/>
  <c r="IU132" i="3"/>
  <c r="IU102" i="3"/>
  <c r="IU86" i="3"/>
  <c r="IU54" i="3"/>
  <c r="IG98" i="3"/>
  <c r="IG83" i="3"/>
  <c r="IG69" i="3"/>
  <c r="IG42" i="3"/>
  <c r="IU85" i="3"/>
  <c r="IG95" i="3"/>
  <c r="IG66" i="3"/>
  <c r="IG41" i="3"/>
  <c r="JI102" i="3"/>
  <c r="IU115" i="3"/>
  <c r="IG81" i="3"/>
  <c r="IG53" i="3"/>
  <c r="IG40" i="3"/>
  <c r="HS59" i="3"/>
  <c r="IU114" i="3"/>
  <c r="IG80" i="3"/>
  <c r="HS42" i="3"/>
  <c r="M18" i="3"/>
  <c r="JI103" i="3"/>
  <c r="JI73" i="3"/>
  <c r="IU70" i="3"/>
  <c r="IU39" i="3"/>
  <c r="IG111" i="3"/>
  <c r="IG54" i="3"/>
  <c r="JI117" i="3"/>
  <c r="HS89" i="3"/>
  <c r="M27" i="3"/>
  <c r="JI86" i="3"/>
  <c r="JI55" i="3"/>
  <c r="JI42" i="3"/>
  <c r="IU128" i="3"/>
  <c r="IU83" i="3"/>
  <c r="JI113" i="3"/>
  <c r="JI37" i="3"/>
  <c r="IU123" i="3"/>
  <c r="IU63" i="3"/>
  <c r="IU48" i="3"/>
  <c r="IG134" i="3"/>
  <c r="IG119" i="3"/>
  <c r="IG75" i="3"/>
  <c r="HS55" i="3"/>
  <c r="IU94" i="3"/>
  <c r="IG90" i="3"/>
  <c r="IG47" i="3"/>
  <c r="HS85" i="3"/>
  <c r="M29" i="3"/>
  <c r="JI47" i="3"/>
  <c r="IU74" i="3"/>
  <c r="IG72" i="3"/>
  <c r="IG50" i="3"/>
  <c r="HS130" i="3"/>
  <c r="HS66" i="3"/>
  <c r="IG71" i="3"/>
  <c r="HS40" i="3"/>
  <c r="IG91" i="3"/>
  <c r="HS65" i="3"/>
  <c r="HE57" i="3"/>
  <c r="IU61" i="3"/>
  <c r="HE106" i="3"/>
  <c r="JI36" i="3"/>
  <c r="IU91" i="3"/>
  <c r="IU34" i="3"/>
  <c r="IU60" i="3"/>
  <c r="M30" i="3"/>
  <c r="JI121" i="3"/>
  <c r="IU97" i="3"/>
  <c r="IU44" i="3"/>
  <c r="IG99" i="3"/>
  <c r="M31" i="3"/>
  <c r="IG92" i="3"/>
  <c r="IG46" i="3"/>
  <c r="M32" i="3"/>
  <c r="HS36" i="3"/>
  <c r="IU121" i="3"/>
  <c r="IU93" i="3"/>
  <c r="HS35" i="3"/>
  <c r="IU41" i="3"/>
  <c r="IG70" i="3"/>
  <c r="IG44" i="3"/>
  <c r="IU92" i="3"/>
  <c r="IU37" i="3"/>
  <c r="IG114" i="3"/>
  <c r="IG43" i="3"/>
  <c r="HS86" i="3"/>
  <c r="JI124" i="3"/>
  <c r="IU126" i="3"/>
  <c r="IU104" i="3"/>
  <c r="IU77" i="3"/>
  <c r="IU49" i="3"/>
  <c r="HS70" i="3"/>
  <c r="IU90" i="3"/>
  <c r="HS54" i="3"/>
  <c r="IU133" i="3"/>
  <c r="IU81" i="3"/>
  <c r="HS47" i="3"/>
  <c r="IG85" i="3"/>
  <c r="IG130" i="3"/>
  <c r="JI125" i="3"/>
  <c r="IG129" i="3"/>
  <c r="IG112" i="3"/>
  <c r="IU58" i="3"/>
  <c r="IG61" i="3"/>
  <c r="M20" i="3"/>
  <c r="IU134" i="3"/>
  <c r="IG100" i="3"/>
  <c r="HS116" i="3"/>
  <c r="M21" i="3"/>
  <c r="IU82" i="3"/>
  <c r="IG132" i="3"/>
  <c r="IG89" i="3"/>
  <c r="IG51" i="3"/>
  <c r="HS101" i="3"/>
  <c r="HS53" i="3"/>
  <c r="IG86" i="3"/>
  <c r="HS99" i="3"/>
  <c r="JI81" i="3"/>
  <c r="JI80" i="3"/>
  <c r="JI77" i="3"/>
  <c r="JI76" i="3"/>
  <c r="IU107" i="3"/>
  <c r="IU50" i="3"/>
  <c r="IG120" i="3"/>
  <c r="HS79" i="3"/>
  <c r="IU112" i="3"/>
  <c r="IG34" i="3"/>
  <c r="IU108" i="3"/>
  <c r="IU59" i="3"/>
  <c r="HS77" i="3"/>
  <c r="JI53" i="3"/>
  <c r="IU106" i="3"/>
  <c r="HS68" i="3"/>
  <c r="HS57" i="3"/>
  <c r="JI98" i="3"/>
  <c r="IU103" i="3"/>
  <c r="IG102" i="3"/>
  <c r="IU47" i="3"/>
  <c r="IG58" i="3"/>
  <c r="JI51" i="3"/>
  <c r="IU113" i="3"/>
  <c r="JI110" i="3"/>
  <c r="JI48" i="3"/>
  <c r="JI67" i="3"/>
  <c r="IU105" i="3"/>
  <c r="IU43" i="3"/>
  <c r="IG74" i="3"/>
  <c r="IG67" i="3"/>
  <c r="HS118" i="3"/>
  <c r="HS111" i="3"/>
  <c r="HS124" i="3"/>
  <c r="HS49" i="3"/>
  <c r="HE104" i="3"/>
  <c r="HE77" i="3"/>
  <c r="HE102" i="3"/>
  <c r="HE92" i="3"/>
  <c r="HE46" i="3"/>
  <c r="HE82" i="3"/>
  <c r="HE41" i="3"/>
  <c r="HE56" i="3"/>
  <c r="HE129" i="3"/>
  <c r="JI39" i="3"/>
  <c r="JI92" i="3"/>
  <c r="IG84" i="3"/>
  <c r="IG105" i="3"/>
  <c r="HS69" i="3"/>
  <c r="HS112" i="3"/>
  <c r="HE132" i="3"/>
  <c r="HE124" i="3"/>
  <c r="HE65" i="3"/>
  <c r="HE34" i="3"/>
  <c r="JI61" i="3"/>
  <c r="JI114" i="3"/>
  <c r="JI133" i="3"/>
  <c r="IG123" i="3"/>
  <c r="IG122" i="3"/>
  <c r="HS52" i="3"/>
  <c r="HS107" i="3"/>
  <c r="HS95" i="3"/>
  <c r="HE38" i="3"/>
  <c r="HE121" i="3"/>
  <c r="HE72" i="3"/>
  <c r="JI118" i="3"/>
  <c r="JI83" i="3"/>
  <c r="JI97" i="3"/>
  <c r="JI40" i="3"/>
  <c r="IU127" i="3"/>
  <c r="IG101" i="3"/>
  <c r="IG124" i="3"/>
  <c r="JI132" i="3"/>
  <c r="JI70" i="3"/>
  <c r="JI89" i="3"/>
  <c r="IU72" i="3"/>
  <c r="IG52" i="3"/>
  <c r="IG94" i="3"/>
  <c r="HS96" i="3"/>
  <c r="HS80" i="3"/>
  <c r="HS117" i="3"/>
  <c r="HE54" i="3"/>
  <c r="JI111" i="3"/>
  <c r="HS74" i="3"/>
  <c r="HE60" i="3"/>
  <c r="HE127" i="3"/>
  <c r="JI127" i="3"/>
  <c r="JI43" i="3"/>
  <c r="JI84" i="3"/>
  <c r="IU95" i="3"/>
  <c r="IG57" i="3"/>
  <c r="HS82" i="3"/>
  <c r="HS43" i="3"/>
  <c r="HS39" i="3"/>
  <c r="HE71" i="3"/>
  <c r="HE109" i="3"/>
  <c r="HE105" i="3"/>
  <c r="HE45" i="3"/>
  <c r="JI56" i="3"/>
  <c r="JI65" i="3"/>
  <c r="JI106" i="3"/>
  <c r="IU73" i="3"/>
  <c r="IG35" i="3"/>
  <c r="HS60" i="3"/>
  <c r="HS134" i="3"/>
  <c r="HS37" i="3"/>
  <c r="HE49" i="3"/>
  <c r="HE78" i="3"/>
  <c r="HE101" i="3"/>
  <c r="HE67" i="3"/>
  <c r="HE36" i="3"/>
  <c r="JI100" i="3"/>
  <c r="JI109" i="3"/>
  <c r="JI35" i="3"/>
  <c r="IU122" i="3"/>
  <c r="IG106" i="3"/>
  <c r="JI78" i="3"/>
  <c r="JI87" i="3"/>
  <c r="JI128" i="3"/>
  <c r="IU51" i="3"/>
  <c r="IG128" i="3"/>
  <c r="HS38" i="3"/>
  <c r="HS105" i="3"/>
  <c r="HS78" i="3"/>
  <c r="HE120" i="3"/>
  <c r="HE40" i="3"/>
  <c r="HE84" i="3"/>
  <c r="HE133" i="3"/>
  <c r="JI90" i="3"/>
  <c r="JI38" i="3"/>
  <c r="JI79" i="3"/>
  <c r="IU124" i="3"/>
  <c r="IG126" i="3"/>
  <c r="HS87" i="3"/>
  <c r="HS48" i="3"/>
  <c r="HS100" i="3"/>
  <c r="HE108" i="3"/>
  <c r="HE134" i="3"/>
  <c r="HE83" i="3"/>
  <c r="HE94" i="3"/>
  <c r="JI134" i="3"/>
  <c r="JI82" i="3"/>
  <c r="JI123" i="3"/>
  <c r="IU87" i="3"/>
  <c r="IG82" i="3"/>
  <c r="HS98" i="3"/>
  <c r="HS120" i="3"/>
  <c r="HS97" i="3"/>
  <c r="HE64" i="3"/>
  <c r="HE73" i="3"/>
  <c r="HE76" i="3"/>
  <c r="HE48" i="3"/>
  <c r="JI46" i="3"/>
  <c r="JI104" i="3"/>
  <c r="JI52" i="3"/>
  <c r="IU69" i="3"/>
  <c r="IG60" i="3"/>
  <c r="HS75" i="3"/>
  <c r="HS91" i="3"/>
  <c r="HS119" i="3"/>
  <c r="JI93" i="3"/>
  <c r="JI41" i="3"/>
  <c r="JI72" i="3"/>
  <c r="IU35" i="3"/>
  <c r="IU71" i="3"/>
  <c r="IG109" i="3"/>
  <c r="HS125" i="3"/>
  <c r="HS115" i="3"/>
  <c r="HS46" i="3"/>
  <c r="HE100" i="3"/>
  <c r="HE119" i="3"/>
  <c r="HE107" i="3"/>
  <c r="HE97" i="3"/>
  <c r="JI115" i="3"/>
  <c r="JI63" i="3"/>
  <c r="JI94" i="3"/>
  <c r="JI66" i="3"/>
  <c r="JI107" i="3"/>
  <c r="IU55" i="3"/>
  <c r="IU64" i="3"/>
  <c r="IG118" i="3"/>
  <c r="IG63" i="3"/>
  <c r="HS62" i="3"/>
  <c r="HS63" i="3"/>
  <c r="JI60" i="3"/>
  <c r="IU100" i="3"/>
  <c r="IG38" i="3"/>
  <c r="HS113" i="3"/>
  <c r="HE130" i="3"/>
  <c r="HE89" i="3"/>
  <c r="HE96" i="3"/>
  <c r="HE86" i="3"/>
  <c r="HE70" i="3"/>
  <c r="HE74" i="3"/>
  <c r="JI50" i="3"/>
  <c r="IU98" i="3"/>
  <c r="IG87" i="3"/>
  <c r="HS56" i="3"/>
  <c r="HE42" i="3"/>
  <c r="HE52" i="3"/>
  <c r="JI116" i="3"/>
  <c r="IU76" i="3"/>
  <c r="IG36" i="3"/>
  <c r="HS108" i="3"/>
  <c r="HE113" i="3"/>
  <c r="HE79" i="3"/>
  <c r="JI45" i="3"/>
  <c r="IU67" i="3"/>
  <c r="IG65" i="3"/>
  <c r="HS103" i="3"/>
  <c r="HE66" i="3"/>
  <c r="HE69" i="3"/>
  <c r="HE91" i="3"/>
  <c r="JI62" i="3"/>
  <c r="IU53" i="3"/>
  <c r="HS132" i="3"/>
  <c r="HE62" i="3"/>
  <c r="HE63" i="3"/>
  <c r="HE90" i="3"/>
  <c r="HE35" i="3"/>
  <c r="HE88" i="3"/>
  <c r="JI126" i="3"/>
  <c r="IU111" i="3"/>
  <c r="IG131" i="3"/>
  <c r="HS67" i="3"/>
  <c r="HE47" i="3"/>
  <c r="JI71" i="3"/>
  <c r="JI57" i="3"/>
  <c r="IU40" i="3"/>
  <c r="HS72" i="3"/>
  <c r="HE95" i="3"/>
  <c r="HE103" i="3"/>
  <c r="JI101" i="3"/>
  <c r="HS61" i="3"/>
  <c r="HE75" i="3"/>
  <c r="HE99" i="3"/>
  <c r="JI74" i="3"/>
  <c r="HS110" i="3"/>
  <c r="HE118" i="3"/>
  <c r="HE50" i="3"/>
  <c r="JI49" i="3"/>
  <c r="JI96" i="3"/>
  <c r="HS81" i="3"/>
  <c r="HE55" i="3"/>
  <c r="HS50" i="3"/>
  <c r="HE111" i="3"/>
  <c r="JI44" i="3"/>
  <c r="HS88" i="3"/>
  <c r="HE117" i="3"/>
  <c r="HE53" i="3"/>
  <c r="HE123" i="3"/>
  <c r="JI88" i="3"/>
  <c r="JI34" i="3"/>
  <c r="HS129" i="3"/>
  <c r="HE58" i="3"/>
  <c r="HS58" i="3"/>
  <c r="HE51" i="3"/>
  <c r="JI129" i="3"/>
  <c r="HS114" i="3"/>
  <c r="HE44" i="3"/>
  <c r="JI119" i="3"/>
  <c r="HS102" i="3"/>
  <c r="HE37" i="3"/>
  <c r="JI131" i="3"/>
  <c r="IU46" i="3"/>
  <c r="HS93" i="3"/>
  <c r="HE110" i="3"/>
  <c r="IU118" i="3"/>
  <c r="HS121" i="3"/>
  <c r="HE128" i="3"/>
  <c r="IU57" i="3"/>
  <c r="HE85" i="3"/>
  <c r="IU80" i="3"/>
  <c r="IU66" i="3"/>
  <c r="HE80" i="3"/>
  <c r="IU117" i="3"/>
  <c r="HE59" i="3"/>
  <c r="HE125" i="3"/>
  <c r="IG96" i="3"/>
  <c r="HS126" i="3"/>
  <c r="HS104" i="3"/>
  <c r="IG62" i="3"/>
  <c r="HE39" i="3"/>
  <c r="HS109" i="3"/>
  <c r="HE87" i="3"/>
  <c r="HS127" i="3"/>
  <c r="HE115" i="3"/>
  <c r="HS64" i="3"/>
  <c r="HS51" i="3"/>
  <c r="HE98" i="3"/>
  <c r="JI105" i="3"/>
  <c r="HS94" i="3"/>
  <c r="HE131" i="3"/>
  <c r="JI122" i="3"/>
  <c r="HS92" i="3"/>
  <c r="HE68" i="3"/>
  <c r="JI112" i="3"/>
  <c r="HE61" i="3"/>
  <c r="HE112" i="3"/>
  <c r="JI68" i="3"/>
  <c r="HS41" i="3"/>
  <c r="HE122" i="3"/>
  <c r="JI85" i="3"/>
  <c r="HS34" i="3"/>
  <c r="HE116" i="3"/>
  <c r="HE114" i="3"/>
  <c r="IG79" i="3"/>
  <c r="HS131" i="3"/>
  <c r="HE126" i="3"/>
  <c r="HE93" i="3"/>
  <c r="HS83" i="3"/>
  <c r="HE43" i="3"/>
  <c r="IG104" i="3"/>
  <c r="C85" i="3"/>
  <c r="D85" i="3" s="1"/>
  <c r="R85" i="3" s="1"/>
  <c r="C78" i="3"/>
  <c r="D78" i="3" s="1"/>
  <c r="R78" i="3" s="1"/>
  <c r="C39" i="3"/>
  <c r="D39" i="3" s="1"/>
  <c r="R39" i="3" s="1"/>
  <c r="C54" i="3"/>
  <c r="D54" i="3" s="1"/>
  <c r="E54" i="3" s="1"/>
  <c r="H54" i="3" s="1"/>
  <c r="C58" i="3"/>
  <c r="D58" i="3" s="1"/>
  <c r="E58" i="3" s="1"/>
  <c r="C69" i="3"/>
  <c r="D69" i="3" s="1"/>
  <c r="R69" i="3" s="1"/>
  <c r="C75" i="3"/>
  <c r="D75" i="3" s="1"/>
  <c r="E75" i="3" s="1"/>
  <c r="C73" i="3"/>
  <c r="D73" i="3" s="1"/>
  <c r="R73" i="3" s="1"/>
  <c r="G22" i="3"/>
  <c r="C79" i="3"/>
  <c r="D79" i="3" s="1"/>
  <c r="R79" i="3" s="1"/>
  <c r="C93" i="3"/>
  <c r="D93" i="3" s="1"/>
  <c r="E93" i="3" s="1"/>
  <c r="C132" i="3"/>
  <c r="D132" i="3" s="1"/>
  <c r="E132" i="3" s="1"/>
  <c r="H132" i="3" s="1"/>
  <c r="C76" i="3"/>
  <c r="D76" i="3" s="1"/>
  <c r="E76" i="3" s="1"/>
  <c r="C67" i="3"/>
  <c r="D67" i="3" s="1"/>
  <c r="E67" i="3" s="1"/>
  <c r="C88" i="3"/>
  <c r="D88" i="3" s="1"/>
  <c r="E88" i="3" s="1"/>
  <c r="C122" i="3"/>
  <c r="D122" i="3" s="1"/>
  <c r="R122" i="3" s="1"/>
  <c r="C36" i="3"/>
  <c r="D36" i="3" s="1"/>
  <c r="E36" i="3" s="1"/>
  <c r="H36" i="3" s="1"/>
  <c r="G21" i="3"/>
  <c r="C118" i="3"/>
  <c r="D118" i="3" s="1"/>
  <c r="E118" i="3" s="1"/>
  <c r="C107" i="3"/>
  <c r="D107" i="3" s="1"/>
  <c r="R107" i="3" s="1"/>
  <c r="C134" i="3"/>
  <c r="D134" i="3" s="1"/>
  <c r="E134" i="3" s="1"/>
  <c r="C133" i="3"/>
  <c r="D133" i="3" s="1"/>
  <c r="E133" i="3" s="1"/>
  <c r="C128" i="3"/>
  <c r="D128" i="3" s="1"/>
  <c r="E128" i="3" s="1"/>
  <c r="C47" i="3"/>
  <c r="D47" i="3" s="1"/>
  <c r="E47" i="3" s="1"/>
  <c r="C89" i="3"/>
  <c r="D89" i="3" s="1"/>
  <c r="E89" i="3" s="1"/>
  <c r="F89" i="3" s="1"/>
  <c r="G89" i="3" s="1"/>
  <c r="C50" i="3"/>
  <c r="D50" i="3" s="1"/>
  <c r="E50" i="3" s="1"/>
  <c r="C92" i="3"/>
  <c r="D92" i="3" s="1"/>
  <c r="E92" i="3" s="1"/>
  <c r="C40" i="3"/>
  <c r="D40" i="3" s="1"/>
  <c r="E40" i="3" s="1"/>
  <c r="C57" i="3"/>
  <c r="D57" i="3" s="1"/>
  <c r="E57" i="3" s="1"/>
  <c r="C37" i="3"/>
  <c r="D37" i="3" s="1"/>
  <c r="E37" i="3" s="1"/>
  <c r="C113" i="3"/>
  <c r="D113" i="3" s="1"/>
  <c r="R113" i="3" s="1"/>
  <c r="C61" i="3"/>
  <c r="D61" i="3" s="1"/>
  <c r="R61" i="3" s="1"/>
  <c r="M16" i="3"/>
  <c r="GQ111" i="3"/>
  <c r="FO115" i="3"/>
  <c r="EM124" i="3"/>
  <c r="EM43" i="3"/>
  <c r="DY75" i="3"/>
  <c r="DK107" i="3"/>
  <c r="CW91" i="3"/>
  <c r="CW61" i="3"/>
  <c r="CI132" i="3"/>
  <c r="CI105" i="3"/>
  <c r="CI80" i="3"/>
  <c r="CI57" i="3"/>
  <c r="CI35" i="3"/>
  <c r="BU114" i="3"/>
  <c r="BU92" i="3"/>
  <c r="BU70" i="3"/>
  <c r="BU48" i="3"/>
  <c r="BG127" i="3"/>
  <c r="BG105" i="3"/>
  <c r="BG83" i="3"/>
  <c r="BG61" i="3"/>
  <c r="BG39" i="3"/>
  <c r="AS118" i="3"/>
  <c r="AS96" i="3"/>
  <c r="AS74" i="3"/>
  <c r="AS52" i="3"/>
  <c r="AE131" i="3"/>
  <c r="AE109" i="3"/>
  <c r="AE87" i="3"/>
  <c r="AE65" i="3"/>
  <c r="AE43" i="3"/>
  <c r="Q47" i="3"/>
  <c r="Q69" i="3"/>
  <c r="Q91" i="3"/>
  <c r="Q113" i="3"/>
  <c r="Q34" i="3"/>
  <c r="EM122" i="3"/>
  <c r="EM39" i="3"/>
  <c r="DY73" i="3"/>
  <c r="DK103" i="3"/>
  <c r="CW133" i="3"/>
  <c r="CW90" i="3"/>
  <c r="CW58" i="3"/>
  <c r="CI131" i="3"/>
  <c r="CI104" i="3"/>
  <c r="CI79" i="3"/>
  <c r="CI56" i="3"/>
  <c r="CI34" i="3"/>
  <c r="BU113" i="3"/>
  <c r="BU91" i="3"/>
  <c r="BU69" i="3"/>
  <c r="BU47" i="3"/>
  <c r="BG126" i="3"/>
  <c r="BG104" i="3"/>
  <c r="BG82" i="3"/>
  <c r="BG60" i="3"/>
  <c r="FO107" i="3"/>
  <c r="GC97" i="3"/>
  <c r="EM99" i="3"/>
  <c r="DY120" i="3"/>
  <c r="DY53" i="3"/>
  <c r="DK85" i="3"/>
  <c r="CW115" i="3"/>
  <c r="CW78" i="3"/>
  <c r="CW47" i="3"/>
  <c r="CI122" i="3"/>
  <c r="CI96" i="3"/>
  <c r="CI71" i="3"/>
  <c r="CI49" i="3"/>
  <c r="BU128" i="3"/>
  <c r="BU106" i="3"/>
  <c r="BU84" i="3"/>
  <c r="BU62" i="3"/>
  <c r="BU40" i="3"/>
  <c r="BG119" i="3"/>
  <c r="BG97" i="3"/>
  <c r="BG75" i="3"/>
  <c r="BG53" i="3"/>
  <c r="AS132" i="3"/>
  <c r="AS110" i="3"/>
  <c r="AS88" i="3"/>
  <c r="AS66" i="3"/>
  <c r="AS44" i="3"/>
  <c r="AE123" i="3"/>
  <c r="AE101" i="3"/>
  <c r="AE79" i="3"/>
  <c r="AE57" i="3"/>
  <c r="AE35" i="3"/>
  <c r="Q55" i="3"/>
  <c r="Q77" i="3"/>
  <c r="Q99" i="3"/>
  <c r="Q121" i="3"/>
  <c r="M4" i="3"/>
  <c r="GC91" i="3"/>
  <c r="FA124" i="3"/>
  <c r="EM95" i="3"/>
  <c r="DY115" i="3"/>
  <c r="DY51" i="3"/>
  <c r="DK81" i="3"/>
  <c r="CW114" i="3"/>
  <c r="CW77" i="3"/>
  <c r="CW46" i="3"/>
  <c r="CI121" i="3"/>
  <c r="CI95" i="3"/>
  <c r="CI70" i="3"/>
  <c r="CI48" i="3"/>
  <c r="BU127" i="3"/>
  <c r="BU105" i="3"/>
  <c r="BU83" i="3"/>
  <c r="BU61" i="3"/>
  <c r="BU39" i="3"/>
  <c r="BG118" i="3"/>
  <c r="BG96" i="3"/>
  <c r="BG74" i="3"/>
  <c r="BG52" i="3"/>
  <c r="AS131" i="3"/>
  <c r="AS109" i="3"/>
  <c r="AS87" i="3"/>
  <c r="AS65" i="3"/>
  <c r="AS43" i="3"/>
  <c r="AE122" i="3"/>
  <c r="AE100" i="3"/>
  <c r="AE78" i="3"/>
  <c r="AE56" i="3"/>
  <c r="AE34" i="3"/>
  <c r="Q56" i="3"/>
  <c r="Q78" i="3"/>
  <c r="Q100" i="3"/>
  <c r="Q122" i="3"/>
  <c r="M6" i="3"/>
  <c r="GC71" i="3"/>
  <c r="FA119" i="3"/>
  <c r="EM89" i="3"/>
  <c r="DY113" i="3"/>
  <c r="DY50" i="3"/>
  <c r="DK80" i="3"/>
  <c r="CW113" i="3"/>
  <c r="CW76" i="3"/>
  <c r="CW45" i="3"/>
  <c r="CI120" i="3"/>
  <c r="CI94" i="3"/>
  <c r="GC114" i="3"/>
  <c r="FA88" i="3"/>
  <c r="EM51" i="3"/>
  <c r="DY63" i="3"/>
  <c r="DK76" i="3"/>
  <c r="CW106" i="3"/>
  <c r="CW63" i="3"/>
  <c r="CI125" i="3"/>
  <c r="CI91" i="3"/>
  <c r="CI62" i="3"/>
  <c r="CI36" i="3"/>
  <c r="BU109" i="3"/>
  <c r="BU81" i="3"/>
  <c r="BU55" i="3"/>
  <c r="BG130" i="3"/>
  <c r="BG102" i="3"/>
  <c r="BG76" i="3"/>
  <c r="BG48" i="3"/>
  <c r="AS124" i="3"/>
  <c r="AS99" i="3"/>
  <c r="AS73" i="3"/>
  <c r="AS48" i="3"/>
  <c r="AE124" i="3"/>
  <c r="AE97" i="3"/>
  <c r="AE72" i="3"/>
  <c r="AE47" i="3"/>
  <c r="Q46" i="3"/>
  <c r="Q72" i="3"/>
  <c r="Q97" i="3"/>
  <c r="Q124" i="3"/>
  <c r="GC110" i="3"/>
  <c r="FA81" i="3"/>
  <c r="EM48" i="3"/>
  <c r="DY61" i="3"/>
  <c r="DK75" i="3"/>
  <c r="CW103" i="3"/>
  <c r="CW62" i="3"/>
  <c r="CI124" i="3"/>
  <c r="CI90" i="3"/>
  <c r="CI61" i="3"/>
  <c r="BU134" i="3"/>
  <c r="BU108" i="3"/>
  <c r="BU80" i="3"/>
  <c r="BU54" i="3"/>
  <c r="BG129" i="3"/>
  <c r="BG101" i="3"/>
  <c r="BG73" i="3"/>
  <c r="BG47" i="3"/>
  <c r="AS123" i="3"/>
  <c r="AS98" i="3"/>
  <c r="AS72" i="3"/>
  <c r="AS47" i="3"/>
  <c r="AE121" i="3"/>
  <c r="AE96" i="3"/>
  <c r="AE71" i="3"/>
  <c r="AE46" i="3"/>
  <c r="Q48" i="3"/>
  <c r="Q73" i="3"/>
  <c r="Q98" i="3"/>
  <c r="Q125" i="3"/>
  <c r="GC70" i="3"/>
  <c r="FA72" i="3"/>
  <c r="EM45" i="3"/>
  <c r="DY58" i="3"/>
  <c r="DK71" i="3"/>
  <c r="CW98" i="3"/>
  <c r="CW57" i="3"/>
  <c r="CI123" i="3"/>
  <c r="CI89" i="3"/>
  <c r="CI60" i="3"/>
  <c r="BU133" i="3"/>
  <c r="BU107" i="3"/>
  <c r="BU79" i="3"/>
  <c r="BU53" i="3"/>
  <c r="BG128" i="3"/>
  <c r="BG100" i="3"/>
  <c r="M9" i="3"/>
  <c r="GC39" i="3"/>
  <c r="EM132" i="3"/>
  <c r="DY125" i="3"/>
  <c r="DY42" i="3"/>
  <c r="DK48" i="3"/>
  <c r="CW86" i="3"/>
  <c r="CW44" i="3"/>
  <c r="CI113" i="3"/>
  <c r="CI81" i="3"/>
  <c r="CI52" i="3"/>
  <c r="BU125" i="3"/>
  <c r="BU99" i="3"/>
  <c r="BU73" i="3"/>
  <c r="BU45" i="3"/>
  <c r="BG120" i="3"/>
  <c r="BG92" i="3"/>
  <c r="BG66" i="3"/>
  <c r="BG40" i="3"/>
  <c r="AS115" i="3"/>
  <c r="AS90" i="3"/>
  <c r="AS63" i="3"/>
  <c r="AS38" i="3"/>
  <c r="AE114" i="3"/>
  <c r="AE89" i="3"/>
  <c r="AE63" i="3"/>
  <c r="AE38" i="3"/>
  <c r="Q57" i="3"/>
  <c r="Q82" i="3"/>
  <c r="Q107" i="3"/>
  <c r="Q132" i="3"/>
  <c r="M10" i="3"/>
  <c r="GC38" i="3"/>
  <c r="EM119" i="3"/>
  <c r="DY121" i="3"/>
  <c r="DY37" i="3"/>
  <c r="DK47" i="3"/>
  <c r="CW84" i="3"/>
  <c r="CW43" i="3"/>
  <c r="CI112" i="3"/>
  <c r="CI78" i="3"/>
  <c r="CI51" i="3"/>
  <c r="BU124" i="3"/>
  <c r="BU98" i="3"/>
  <c r="BU72" i="3"/>
  <c r="BU44" i="3"/>
  <c r="BG117" i="3"/>
  <c r="BG91" i="3"/>
  <c r="BG65" i="3"/>
  <c r="BG38" i="3"/>
  <c r="AS114" i="3"/>
  <c r="AS89" i="3"/>
  <c r="AS62" i="3"/>
  <c r="AS37" i="3"/>
  <c r="AE113" i="3"/>
  <c r="AE88" i="3"/>
  <c r="AE62" i="3"/>
  <c r="AE37" i="3"/>
  <c r="Q58" i="3"/>
  <c r="Q83" i="3"/>
  <c r="Q108" i="3"/>
  <c r="Q133" i="3"/>
  <c r="M11" i="3"/>
  <c r="GC36" i="3"/>
  <c r="EM116" i="3"/>
  <c r="DY108" i="3"/>
  <c r="DY36" i="3"/>
  <c r="DK36" i="3"/>
  <c r="CW83" i="3"/>
  <c r="CW42" i="3"/>
  <c r="CI111" i="3"/>
  <c r="CI77" i="3"/>
  <c r="CI50" i="3"/>
  <c r="BU123" i="3"/>
  <c r="BU97" i="3"/>
  <c r="BU71" i="3"/>
  <c r="BU43" i="3"/>
  <c r="BG116" i="3"/>
  <c r="BG90" i="3"/>
  <c r="BG64" i="3"/>
  <c r="BG37" i="3"/>
  <c r="AS113" i="3"/>
  <c r="AS86" i="3"/>
  <c r="AS61" i="3"/>
  <c r="AS36" i="3"/>
  <c r="AE112" i="3"/>
  <c r="AE86" i="3"/>
  <c r="AE61" i="3"/>
  <c r="AE36" i="3"/>
  <c r="Q59" i="3"/>
  <c r="Q84" i="3"/>
  <c r="Q109" i="3"/>
  <c r="Q134" i="3"/>
  <c r="M12" i="3"/>
  <c r="EM108" i="3"/>
  <c r="DY105" i="3"/>
  <c r="CW81" i="3"/>
  <c r="CW40" i="3"/>
  <c r="CI110" i="3"/>
  <c r="CI76" i="3"/>
  <c r="CI47" i="3"/>
  <c r="BU122" i="3"/>
  <c r="BU96" i="3"/>
  <c r="BU68" i="3"/>
  <c r="BU42" i="3"/>
  <c r="BG115" i="3"/>
  <c r="BG89" i="3"/>
  <c r="BG63" i="3"/>
  <c r="BG36" i="3"/>
  <c r="AS112" i="3"/>
  <c r="AS85" i="3"/>
  <c r="AS60" i="3"/>
  <c r="AS35" i="3"/>
  <c r="AE111" i="3"/>
  <c r="AE85" i="3"/>
  <c r="AE60" i="3"/>
  <c r="Q35" i="3"/>
  <c r="Q60" i="3"/>
  <c r="Q85" i="3"/>
  <c r="Q110" i="3"/>
  <c r="M13" i="3"/>
  <c r="FO133" i="3"/>
  <c r="EM105" i="3"/>
  <c r="DY102" i="3"/>
  <c r="DK122" i="3"/>
  <c r="CW129" i="3"/>
  <c r="CW80" i="3"/>
  <c r="CW39" i="3"/>
  <c r="CI109" i="3"/>
  <c r="CI74" i="3"/>
  <c r="CI46" i="3"/>
  <c r="BU121" i="3"/>
  <c r="BU95" i="3"/>
  <c r="BU67" i="3"/>
  <c r="BU41" i="3"/>
  <c r="BG114" i="3"/>
  <c r="BG88" i="3"/>
  <c r="BG62" i="3"/>
  <c r="BG35" i="3"/>
  <c r="AS111" i="3"/>
  <c r="AS84" i="3"/>
  <c r="AS59" i="3"/>
  <c r="AS34" i="3"/>
  <c r="AE110" i="3"/>
  <c r="AE84" i="3"/>
  <c r="AE59" i="3"/>
  <c r="Q36" i="3"/>
  <c r="Q61" i="3"/>
  <c r="Q86" i="3"/>
  <c r="Q111" i="3"/>
  <c r="M14" i="3"/>
  <c r="FO105" i="3"/>
  <c r="EM103" i="3"/>
  <c r="DY97" i="3"/>
  <c r="DK119" i="3"/>
  <c r="CW127" i="3"/>
  <c r="CW75" i="3"/>
  <c r="CW37" i="3"/>
  <c r="CI106" i="3"/>
  <c r="CI73" i="3"/>
  <c r="CI45" i="3"/>
  <c r="BU120" i="3"/>
  <c r="BU94" i="3"/>
  <c r="BU66" i="3"/>
  <c r="BU38" i="3"/>
  <c r="BG113" i="3"/>
  <c r="BG87" i="3"/>
  <c r="BG59" i="3"/>
  <c r="BG34" i="3"/>
  <c r="FO88" i="3"/>
  <c r="EM37" i="3"/>
  <c r="DK98" i="3"/>
  <c r="CW88" i="3"/>
  <c r="CI118" i="3"/>
  <c r="CI66" i="3"/>
  <c r="BU119" i="3"/>
  <c r="BU77" i="3"/>
  <c r="BG133" i="3"/>
  <c r="BG85" i="3"/>
  <c r="BG45" i="3"/>
  <c r="AS105" i="3"/>
  <c r="AS70" i="3"/>
  <c r="AE132" i="3"/>
  <c r="AE95" i="3"/>
  <c r="AE55" i="3"/>
  <c r="Q45" i="3"/>
  <c r="Q87" i="3"/>
  <c r="Q120" i="3"/>
  <c r="FO85" i="3"/>
  <c r="EM34" i="3"/>
  <c r="DK94" i="3"/>
  <c r="CW72" i="3"/>
  <c r="CI117" i="3"/>
  <c r="CI65" i="3"/>
  <c r="BU118" i="3"/>
  <c r="BU76" i="3"/>
  <c r="BG132" i="3"/>
  <c r="BG84" i="3"/>
  <c r="BG44" i="3"/>
  <c r="AS104" i="3"/>
  <c r="AS69" i="3"/>
  <c r="AE130" i="3"/>
  <c r="AE94" i="3"/>
  <c r="AE54" i="3"/>
  <c r="Q49" i="3"/>
  <c r="Q88" i="3"/>
  <c r="Q123" i="3"/>
  <c r="FO70" i="3"/>
  <c r="DK90" i="3"/>
  <c r="CW71" i="3"/>
  <c r="CI116" i="3"/>
  <c r="CI64" i="3"/>
  <c r="BU117" i="3"/>
  <c r="BU75" i="3"/>
  <c r="BG131" i="3"/>
  <c r="BG81" i="3"/>
  <c r="BG43" i="3"/>
  <c r="AS103" i="3"/>
  <c r="AS68" i="3"/>
  <c r="AE129" i="3"/>
  <c r="AE93" i="3"/>
  <c r="AE53" i="3"/>
  <c r="Q50" i="3"/>
  <c r="Q89" i="3"/>
  <c r="Q126" i="3"/>
  <c r="FO67" i="3"/>
  <c r="DY132" i="3"/>
  <c r="DK88" i="3"/>
  <c r="CW70" i="3"/>
  <c r="CI115" i="3"/>
  <c r="CI63" i="3"/>
  <c r="BU116" i="3"/>
  <c r="BU74" i="3"/>
  <c r="BG125" i="3"/>
  <c r="BG80" i="3"/>
  <c r="BG42" i="3"/>
  <c r="AS102" i="3"/>
  <c r="AS67" i="3"/>
  <c r="AE128" i="3"/>
  <c r="AE92" i="3"/>
  <c r="AE52" i="3"/>
  <c r="Q51" i="3"/>
  <c r="Q90" i="3"/>
  <c r="Q127" i="3"/>
  <c r="FO54" i="3"/>
  <c r="DY95" i="3"/>
  <c r="DK69" i="3"/>
  <c r="CW69" i="3"/>
  <c r="CI114" i="3"/>
  <c r="CI59" i="3"/>
  <c r="BU115" i="3"/>
  <c r="BU65" i="3"/>
  <c r="BG124" i="3"/>
  <c r="FA94" i="3"/>
  <c r="DY64" i="3"/>
  <c r="CW108" i="3"/>
  <c r="CI126" i="3"/>
  <c r="CI44" i="3"/>
  <c r="BU90" i="3"/>
  <c r="BU35" i="3"/>
  <c r="BG77" i="3"/>
  <c r="AS127" i="3"/>
  <c r="AS81" i="3"/>
  <c r="AS40" i="3"/>
  <c r="AE91" i="3"/>
  <c r="AE45" i="3"/>
  <c r="Q67" i="3"/>
  <c r="Q114" i="3"/>
  <c r="AS126" i="3"/>
  <c r="Q68" i="3"/>
  <c r="DY55" i="3"/>
  <c r="CW97" i="3"/>
  <c r="CI102" i="3"/>
  <c r="CI42" i="3"/>
  <c r="BG134" i="3"/>
  <c r="BG71" i="3"/>
  <c r="AS79" i="3"/>
  <c r="AE134" i="3"/>
  <c r="AE42" i="3"/>
  <c r="Q70" i="3"/>
  <c r="DY49" i="3"/>
  <c r="CW94" i="3"/>
  <c r="CI101" i="3"/>
  <c r="CI41" i="3"/>
  <c r="BU87" i="3"/>
  <c r="BG70" i="3"/>
  <c r="AS122" i="3"/>
  <c r="AS78" i="3"/>
  <c r="AE82" i="3"/>
  <c r="AE41" i="3"/>
  <c r="Q117" i="3"/>
  <c r="DY46" i="3"/>
  <c r="CW93" i="3"/>
  <c r="CI100" i="3"/>
  <c r="BU86" i="3"/>
  <c r="BG122" i="3"/>
  <c r="AS121" i="3"/>
  <c r="AE127" i="3"/>
  <c r="AE81" i="3"/>
  <c r="Q74" i="3"/>
  <c r="Q118" i="3"/>
  <c r="AE126" i="3"/>
  <c r="EM102" i="3"/>
  <c r="FA71" i="3"/>
  <c r="DY56" i="3"/>
  <c r="CW107" i="3"/>
  <c r="CI103" i="3"/>
  <c r="CI43" i="3"/>
  <c r="BU89" i="3"/>
  <c r="BU34" i="3"/>
  <c r="BG72" i="3"/>
  <c r="AS80" i="3"/>
  <c r="AS39" i="3"/>
  <c r="AE90" i="3"/>
  <c r="AE44" i="3"/>
  <c r="Q115" i="3"/>
  <c r="FA66" i="3"/>
  <c r="BU88" i="3"/>
  <c r="AS125" i="3"/>
  <c r="AE83" i="3"/>
  <c r="Q116" i="3"/>
  <c r="FA47" i="3"/>
  <c r="BG123" i="3"/>
  <c r="AE133" i="3"/>
  <c r="Q71" i="3"/>
  <c r="FA36" i="3"/>
  <c r="CI40" i="3"/>
  <c r="BG69" i="3"/>
  <c r="AS77" i="3"/>
  <c r="AE40" i="3"/>
  <c r="AE80" i="3"/>
  <c r="Q119" i="3"/>
  <c r="M8" i="3"/>
  <c r="M7" i="3"/>
  <c r="DY44" i="3"/>
  <c r="CW92" i="3"/>
  <c r="CI99" i="3"/>
  <c r="CI39" i="3"/>
  <c r="BU85" i="3"/>
  <c r="BG121" i="3"/>
  <c r="BG68" i="3"/>
  <c r="AS120" i="3"/>
  <c r="AS76" i="3"/>
  <c r="AE39" i="3"/>
  <c r="Q75" i="3"/>
  <c r="M3" i="3"/>
  <c r="EM77" i="3"/>
  <c r="DK110" i="3"/>
  <c r="CW65" i="3"/>
  <c r="CI92" i="3"/>
  <c r="BU132" i="3"/>
  <c r="BU64" i="3"/>
  <c r="BG110" i="3"/>
  <c r="BG57" i="3"/>
  <c r="AS116" i="3"/>
  <c r="AS64" i="3"/>
  <c r="AE119" i="3"/>
  <c r="AE75" i="3"/>
  <c r="Q39" i="3"/>
  <c r="Q80" i="3"/>
  <c r="Q130" i="3"/>
  <c r="EM74" i="3"/>
  <c r="DK102" i="3"/>
  <c r="CW64" i="3"/>
  <c r="CI88" i="3"/>
  <c r="BU131" i="3"/>
  <c r="BU63" i="3"/>
  <c r="BG109" i="3"/>
  <c r="BG56" i="3"/>
  <c r="AS108" i="3"/>
  <c r="AS58" i="3"/>
  <c r="AE118" i="3"/>
  <c r="AE74" i="3"/>
  <c r="Q40" i="3"/>
  <c r="Q81" i="3"/>
  <c r="Q131" i="3"/>
  <c r="GC130" i="3"/>
  <c r="EM65" i="3"/>
  <c r="DK100" i="3"/>
  <c r="CW56" i="3"/>
  <c r="CI87" i="3"/>
  <c r="BU130" i="3"/>
  <c r="BU60" i="3"/>
  <c r="BG108" i="3"/>
  <c r="BG55" i="3"/>
  <c r="AS107" i="3"/>
  <c r="AS57" i="3"/>
  <c r="AE117" i="3"/>
  <c r="AE73" i="3"/>
  <c r="Q41" i="3"/>
  <c r="Q92" i="3"/>
  <c r="GC122" i="3"/>
  <c r="EM64" i="3"/>
  <c r="DK61" i="3"/>
  <c r="CW53" i="3"/>
  <c r="CI84" i="3"/>
  <c r="BU129" i="3"/>
  <c r="BU59" i="3"/>
  <c r="BG107" i="3"/>
  <c r="BG54" i="3"/>
  <c r="AS106" i="3"/>
  <c r="AS56" i="3"/>
  <c r="AE116" i="3"/>
  <c r="AE70" i="3"/>
  <c r="Q42" i="3"/>
  <c r="Q93" i="3"/>
  <c r="GC117" i="3"/>
  <c r="EM62" i="3"/>
  <c r="DK53" i="3"/>
  <c r="CW51" i="3"/>
  <c r="CI83" i="3"/>
  <c r="BU126" i="3"/>
  <c r="BU58" i="3"/>
  <c r="BG106" i="3"/>
  <c r="BG51" i="3"/>
  <c r="AS101" i="3"/>
  <c r="AS55" i="3"/>
  <c r="AE115" i="3"/>
  <c r="AE69" i="3"/>
  <c r="Q43" i="3"/>
  <c r="Q94" i="3"/>
  <c r="GC115" i="3"/>
  <c r="EM57" i="3"/>
  <c r="DK51" i="3"/>
  <c r="CW50" i="3"/>
  <c r="CI82" i="3"/>
  <c r="BU112" i="3"/>
  <c r="BU57" i="3"/>
  <c r="BG103" i="3"/>
  <c r="BG50" i="3"/>
  <c r="AS100" i="3"/>
  <c r="AS54" i="3"/>
  <c r="AE108" i="3"/>
  <c r="AE68" i="3"/>
  <c r="Q44" i="3"/>
  <c r="Q95" i="3"/>
  <c r="GC65" i="3"/>
  <c r="EM44" i="3"/>
  <c r="DK49" i="3"/>
  <c r="CW48" i="3"/>
  <c r="CI72" i="3"/>
  <c r="BU111" i="3"/>
  <c r="BU56" i="3"/>
  <c r="BG99" i="3"/>
  <c r="BG49" i="3"/>
  <c r="AS97" i="3"/>
  <c r="AS53" i="3"/>
  <c r="AE107" i="3"/>
  <c r="AE67" i="3"/>
  <c r="Q52" i="3"/>
  <c r="Q96" i="3"/>
  <c r="GC60" i="3"/>
  <c r="CW35" i="3"/>
  <c r="CI69" i="3"/>
  <c r="BU110" i="3"/>
  <c r="BU52" i="3"/>
  <c r="BG98" i="3"/>
  <c r="BG46" i="3"/>
  <c r="AS95" i="3"/>
  <c r="AS51" i="3"/>
  <c r="AE106" i="3"/>
  <c r="AE66" i="3"/>
  <c r="Q53" i="3"/>
  <c r="Q101" i="3"/>
  <c r="GC58" i="3"/>
  <c r="DY88" i="3"/>
  <c r="CW125" i="3"/>
  <c r="CW34" i="3"/>
  <c r="CI68" i="3"/>
  <c r="BU104" i="3"/>
  <c r="BU51" i="3"/>
  <c r="BG95" i="3"/>
  <c r="BG41" i="3"/>
  <c r="AS94" i="3"/>
  <c r="AS50" i="3"/>
  <c r="AE105" i="3"/>
  <c r="AE64" i="3"/>
  <c r="Q54" i="3"/>
  <c r="Q102" i="3"/>
  <c r="GC53" i="3"/>
  <c r="DY85" i="3"/>
  <c r="CW120" i="3"/>
  <c r="CI67" i="3"/>
  <c r="BU103" i="3"/>
  <c r="BU50" i="3"/>
  <c r="BG94" i="3"/>
  <c r="AS134" i="3"/>
  <c r="AS93" i="3"/>
  <c r="AS49" i="3"/>
  <c r="AE104" i="3"/>
  <c r="AE58" i="3"/>
  <c r="Q62" i="3"/>
  <c r="Q103" i="3"/>
  <c r="GC50" i="3"/>
  <c r="DY81" i="3"/>
  <c r="CW119" i="3"/>
  <c r="CI134" i="3"/>
  <c r="CI58" i="3"/>
  <c r="BU102" i="3"/>
  <c r="BU49" i="3"/>
  <c r="BG93" i="3"/>
  <c r="AS133" i="3"/>
  <c r="AS92" i="3"/>
  <c r="AS46" i="3"/>
  <c r="AE103" i="3"/>
  <c r="AE51" i="3"/>
  <c r="Q63" i="3"/>
  <c r="Q104" i="3"/>
  <c r="DY80" i="3"/>
  <c r="CW116" i="3"/>
  <c r="CI133" i="3"/>
  <c r="CI55" i="3"/>
  <c r="BU101" i="3"/>
  <c r="BU46" i="3"/>
  <c r="BG86" i="3"/>
  <c r="AS130" i="3"/>
  <c r="AS91" i="3"/>
  <c r="AS45" i="3"/>
  <c r="AE102" i="3"/>
  <c r="AE50" i="3"/>
  <c r="Q64" i="3"/>
  <c r="Q105" i="3"/>
  <c r="DY78" i="3"/>
  <c r="CW112" i="3"/>
  <c r="CI128" i="3"/>
  <c r="CI54" i="3"/>
  <c r="BU100" i="3"/>
  <c r="BU37" i="3"/>
  <c r="BG79" i="3"/>
  <c r="AS129" i="3"/>
  <c r="AS83" i="3"/>
  <c r="AS42" i="3"/>
  <c r="AE99" i="3"/>
  <c r="AE49" i="3"/>
  <c r="Q65" i="3"/>
  <c r="Q106" i="3"/>
  <c r="FA95" i="3"/>
  <c r="DY76" i="3"/>
  <c r="CW111" i="3"/>
  <c r="CI127" i="3"/>
  <c r="CI53" i="3"/>
  <c r="BU93" i="3"/>
  <c r="BU36" i="3"/>
  <c r="BG78" i="3"/>
  <c r="AS128" i="3"/>
  <c r="AS82" i="3"/>
  <c r="AS41" i="3"/>
  <c r="AE98" i="3"/>
  <c r="AE48" i="3"/>
  <c r="Q66" i="3"/>
  <c r="Q112" i="3"/>
  <c r="CW68" i="3"/>
  <c r="CI98" i="3"/>
  <c r="CI38" i="3"/>
  <c r="BU82" i="3"/>
  <c r="BG112" i="3"/>
  <c r="BG67" i="3"/>
  <c r="AS119" i="3"/>
  <c r="AS75" i="3"/>
  <c r="AE125" i="3"/>
  <c r="AE77" i="3"/>
  <c r="Q37" i="3"/>
  <c r="Q76" i="3"/>
  <c r="Q128" i="3"/>
  <c r="M15" i="3"/>
  <c r="EM80" i="3"/>
  <c r="DK115" i="3"/>
  <c r="CW67" i="3"/>
  <c r="CI93" i="3"/>
  <c r="CI37" i="3"/>
  <c r="BU78" i="3"/>
  <c r="BG111" i="3"/>
  <c r="BG58" i="3"/>
  <c r="AS117" i="3"/>
  <c r="AS71" i="3"/>
  <c r="AE120" i="3"/>
  <c r="AE76" i="3"/>
  <c r="Q38" i="3"/>
  <c r="Q79" i="3"/>
  <c r="Q129" i="3"/>
  <c r="CI107" i="3"/>
  <c r="CI130" i="3"/>
  <c r="GQ42" i="3"/>
  <c r="GQ134" i="3"/>
  <c r="GQ100" i="3"/>
  <c r="GQ92" i="3"/>
  <c r="GC74" i="3"/>
  <c r="GC86" i="3"/>
  <c r="GC83" i="3"/>
  <c r="GC49" i="3"/>
  <c r="FO96" i="3"/>
  <c r="FO122" i="3"/>
  <c r="FO90" i="3"/>
  <c r="FO108" i="3"/>
  <c r="DY122" i="3"/>
  <c r="CI129" i="3"/>
  <c r="CW59" i="3"/>
  <c r="GQ79" i="3"/>
  <c r="GQ123" i="3"/>
  <c r="GQ50" i="3"/>
  <c r="GQ80" i="3"/>
  <c r="GC52" i="3"/>
  <c r="GC90" i="3"/>
  <c r="GC56" i="3"/>
  <c r="GC48" i="3"/>
  <c r="FO74" i="3"/>
  <c r="FO94" i="3"/>
  <c r="FO41" i="3"/>
  <c r="FO63" i="3"/>
  <c r="FA123" i="3"/>
  <c r="FA87" i="3"/>
  <c r="FA125" i="3"/>
  <c r="FA110" i="3"/>
  <c r="EM83" i="3"/>
  <c r="EM73" i="3"/>
  <c r="EM41" i="3"/>
  <c r="DY90" i="3"/>
  <c r="DY57" i="3"/>
  <c r="DY114" i="3"/>
  <c r="DK128" i="3"/>
  <c r="DK91" i="3"/>
  <c r="DK44" i="3"/>
  <c r="CW38" i="3"/>
  <c r="FO112" i="3"/>
  <c r="CW41" i="3"/>
  <c r="CW134" i="3"/>
  <c r="GQ56" i="3"/>
  <c r="GQ84" i="3"/>
  <c r="GQ116" i="3"/>
  <c r="GQ58" i="3"/>
  <c r="GC123" i="3"/>
  <c r="GC88" i="3"/>
  <c r="GC131" i="3"/>
  <c r="GC119" i="3"/>
  <c r="FO52" i="3"/>
  <c r="FO61" i="3"/>
  <c r="FO98" i="3"/>
  <c r="FO116" i="3"/>
  <c r="FA101" i="3"/>
  <c r="FA112" i="3"/>
  <c r="FA100" i="3"/>
  <c r="FA53" i="3"/>
  <c r="EM67" i="3"/>
  <c r="EM123" i="3"/>
  <c r="EM94" i="3"/>
  <c r="DY86" i="3"/>
  <c r="DY35" i="3"/>
  <c r="DY92" i="3"/>
  <c r="DK106" i="3"/>
  <c r="DK72" i="3"/>
  <c r="DK114" i="3"/>
  <c r="CW131" i="3"/>
  <c r="CI97" i="3"/>
  <c r="CW89" i="3"/>
  <c r="DY59" i="3"/>
  <c r="GQ101" i="3"/>
  <c r="GQ124" i="3"/>
  <c r="GQ71" i="3"/>
  <c r="GQ118" i="3"/>
  <c r="GC57" i="3"/>
  <c r="GC41" i="3"/>
  <c r="GC63" i="3"/>
  <c r="GC72" i="3"/>
  <c r="FO79" i="3"/>
  <c r="FO73" i="3"/>
  <c r="FO114" i="3"/>
  <c r="FO99" i="3"/>
  <c r="FA35" i="3"/>
  <c r="FA44" i="3"/>
  <c r="CW54" i="3"/>
  <c r="CW121" i="3"/>
  <c r="GQ126" i="3"/>
  <c r="GQ63" i="3"/>
  <c r="GQ94" i="3"/>
  <c r="GQ35" i="3"/>
  <c r="GQ108" i="3"/>
  <c r="GC106" i="3"/>
  <c r="GC102" i="3"/>
  <c r="GC68" i="3"/>
  <c r="GC42" i="3"/>
  <c r="FO128" i="3"/>
  <c r="FO117" i="3"/>
  <c r="FO51" i="3"/>
  <c r="FO39" i="3"/>
  <c r="FA84" i="3"/>
  <c r="FA105" i="3"/>
  <c r="FA41" i="3"/>
  <c r="FA115" i="3"/>
  <c r="EM101" i="3"/>
  <c r="EM50" i="3"/>
  <c r="EM61" i="3"/>
  <c r="DY134" i="3"/>
  <c r="DY62" i="3"/>
  <c r="DY103" i="3"/>
  <c r="DK82" i="3"/>
  <c r="DK99" i="3"/>
  <c r="DK133" i="3"/>
  <c r="CW100" i="3"/>
  <c r="CW85" i="3"/>
  <c r="DK46" i="3"/>
  <c r="GQ104" i="3"/>
  <c r="GQ106" i="3"/>
  <c r="GQ85" i="3"/>
  <c r="GQ129" i="3"/>
  <c r="GQ95" i="3"/>
  <c r="GC84" i="3"/>
  <c r="GC100" i="3"/>
  <c r="GC37" i="3"/>
  <c r="GC129" i="3"/>
  <c r="FO106" i="3"/>
  <c r="FO102" i="3"/>
  <c r="FO43" i="3"/>
  <c r="FO72" i="3"/>
  <c r="FA62" i="3"/>
  <c r="FA80" i="3"/>
  <c r="FA39" i="3"/>
  <c r="FA34" i="3"/>
  <c r="EM88" i="3"/>
  <c r="EM46" i="3"/>
  <c r="EM130" i="3"/>
  <c r="DY91" i="3"/>
  <c r="DY40" i="3"/>
  <c r="DY117" i="3"/>
  <c r="DK60" i="3"/>
  <c r="DK45" i="3"/>
  <c r="DK34" i="3"/>
  <c r="CW102" i="3"/>
  <c r="CW105" i="3"/>
  <c r="DY71" i="3"/>
  <c r="GQ82" i="3"/>
  <c r="GQ89" i="3"/>
  <c r="GQ66" i="3"/>
  <c r="GQ96" i="3"/>
  <c r="GQ54" i="3"/>
  <c r="GC62" i="3"/>
  <c r="GC98" i="3"/>
  <c r="GC87" i="3"/>
  <c r="GC107" i="3"/>
  <c r="FO84" i="3"/>
  <c r="FO100" i="3"/>
  <c r="FO66" i="3"/>
  <c r="FO47" i="3"/>
  <c r="FA40" i="3"/>
  <c r="FA78" i="3"/>
  <c r="FA58" i="3"/>
  <c r="FA86" i="3"/>
  <c r="EM70" i="3"/>
  <c r="EM42" i="3"/>
  <c r="EM110" i="3"/>
  <c r="DY112" i="3"/>
  <c r="DY111" i="3"/>
  <c r="DY130" i="3"/>
  <c r="DK38" i="3"/>
  <c r="DK43" i="3"/>
  <c r="DY116" i="3"/>
  <c r="GQ90" i="3"/>
  <c r="GQ39" i="3"/>
  <c r="GQ61" i="3"/>
  <c r="GC128" i="3"/>
  <c r="GC59" i="3"/>
  <c r="GC55" i="3"/>
  <c r="FO60" i="3"/>
  <c r="FO64" i="3"/>
  <c r="FA68" i="3"/>
  <c r="FA131" i="3"/>
  <c r="FA54" i="3"/>
  <c r="EM38" i="3"/>
  <c r="EM93" i="3"/>
  <c r="EM35" i="3"/>
  <c r="DY41" i="3"/>
  <c r="DY131" i="3"/>
  <c r="DK84" i="3"/>
  <c r="DK41" i="3"/>
  <c r="CW74" i="3"/>
  <c r="EM76" i="3"/>
  <c r="CW128" i="3"/>
  <c r="FA74" i="3"/>
  <c r="DK109" i="3"/>
  <c r="GC116" i="3"/>
  <c r="GC51" i="3"/>
  <c r="FO53" i="3"/>
  <c r="FA122" i="3"/>
  <c r="DY123" i="3"/>
  <c r="FO120" i="3"/>
  <c r="EM127" i="3"/>
  <c r="GQ72" i="3"/>
  <c r="GQ120" i="3"/>
  <c r="GQ52" i="3"/>
  <c r="GC40" i="3"/>
  <c r="GC47" i="3"/>
  <c r="GC93" i="3"/>
  <c r="FO38" i="3"/>
  <c r="FO95" i="3"/>
  <c r="FA55" i="3"/>
  <c r="FA109" i="3"/>
  <c r="FA90" i="3"/>
  <c r="EM131" i="3"/>
  <c r="EM86" i="3"/>
  <c r="EM113" i="3"/>
  <c r="DY98" i="3"/>
  <c r="DY109" i="3"/>
  <c r="DK62" i="3"/>
  <c r="DK39" i="3"/>
  <c r="CW52" i="3"/>
  <c r="FA96" i="3"/>
  <c r="DK127" i="3"/>
  <c r="GC66" i="3"/>
  <c r="FO59" i="3"/>
  <c r="EM129" i="3"/>
  <c r="CW82" i="3"/>
  <c r="GQ34" i="3"/>
  <c r="FO75" i="3"/>
  <c r="EM52" i="3"/>
  <c r="CW60" i="3"/>
  <c r="FA38" i="3"/>
  <c r="DK129" i="3"/>
  <c r="FA77" i="3"/>
  <c r="GQ49" i="3"/>
  <c r="GQ110" i="3"/>
  <c r="GQ115" i="3"/>
  <c r="GC133" i="3"/>
  <c r="GC108" i="3"/>
  <c r="FO36" i="3"/>
  <c r="FO131" i="3"/>
  <c r="FO56" i="3"/>
  <c r="FA97" i="3"/>
  <c r="FA121" i="3"/>
  <c r="FA73" i="3"/>
  <c r="EM109" i="3"/>
  <c r="EM75" i="3"/>
  <c r="EM117" i="3"/>
  <c r="DY110" i="3"/>
  <c r="DY87" i="3"/>
  <c r="DK40" i="3"/>
  <c r="DK37" i="3"/>
  <c r="CW123" i="3"/>
  <c r="CI75" i="3"/>
  <c r="FA107" i="3"/>
  <c r="GQ125" i="3"/>
  <c r="GQ97" i="3"/>
  <c r="GQ132" i="3"/>
  <c r="GC111" i="3"/>
  <c r="GC103" i="3"/>
  <c r="FO49" i="3"/>
  <c r="FO109" i="3"/>
  <c r="FO111" i="3"/>
  <c r="FA127" i="3"/>
  <c r="FA46" i="3"/>
  <c r="FA70" i="3"/>
  <c r="EM87" i="3"/>
  <c r="EM134" i="3"/>
  <c r="EM72" i="3"/>
  <c r="DY118" i="3"/>
  <c r="DY65" i="3"/>
  <c r="DK126" i="3"/>
  <c r="DK92" i="3"/>
  <c r="CW101" i="3"/>
  <c r="CI119" i="3"/>
  <c r="FO65" i="3"/>
  <c r="GQ75" i="3"/>
  <c r="GQ46" i="3"/>
  <c r="GC89" i="3"/>
  <c r="GC95" i="3"/>
  <c r="FO110" i="3"/>
  <c r="FO87" i="3"/>
  <c r="FO92" i="3"/>
  <c r="FA118" i="3"/>
  <c r="FA42" i="3"/>
  <c r="FA51" i="3"/>
  <c r="EM85" i="3"/>
  <c r="EM97" i="3"/>
  <c r="EM59" i="3"/>
  <c r="DY96" i="3"/>
  <c r="DK104" i="3"/>
  <c r="DK50" i="3"/>
  <c r="CW126" i="3"/>
  <c r="CW36" i="3"/>
  <c r="GQ43" i="3"/>
  <c r="GC67" i="3"/>
  <c r="GC113" i="3"/>
  <c r="FO91" i="3"/>
  <c r="FO76" i="3"/>
  <c r="FA108" i="3"/>
  <c r="EM79" i="3"/>
  <c r="DK131" i="3"/>
  <c r="GQ70" i="3"/>
  <c r="GC78" i="3"/>
  <c r="FO58" i="3"/>
  <c r="FA129" i="3"/>
  <c r="DY48" i="3"/>
  <c r="M17" i="3"/>
  <c r="FA50" i="3"/>
  <c r="DK87" i="3"/>
  <c r="CW96" i="3"/>
  <c r="GC54" i="3"/>
  <c r="DY74" i="3"/>
  <c r="GQ83" i="3"/>
  <c r="EM53" i="3"/>
  <c r="GQ36" i="3"/>
  <c r="FA52" i="3"/>
  <c r="DY119" i="3"/>
  <c r="DK35" i="3"/>
  <c r="GQ112" i="3"/>
  <c r="DY43" i="3"/>
  <c r="GQ88" i="3"/>
  <c r="FA130" i="3"/>
  <c r="EM115" i="3"/>
  <c r="CW104" i="3"/>
  <c r="GQ53" i="3"/>
  <c r="FO78" i="3"/>
  <c r="FA65" i="3"/>
  <c r="EM54" i="3"/>
  <c r="DK73" i="3"/>
  <c r="DK65" i="3"/>
  <c r="EM47" i="3"/>
  <c r="GQ69" i="3"/>
  <c r="FO124" i="3"/>
  <c r="DY70" i="3"/>
  <c r="GC45" i="3"/>
  <c r="DY52" i="3"/>
  <c r="GQ47" i="3"/>
  <c r="FO83" i="3"/>
  <c r="EM107" i="3"/>
  <c r="DK55" i="3"/>
  <c r="EM49" i="3"/>
  <c r="DK77" i="3"/>
  <c r="CI86" i="3"/>
  <c r="GQ119" i="3"/>
  <c r="GQ130" i="3"/>
  <c r="GQ45" i="3"/>
  <c r="GC94" i="3"/>
  <c r="GC44" i="3"/>
  <c r="FO121" i="3"/>
  <c r="FO71" i="3"/>
  <c r="FO45" i="3"/>
  <c r="FA79" i="3"/>
  <c r="FA116" i="3"/>
  <c r="FA93" i="3"/>
  <c r="EM133" i="3"/>
  <c r="EM40" i="3"/>
  <c r="EM55" i="3"/>
  <c r="DY101" i="3"/>
  <c r="DY39" i="3"/>
  <c r="DK58" i="3"/>
  <c r="DK89" i="3"/>
  <c r="CW109" i="3"/>
  <c r="FO86" i="3"/>
  <c r="GQ128" i="3"/>
  <c r="GQ65" i="3"/>
  <c r="GQ67" i="3"/>
  <c r="GC43" i="3"/>
  <c r="GC134" i="3"/>
  <c r="FO123" i="3"/>
  <c r="FO132" i="3"/>
  <c r="FO125" i="3"/>
  <c r="FA111" i="3"/>
  <c r="FA76" i="3"/>
  <c r="FA43" i="3"/>
  <c r="EM63" i="3"/>
  <c r="EM56" i="3"/>
  <c r="DY99" i="3"/>
  <c r="DY106" i="3"/>
  <c r="DK54" i="3"/>
  <c r="DK83" i="3"/>
  <c r="CW130" i="3"/>
  <c r="GC125" i="3"/>
  <c r="GQ60" i="3"/>
  <c r="GQ99" i="3"/>
  <c r="GQ44" i="3"/>
  <c r="GQ98" i="3"/>
  <c r="GC121" i="3"/>
  <c r="GC127" i="3"/>
  <c r="FO101" i="3"/>
  <c r="FO55" i="3"/>
  <c r="FA89" i="3"/>
  <c r="FA63" i="3"/>
  <c r="FA92" i="3"/>
  <c r="EM121" i="3"/>
  <c r="EM111" i="3"/>
  <c r="DY69" i="3"/>
  <c r="DY84" i="3"/>
  <c r="DK96" i="3"/>
  <c r="DK121" i="3"/>
  <c r="DK67" i="3"/>
  <c r="CW132" i="3"/>
  <c r="M5" i="3"/>
  <c r="GQ38" i="3"/>
  <c r="GQ78" i="3"/>
  <c r="GQ68" i="3"/>
  <c r="GQ121" i="3"/>
  <c r="GC104" i="3"/>
  <c r="FO57" i="3"/>
  <c r="FO119" i="3"/>
  <c r="FO80" i="3"/>
  <c r="FA67" i="3"/>
  <c r="FA61" i="3"/>
  <c r="FA85" i="3"/>
  <c r="EM114" i="3"/>
  <c r="EM90" i="3"/>
  <c r="DY107" i="3"/>
  <c r="DY67" i="3"/>
  <c r="DK74" i="3"/>
  <c r="DK95" i="3"/>
  <c r="DK97" i="3"/>
  <c r="CW55" i="3"/>
  <c r="CI85" i="3"/>
  <c r="GQ131" i="3"/>
  <c r="GQ76" i="3"/>
  <c r="GQ62" i="3"/>
  <c r="GQ51" i="3"/>
  <c r="GC85" i="3"/>
  <c r="GC99" i="3"/>
  <c r="FO35" i="3"/>
  <c r="FO50" i="3"/>
  <c r="FO113" i="3"/>
  <c r="FA45" i="3"/>
  <c r="FA134" i="3"/>
  <c r="FA99" i="3"/>
  <c r="EM91" i="3"/>
  <c r="EM68" i="3"/>
  <c r="DY129" i="3"/>
  <c r="DK52" i="3"/>
  <c r="DK93" i="3"/>
  <c r="DK105" i="3"/>
  <c r="CW66" i="3"/>
  <c r="CW49" i="3"/>
  <c r="GQ74" i="3"/>
  <c r="GQ133" i="3"/>
  <c r="GC118" i="3"/>
  <c r="GC81" i="3"/>
  <c r="GC76" i="3"/>
  <c r="GQ86" i="3"/>
  <c r="GC34" i="3"/>
  <c r="FO89" i="3"/>
  <c r="FO77" i="3"/>
  <c r="FA104" i="3"/>
  <c r="EM126" i="3"/>
  <c r="EM69" i="3"/>
  <c r="EM92" i="3"/>
  <c r="DY100" i="3"/>
  <c r="DK101" i="3"/>
  <c r="DK134" i="3"/>
  <c r="DK78" i="3"/>
  <c r="CW124" i="3"/>
  <c r="CW99" i="3"/>
  <c r="GQ105" i="3"/>
  <c r="GQ55" i="3"/>
  <c r="GC101" i="3"/>
  <c r="GC69" i="3"/>
  <c r="GC82" i="3"/>
  <c r="FO126" i="3"/>
  <c r="FO42" i="3"/>
  <c r="FA113" i="3"/>
  <c r="FA82" i="3"/>
  <c r="FA102" i="3"/>
  <c r="EM104" i="3"/>
  <c r="EM100" i="3"/>
  <c r="EM98" i="3"/>
  <c r="DY124" i="3"/>
  <c r="DY82" i="3"/>
  <c r="DK79" i="3"/>
  <c r="DK132" i="3"/>
  <c r="DK117" i="3"/>
  <c r="CW110" i="3"/>
  <c r="GQ114" i="3"/>
  <c r="GQ107" i="3"/>
  <c r="GQ122" i="3"/>
  <c r="GC124" i="3"/>
  <c r="GC112" i="3"/>
  <c r="FO104" i="3"/>
  <c r="FO129" i="3"/>
  <c r="FA49" i="3"/>
  <c r="FA60" i="3"/>
  <c r="FA91" i="3"/>
  <c r="EM82" i="3"/>
  <c r="EM71" i="3"/>
  <c r="EM78" i="3"/>
  <c r="DY127" i="3"/>
  <c r="DY60" i="3"/>
  <c r="DK57" i="3"/>
  <c r="DK130" i="3"/>
  <c r="DY94" i="3"/>
  <c r="GQ103" i="3"/>
  <c r="GQ117" i="3"/>
  <c r="GC35" i="3"/>
  <c r="GC64" i="3"/>
  <c r="GC75" i="3"/>
  <c r="FO82" i="3"/>
  <c r="FA120" i="3"/>
  <c r="FA69" i="3"/>
  <c r="EM60" i="3"/>
  <c r="EM128" i="3"/>
  <c r="DY34" i="3"/>
  <c r="DY38" i="3"/>
  <c r="DK116" i="3"/>
  <c r="DK120" i="3"/>
  <c r="CI108" i="3"/>
  <c r="GQ93" i="3"/>
  <c r="GQ59" i="3"/>
  <c r="GQ64" i="3"/>
  <c r="GC126" i="3"/>
  <c r="GC77" i="3"/>
  <c r="FO37" i="3"/>
  <c r="FO69" i="3"/>
  <c r="FO103" i="3"/>
  <c r="FA57" i="3"/>
  <c r="FA114" i="3"/>
  <c r="FA83" i="3"/>
  <c r="EM120" i="3"/>
  <c r="EM36" i="3"/>
  <c r="DY47" i="3"/>
  <c r="DY79" i="3"/>
  <c r="DY72" i="3"/>
  <c r="DK70" i="3"/>
  <c r="DK124" i="3"/>
  <c r="CW87" i="3"/>
  <c r="DY77" i="3"/>
  <c r="DK59" i="3"/>
  <c r="GQ91" i="3"/>
  <c r="GQ113" i="3"/>
  <c r="GQ73" i="3"/>
  <c r="GC109" i="3"/>
  <c r="GC73" i="3"/>
  <c r="FO127" i="3"/>
  <c r="FO48" i="3"/>
  <c r="FO97" i="3"/>
  <c r="FA128" i="3"/>
  <c r="FA103" i="3"/>
  <c r="FA75" i="3"/>
  <c r="EM96" i="3"/>
  <c r="EM118" i="3"/>
  <c r="DY68" i="3"/>
  <c r="DY133" i="3"/>
  <c r="DK42" i="3"/>
  <c r="DK64" i="3"/>
  <c r="DK111" i="3"/>
  <c r="CW117" i="3"/>
  <c r="EM106" i="3"/>
  <c r="DK112" i="3"/>
  <c r="GQ48" i="3"/>
  <c r="GQ81" i="3"/>
  <c r="GQ37" i="3"/>
  <c r="GC105" i="3"/>
  <c r="GC61" i="3"/>
  <c r="FO93" i="3"/>
  <c r="FO46" i="3"/>
  <c r="FO81" i="3"/>
  <c r="FA106" i="3"/>
  <c r="FA59" i="3"/>
  <c r="FA132" i="3"/>
  <c r="EM125" i="3"/>
  <c r="EM81" i="3"/>
  <c r="DY54" i="3"/>
  <c r="DY89" i="3"/>
  <c r="DK113" i="3"/>
  <c r="DK68" i="3"/>
  <c r="DK86" i="3"/>
  <c r="CW95" i="3"/>
  <c r="FA56" i="3"/>
  <c r="DY83" i="3"/>
  <c r="GQ40" i="3"/>
  <c r="GQ41" i="3"/>
  <c r="GQ57" i="3"/>
  <c r="GC92" i="3"/>
  <c r="GC46" i="3"/>
  <c r="FO118" i="3"/>
  <c r="FO134" i="3"/>
  <c r="FO68" i="3"/>
  <c r="FA133" i="3"/>
  <c r="FA48" i="3"/>
  <c r="FA117" i="3"/>
  <c r="EM112" i="3"/>
  <c r="EM58" i="3"/>
  <c r="DY66" i="3"/>
  <c r="DY128" i="3"/>
  <c r="DK125" i="3"/>
  <c r="DK56" i="3"/>
  <c r="DK108" i="3"/>
  <c r="CW73" i="3"/>
  <c r="GC80" i="3"/>
  <c r="DK118" i="3"/>
  <c r="FO130" i="3"/>
  <c r="GC120" i="3"/>
  <c r="DY45" i="3"/>
  <c r="GQ109" i="3"/>
  <c r="FO62" i="3"/>
  <c r="FO44" i="3"/>
  <c r="FO34" i="3"/>
  <c r="FA126" i="3"/>
  <c r="FA98" i="3"/>
  <c r="FA64" i="3"/>
  <c r="EM84" i="3"/>
  <c r="EM66" i="3"/>
  <c r="DY93" i="3"/>
  <c r="DY126" i="3"/>
  <c r="DK123" i="3"/>
  <c r="DK66" i="3"/>
  <c r="DK63" i="3"/>
  <c r="CW122" i="3"/>
  <c r="CW79" i="3"/>
  <c r="GQ87" i="3"/>
  <c r="GQ77" i="3"/>
  <c r="GC96" i="3"/>
  <c r="GC132" i="3"/>
  <c r="FO40" i="3"/>
  <c r="FA37" i="3"/>
  <c r="DY104" i="3"/>
  <c r="GQ127" i="3"/>
  <c r="GC79" i="3"/>
  <c r="CW118" i="3"/>
  <c r="GQ102" i="3"/>
  <c r="C82" i="3"/>
  <c r="D82" i="3" s="1"/>
  <c r="E82" i="3" s="1"/>
  <c r="E100" i="3"/>
  <c r="R100" i="3"/>
  <c r="E115" i="3"/>
  <c r="F115" i="3" s="1"/>
  <c r="G115" i="3" s="1"/>
  <c r="R115" i="3"/>
  <c r="E121" i="3"/>
  <c r="E112" i="3"/>
  <c r="R112" i="3"/>
  <c r="C35" i="2"/>
  <c r="D35" i="2" s="1"/>
  <c r="E35" i="2" s="1"/>
  <c r="C45" i="2"/>
  <c r="D45" i="2" s="1"/>
  <c r="E45" i="2" s="1"/>
  <c r="C55" i="2"/>
  <c r="D55" i="2" s="1"/>
  <c r="E55" i="2" s="1"/>
  <c r="C75" i="2"/>
  <c r="D75" i="2" s="1"/>
  <c r="E75" i="2" s="1"/>
  <c r="C95" i="2"/>
  <c r="D95" i="2" s="1"/>
  <c r="E95" i="2" s="1"/>
  <c r="C125" i="2"/>
  <c r="D125" i="2" s="1"/>
  <c r="E125" i="2" s="1"/>
  <c r="C66" i="2"/>
  <c r="D66" i="2" s="1"/>
  <c r="E66" i="2" s="1"/>
  <c r="C105" i="2"/>
  <c r="D105" i="2" s="1"/>
  <c r="E105" i="2" s="1"/>
  <c r="C115" i="2"/>
  <c r="D115" i="2" s="1"/>
  <c r="E115" i="2" s="1"/>
  <c r="C86" i="2"/>
  <c r="D86" i="2" s="1"/>
  <c r="E86" i="2" s="1"/>
  <c r="C106" i="2"/>
  <c r="D106" i="2" s="1"/>
  <c r="E106" i="2" s="1"/>
  <c r="C126" i="2"/>
  <c r="D126" i="2" s="1"/>
  <c r="E126" i="2" s="1"/>
  <c r="C36" i="2"/>
  <c r="D36" i="2" s="1"/>
  <c r="G36" i="2" s="1"/>
  <c r="C46" i="2"/>
  <c r="D46" i="2" s="1"/>
  <c r="E46" i="2" s="1"/>
  <c r="C56" i="2"/>
  <c r="D56" i="2" s="1"/>
  <c r="E56" i="2" s="1"/>
  <c r="C76" i="2"/>
  <c r="D76" i="2" s="1"/>
  <c r="E76" i="2" s="1"/>
  <c r="C87" i="2"/>
  <c r="D87" i="2" s="1"/>
  <c r="E87" i="2" s="1"/>
  <c r="C96" i="2"/>
  <c r="D96" i="2" s="1"/>
  <c r="E96" i="2" s="1"/>
  <c r="C116" i="2"/>
  <c r="D116" i="2" s="1"/>
  <c r="E116" i="2" s="1"/>
  <c r="C37" i="2"/>
  <c r="E37" i="2" s="1"/>
  <c r="C67" i="2"/>
  <c r="D67" i="2" s="1"/>
  <c r="E67" i="2" s="1"/>
  <c r="C77" i="2"/>
  <c r="D77" i="2" s="1"/>
  <c r="E77" i="2" s="1"/>
  <c r="C97" i="2"/>
  <c r="D97" i="2" s="1"/>
  <c r="E97" i="2" s="1"/>
  <c r="C39" i="2"/>
  <c r="D39" i="2" s="1"/>
  <c r="E39" i="2" s="1"/>
  <c r="C69" i="2"/>
  <c r="D69" i="2" s="1"/>
  <c r="E69" i="2" s="1"/>
  <c r="C109" i="2"/>
  <c r="D109" i="2" s="1"/>
  <c r="E109" i="2" s="1"/>
  <c r="C129" i="2"/>
  <c r="D129" i="2" s="1"/>
  <c r="E129" i="2" s="1"/>
  <c r="C40" i="2"/>
  <c r="D40" i="2" s="1"/>
  <c r="E40" i="2" s="1"/>
  <c r="C70" i="2"/>
  <c r="D70" i="2" s="1"/>
  <c r="E70" i="2" s="1"/>
  <c r="C80" i="2"/>
  <c r="D80" i="2" s="1"/>
  <c r="E80" i="2" s="1"/>
  <c r="C90" i="2"/>
  <c r="D90" i="2" s="1"/>
  <c r="E90" i="2" s="1"/>
  <c r="C100" i="2"/>
  <c r="D100" i="2" s="1"/>
  <c r="E100" i="2" s="1"/>
  <c r="C110" i="2"/>
  <c r="D110" i="2" s="1"/>
  <c r="E110" i="2" s="1"/>
  <c r="C81" i="2"/>
  <c r="D81" i="2" s="1"/>
  <c r="E81" i="2" s="1"/>
  <c r="C41" i="2"/>
  <c r="D41" i="2" s="1"/>
  <c r="E41" i="2" s="1"/>
  <c r="C61" i="2"/>
  <c r="D61" i="2" s="1"/>
  <c r="E61" i="2" s="1"/>
  <c r="C71" i="2"/>
  <c r="D71" i="2" s="1"/>
  <c r="E71" i="2" s="1"/>
  <c r="C91" i="2"/>
  <c r="D91" i="2" s="1"/>
  <c r="E91" i="2" s="1"/>
  <c r="C47" i="2"/>
  <c r="D47" i="2" s="1"/>
  <c r="E47" i="2" s="1"/>
  <c r="C88" i="2"/>
  <c r="D88" i="2" s="1"/>
  <c r="E88" i="2" s="1"/>
  <c r="C107" i="2"/>
  <c r="D107" i="2" s="1"/>
  <c r="E107" i="2" s="1"/>
  <c r="C127" i="2"/>
  <c r="D127" i="2" s="1"/>
  <c r="E127" i="2" s="1"/>
  <c r="C38" i="2"/>
  <c r="D38" i="2" s="1"/>
  <c r="E38" i="2" s="1"/>
  <c r="C48" i="2"/>
  <c r="D48" i="2" s="1"/>
  <c r="E48" i="2" s="1"/>
  <c r="C57" i="2"/>
  <c r="D57" i="2" s="1"/>
  <c r="E57" i="2" s="1"/>
  <c r="C117" i="2"/>
  <c r="D117" i="2" s="1"/>
  <c r="E117" i="2" s="1"/>
  <c r="C128" i="2"/>
  <c r="D128" i="2" s="1"/>
  <c r="E128" i="2" s="1"/>
  <c r="C58" i="2"/>
  <c r="D58" i="2" s="1"/>
  <c r="E58" i="2" s="1"/>
  <c r="C68" i="2"/>
  <c r="D68" i="2" s="1"/>
  <c r="E68" i="2" s="1"/>
  <c r="C78" i="2"/>
  <c r="D78" i="2" s="1"/>
  <c r="E78" i="2" s="1"/>
  <c r="C98" i="2"/>
  <c r="D98" i="2" s="1"/>
  <c r="E98" i="2" s="1"/>
  <c r="C59" i="2"/>
  <c r="D59" i="2" s="1"/>
  <c r="E59" i="2" s="1"/>
  <c r="C89" i="2"/>
  <c r="D89" i="2" s="1"/>
  <c r="E89" i="2" s="1"/>
  <c r="C99" i="2"/>
  <c r="D99" i="2" s="1"/>
  <c r="E99" i="2" s="1"/>
  <c r="C108" i="2"/>
  <c r="D108" i="2" s="1"/>
  <c r="E108" i="2" s="1"/>
  <c r="C49" i="2"/>
  <c r="D49" i="2" s="1"/>
  <c r="E49" i="2" s="1"/>
  <c r="C118" i="2"/>
  <c r="D118" i="2" s="1"/>
  <c r="E118" i="2" s="1"/>
  <c r="C60" i="2"/>
  <c r="D60" i="2" s="1"/>
  <c r="E60" i="2" s="1"/>
  <c r="C79" i="2"/>
  <c r="D79" i="2" s="1"/>
  <c r="E79" i="2" s="1"/>
  <c r="C119" i="2"/>
  <c r="D119" i="2" s="1"/>
  <c r="E119" i="2" s="1"/>
  <c r="C50" i="2"/>
  <c r="D50" i="2" s="1"/>
  <c r="E50" i="2" s="1"/>
  <c r="C130" i="2"/>
  <c r="D130" i="2" s="1"/>
  <c r="E130" i="2" s="1"/>
  <c r="C131" i="2"/>
  <c r="D131" i="2" s="1"/>
  <c r="E131" i="2" s="1"/>
  <c r="C93" i="2"/>
  <c r="D93" i="2" s="1"/>
  <c r="E93" i="2" s="1"/>
  <c r="C121" i="2"/>
  <c r="D121" i="2" s="1"/>
  <c r="E121" i="2" s="1"/>
  <c r="C64" i="2"/>
  <c r="D64" i="2" s="1"/>
  <c r="E64" i="2" s="1"/>
  <c r="C65" i="2"/>
  <c r="D65" i="2" s="1"/>
  <c r="E65" i="2" s="1"/>
  <c r="C94" i="2"/>
  <c r="D94" i="2" s="1"/>
  <c r="E94" i="2" s="1"/>
  <c r="C122" i="2"/>
  <c r="D122" i="2" s="1"/>
  <c r="E122" i="2" s="1"/>
  <c r="C43" i="2"/>
  <c r="D43" i="2" s="1"/>
  <c r="E43" i="2" s="1"/>
  <c r="C72" i="2"/>
  <c r="D72" i="2" s="1"/>
  <c r="E72" i="2" s="1"/>
  <c r="C101" i="2"/>
  <c r="D101" i="2" s="1"/>
  <c r="E101" i="2" s="1"/>
  <c r="C44" i="2"/>
  <c r="D44" i="2" s="1"/>
  <c r="E44" i="2" s="1"/>
  <c r="C123" i="2"/>
  <c r="D123" i="2" s="1"/>
  <c r="E123" i="2" s="1"/>
  <c r="C73" i="2"/>
  <c r="D73" i="2" s="1"/>
  <c r="E73" i="2" s="1"/>
  <c r="C124" i="2"/>
  <c r="D124" i="2" s="1"/>
  <c r="E124" i="2" s="1"/>
  <c r="C102" i="2"/>
  <c r="D102" i="2" s="1"/>
  <c r="E102" i="2" s="1"/>
  <c r="C51" i="2"/>
  <c r="D51" i="2" s="1"/>
  <c r="E51" i="2" s="1"/>
  <c r="C103" i="2"/>
  <c r="D103" i="2" s="1"/>
  <c r="E103" i="2" s="1"/>
  <c r="C132" i="2"/>
  <c r="D132" i="2" s="1"/>
  <c r="E132" i="2" s="1"/>
  <c r="C82" i="2"/>
  <c r="D82" i="2" s="1"/>
  <c r="E82" i="2" s="1"/>
  <c r="C104" i="2"/>
  <c r="D104" i="2" s="1"/>
  <c r="E104" i="2" s="1"/>
  <c r="C52" i="2"/>
  <c r="D52" i="2" s="1"/>
  <c r="E52" i="2" s="1"/>
  <c r="C133" i="2"/>
  <c r="D133" i="2" s="1"/>
  <c r="E133" i="2" s="1"/>
  <c r="C53" i="2"/>
  <c r="D53" i="2" s="1"/>
  <c r="E53" i="2" s="1"/>
  <c r="C111" i="2"/>
  <c r="D111" i="2" s="1"/>
  <c r="E111" i="2" s="1"/>
  <c r="C83" i="2"/>
  <c r="D83" i="2" s="1"/>
  <c r="E83" i="2" s="1"/>
  <c r="C84" i="2"/>
  <c r="D84" i="2" s="1"/>
  <c r="E84" i="2" s="1"/>
  <c r="C54" i="2"/>
  <c r="D54" i="2" s="1"/>
  <c r="E54" i="2" s="1"/>
  <c r="C42" i="2"/>
  <c r="D42" i="2" s="1"/>
  <c r="E42" i="2" s="1"/>
  <c r="C74" i="2"/>
  <c r="D74" i="2" s="1"/>
  <c r="E74" i="2" s="1"/>
  <c r="C134" i="2"/>
  <c r="D134" i="2" s="1"/>
  <c r="E134" i="2" s="1"/>
  <c r="C112" i="2"/>
  <c r="D112" i="2" s="1"/>
  <c r="E112" i="2" s="1"/>
  <c r="C62" i="2"/>
  <c r="D62" i="2" s="1"/>
  <c r="E62" i="2" s="1"/>
  <c r="C85" i="2"/>
  <c r="D85" i="2" s="1"/>
  <c r="E85" i="2" s="1"/>
  <c r="C113" i="2"/>
  <c r="D113" i="2" s="1"/>
  <c r="E113" i="2" s="1"/>
  <c r="C92" i="2"/>
  <c r="D92" i="2" s="1"/>
  <c r="E92" i="2" s="1"/>
  <c r="C114" i="2"/>
  <c r="D114" i="2" s="1"/>
  <c r="E114" i="2" s="1"/>
  <c r="C63" i="2"/>
  <c r="D63" i="2" s="1"/>
  <c r="E63" i="2" s="1"/>
  <c r="C120" i="2"/>
  <c r="D120" i="2" s="1"/>
  <c r="E120" i="2" s="1"/>
  <c r="AA152" i="2"/>
  <c r="AB152" i="2" s="1"/>
  <c r="C34" i="2"/>
  <c r="D34" i="2" s="1"/>
  <c r="E34" i="2" s="1"/>
  <c r="S3" i="2"/>
  <c r="S12" i="2"/>
  <c r="S17" i="2"/>
  <c r="S13" i="2"/>
  <c r="S16" i="2"/>
  <c r="S14" i="2"/>
  <c r="S15" i="2"/>
  <c r="S18" i="2"/>
  <c r="S20" i="2"/>
  <c r="S21" i="2"/>
  <c r="S24" i="2"/>
  <c r="S19" i="2"/>
  <c r="S22" i="2"/>
  <c r="S5" i="2"/>
  <c r="S6" i="2"/>
  <c r="S7" i="2"/>
  <c r="S8" i="2"/>
  <c r="S9" i="2"/>
  <c r="S10" i="2"/>
  <c r="S11" i="2"/>
  <c r="S4" i="2"/>
  <c r="AI48" i="2"/>
  <c r="AJ48" i="2" s="1"/>
  <c r="AI117" i="2"/>
  <c r="AJ117" i="2" s="1"/>
  <c r="AI91" i="2"/>
  <c r="AJ91" i="2" s="1"/>
  <c r="AI97" i="2"/>
  <c r="AJ97" i="2" s="1"/>
  <c r="AI83" i="2"/>
  <c r="AJ83" i="2" s="1"/>
  <c r="AI66" i="2"/>
  <c r="AJ66" i="2" s="1"/>
  <c r="AI43" i="2"/>
  <c r="AJ43" i="2" s="1"/>
  <c r="AI106" i="2"/>
  <c r="AJ106" i="2" s="1"/>
  <c r="AI75" i="2"/>
  <c r="AJ75" i="2" s="1"/>
  <c r="AI112" i="2"/>
  <c r="AJ112" i="2" s="1"/>
  <c r="AI53" i="2"/>
  <c r="AJ53" i="2" s="1"/>
  <c r="AI110" i="2"/>
  <c r="AJ110" i="2" s="1"/>
  <c r="AI41" i="2"/>
  <c r="AJ41" i="2" s="1"/>
  <c r="G21" i="2"/>
  <c r="AI109" i="2"/>
  <c r="AJ109" i="2" s="1"/>
  <c r="AI86" i="2"/>
  <c r="AJ86" i="2" s="1"/>
  <c r="AI103" i="2"/>
  <c r="AJ103" i="2" s="1"/>
  <c r="AI51" i="2"/>
  <c r="AJ51" i="2" s="1"/>
  <c r="AI85" i="2"/>
  <c r="AJ85" i="2" s="1"/>
  <c r="AI81" i="2"/>
  <c r="AJ81" i="2" s="1"/>
  <c r="AI99" i="2"/>
  <c r="AJ99" i="2" s="1"/>
  <c r="AI59" i="2"/>
  <c r="AJ59" i="2" s="1"/>
  <c r="AI87" i="2"/>
  <c r="AJ87" i="2" s="1"/>
  <c r="AI98" i="2"/>
  <c r="AJ98" i="2" s="1"/>
  <c r="AI84" i="2"/>
  <c r="AJ84" i="2" s="1"/>
  <c r="AI116" i="2"/>
  <c r="AJ116" i="2" s="1"/>
  <c r="AI45" i="2"/>
  <c r="AJ45" i="2" s="1"/>
  <c r="AI80" i="2"/>
  <c r="AJ80" i="2" s="1"/>
  <c r="AI94" i="2"/>
  <c r="AJ94" i="2" s="1"/>
  <c r="AI88" i="2"/>
  <c r="AJ88" i="2" s="1"/>
  <c r="AI50" i="2"/>
  <c r="AJ50" i="2" s="1"/>
  <c r="AI124" i="2"/>
  <c r="AJ124" i="2" s="1"/>
  <c r="AI93" i="2"/>
  <c r="AJ93" i="2" s="1"/>
  <c r="AI67" i="2"/>
  <c r="AJ67" i="2" s="1"/>
  <c r="AI71" i="2"/>
  <c r="AJ71" i="2" s="1"/>
  <c r="AI55" i="2"/>
  <c r="AJ55" i="2" s="1"/>
  <c r="AI46" i="2"/>
  <c r="AJ46" i="2" s="1"/>
  <c r="AI118" i="2"/>
  <c r="AJ118" i="2" s="1"/>
  <c r="AI90" i="2"/>
  <c r="AJ90" i="2" s="1"/>
  <c r="AI89" i="2"/>
  <c r="AJ89" i="2" s="1"/>
  <c r="AI105" i="2"/>
  <c r="AJ105" i="2" s="1"/>
  <c r="AI58" i="2"/>
  <c r="AJ58" i="2" s="1"/>
  <c r="AI72" i="2"/>
  <c r="AJ72" i="2" s="1"/>
  <c r="AI95" i="2"/>
  <c r="AJ95" i="2" s="1"/>
  <c r="AI68" i="2"/>
  <c r="AJ68" i="2" s="1"/>
  <c r="AI79" i="2"/>
  <c r="AJ79" i="2" s="1"/>
  <c r="AI74" i="2"/>
  <c r="AJ74" i="2" s="1"/>
  <c r="AI47" i="2"/>
  <c r="AJ47" i="2" s="1"/>
  <c r="AI108" i="2"/>
  <c r="AJ108" i="2" s="1"/>
  <c r="AI96" i="2"/>
  <c r="AJ96" i="2" s="1"/>
  <c r="AI77" i="2"/>
  <c r="AJ77" i="2" s="1"/>
  <c r="AI44" i="2"/>
  <c r="AJ44" i="2" s="1"/>
  <c r="AI61" i="2"/>
  <c r="AJ61" i="2" s="1"/>
  <c r="AI123" i="2"/>
  <c r="AJ123" i="2" s="1"/>
  <c r="AI63" i="2"/>
  <c r="AJ63" i="2" s="1"/>
  <c r="AI76" i="2"/>
  <c r="AJ76" i="2" s="1"/>
  <c r="AI120" i="2"/>
  <c r="AJ120" i="2" s="1"/>
  <c r="AI64" i="2"/>
  <c r="AJ64" i="2" s="1"/>
  <c r="AI101" i="2"/>
  <c r="AJ101" i="2" s="1"/>
  <c r="AI115" i="2"/>
  <c r="AJ115" i="2" s="1"/>
  <c r="AI107" i="2"/>
  <c r="AJ107" i="2" s="1"/>
  <c r="AI57" i="2"/>
  <c r="AJ57" i="2" s="1"/>
  <c r="AI56" i="2"/>
  <c r="AJ56" i="2" s="1"/>
  <c r="AI121" i="2"/>
  <c r="AJ121" i="2" s="1"/>
  <c r="AI113" i="2"/>
  <c r="AJ113" i="2" s="1"/>
  <c r="AI62" i="2"/>
  <c r="AJ62" i="2" s="1"/>
  <c r="AI49" i="2"/>
  <c r="AJ49" i="2" s="1"/>
  <c r="AI52" i="2"/>
  <c r="AJ52" i="2" s="1"/>
  <c r="AI104" i="2"/>
  <c r="AJ104" i="2" s="1"/>
  <c r="AI92" i="2"/>
  <c r="AJ92" i="2" s="1"/>
  <c r="AI102" i="2"/>
  <c r="AJ102" i="2" s="1"/>
  <c r="AI82" i="2"/>
  <c r="AJ82" i="2" s="1"/>
  <c r="AI70" i="2"/>
  <c r="AJ70" i="2" s="1"/>
  <c r="AI60" i="2"/>
  <c r="AJ60" i="2" s="1"/>
  <c r="AI42" i="2"/>
  <c r="AJ42" i="2" s="1"/>
  <c r="AI73" i="2"/>
  <c r="AJ73" i="2" s="1"/>
  <c r="AI54" i="2"/>
  <c r="AJ54" i="2" s="1"/>
  <c r="AI122" i="2"/>
  <c r="AJ122" i="2" s="1"/>
  <c r="AI114" i="2"/>
  <c r="AJ114" i="2" s="1"/>
  <c r="AI65" i="2"/>
  <c r="AJ65" i="2" s="1"/>
  <c r="AI100" i="2"/>
  <c r="AJ100" i="2" s="1"/>
  <c r="AI111" i="2"/>
  <c r="AJ111" i="2" s="1"/>
  <c r="AI78" i="2"/>
  <c r="AJ78" i="2" s="1"/>
  <c r="AI69" i="2"/>
  <c r="AJ69" i="2" s="1"/>
  <c r="AI119" i="2"/>
  <c r="AJ119" i="2" s="1"/>
  <c r="G22" i="2"/>
  <c r="AA119" i="2"/>
  <c r="AB119" i="2" s="1"/>
  <c r="AA135" i="2"/>
  <c r="AB135" i="2" s="1"/>
  <c r="AA143" i="2"/>
  <c r="AB143" i="2" s="1"/>
  <c r="AA151" i="2"/>
  <c r="AB151" i="2" s="1"/>
  <c r="AA40" i="2"/>
  <c r="AB40" i="2" s="1"/>
  <c r="AA137" i="2"/>
  <c r="AB137" i="2" s="1"/>
  <c r="AA145" i="2"/>
  <c r="AB145" i="2" s="1"/>
  <c r="AA131" i="2"/>
  <c r="AB131" i="2" s="1"/>
  <c r="AA133" i="2"/>
  <c r="AB133" i="2" s="1"/>
  <c r="AA141" i="2"/>
  <c r="AB141" i="2" s="1"/>
  <c r="AA48" i="2"/>
  <c r="AB48" i="2" s="1"/>
  <c r="AA88" i="2"/>
  <c r="AB88" i="2" s="1"/>
  <c r="AA79" i="2"/>
  <c r="AB79" i="2" s="1"/>
  <c r="AA65" i="2"/>
  <c r="AB65" i="2" s="1"/>
  <c r="AA72" i="2"/>
  <c r="AB72" i="2" s="1"/>
  <c r="AA73" i="2"/>
  <c r="AB73" i="2" s="1"/>
  <c r="AA97" i="2"/>
  <c r="AB97" i="2" s="1"/>
  <c r="AA57" i="2"/>
  <c r="AB57" i="2" s="1"/>
  <c r="AA85" i="2"/>
  <c r="AB85" i="2" s="1"/>
  <c r="AA99" i="2"/>
  <c r="AB99" i="2" s="1"/>
  <c r="R130" i="3" l="1"/>
  <c r="AF130" i="3" s="1"/>
  <c r="E96" i="3"/>
  <c r="H96" i="3" s="1"/>
  <c r="R74" i="3"/>
  <c r="S74" i="3" s="1"/>
  <c r="E60" i="3"/>
  <c r="F60" i="3" s="1"/>
  <c r="G60" i="3" s="1"/>
  <c r="R108" i="3"/>
  <c r="S108" i="3" s="1"/>
  <c r="R65" i="3"/>
  <c r="S65" i="3" s="1"/>
  <c r="E105" i="3"/>
  <c r="F105" i="3" s="1"/>
  <c r="G105" i="3" s="1"/>
  <c r="R55" i="3"/>
  <c r="S55" i="3" s="1"/>
  <c r="E70" i="3"/>
  <c r="H70" i="3" s="1"/>
  <c r="R91" i="3"/>
  <c r="AF91" i="3" s="1"/>
  <c r="R104" i="3"/>
  <c r="S104" i="3" s="1"/>
  <c r="E119" i="3"/>
  <c r="H119" i="3" s="1"/>
  <c r="R72" i="3"/>
  <c r="AF72" i="3" s="1"/>
  <c r="E116" i="3"/>
  <c r="H116" i="3" s="1"/>
  <c r="E129" i="3"/>
  <c r="F129" i="3" s="1"/>
  <c r="G129" i="3" s="1"/>
  <c r="E110" i="3"/>
  <c r="F110" i="3" s="1"/>
  <c r="G110" i="3" s="1"/>
  <c r="R127" i="3"/>
  <c r="S127" i="3" s="1"/>
  <c r="R42" i="3"/>
  <c r="AF42" i="3" s="1"/>
  <c r="E86" i="3"/>
  <c r="F86" i="3" s="1"/>
  <c r="G86" i="3" s="1"/>
  <c r="R123" i="3"/>
  <c r="AF123" i="3" s="1"/>
  <c r="E98" i="3"/>
  <c r="F98" i="3" s="1"/>
  <c r="G98" i="3" s="1"/>
  <c r="R52" i="3"/>
  <c r="AF52" i="3" s="1"/>
  <c r="R51" i="3"/>
  <c r="S51" i="3" s="1"/>
  <c r="E120" i="3"/>
  <c r="F120" i="3" s="1"/>
  <c r="G120" i="3" s="1"/>
  <c r="R95" i="3"/>
  <c r="AF95" i="3" s="1"/>
  <c r="R109" i="3"/>
  <c r="AF109" i="3" s="1"/>
  <c r="R38" i="3"/>
  <c r="S38" i="3" s="1"/>
  <c r="R48" i="3"/>
  <c r="AF48" i="3" s="1"/>
  <c r="R124" i="3"/>
  <c r="AF124" i="3" s="1"/>
  <c r="R125" i="3"/>
  <c r="S125" i="3" s="1"/>
  <c r="R90" i="3"/>
  <c r="AF90" i="3" s="1"/>
  <c r="E45" i="3"/>
  <c r="F45" i="3" s="1"/>
  <c r="G45" i="3" s="1"/>
  <c r="R131" i="3"/>
  <c r="AF131" i="3" s="1"/>
  <c r="R77" i="3"/>
  <c r="S77" i="3" s="1"/>
  <c r="E69" i="3"/>
  <c r="H69" i="3" s="1"/>
  <c r="R53" i="3"/>
  <c r="AF53" i="3" s="1"/>
  <c r="R35" i="3"/>
  <c r="AF35" i="3" s="1"/>
  <c r="R66" i="3"/>
  <c r="S66" i="3" s="1"/>
  <c r="R68" i="3"/>
  <c r="AF68" i="3" s="1"/>
  <c r="H114" i="3"/>
  <c r="F114" i="3"/>
  <c r="G114" i="3" s="1"/>
  <c r="R114" i="3"/>
  <c r="S114" i="3" s="1"/>
  <c r="E83" i="3"/>
  <c r="H83" i="3" s="1"/>
  <c r="E62" i="3"/>
  <c r="H62" i="3" s="1"/>
  <c r="E56" i="3"/>
  <c r="H56" i="3" s="1"/>
  <c r="R103" i="3"/>
  <c r="S103" i="3" s="1"/>
  <c r="R71" i="3"/>
  <c r="AF71" i="3" s="1"/>
  <c r="R34" i="3"/>
  <c r="S34" i="3" s="1"/>
  <c r="R46" i="3"/>
  <c r="S46" i="3" s="1"/>
  <c r="R117" i="3"/>
  <c r="S117" i="3" s="1"/>
  <c r="R41" i="3"/>
  <c r="S41" i="3" s="1"/>
  <c r="R81" i="3"/>
  <c r="S81" i="3" s="1"/>
  <c r="E126" i="3"/>
  <c r="F126" i="3" s="1"/>
  <c r="G126" i="3" s="1"/>
  <c r="R106" i="3"/>
  <c r="S106" i="3" s="1"/>
  <c r="R97" i="3"/>
  <c r="S97" i="3" s="1"/>
  <c r="R58" i="3"/>
  <c r="S58" i="3" s="1"/>
  <c r="E49" i="3"/>
  <c r="H49" i="3" s="1"/>
  <c r="R84" i="3"/>
  <c r="S84" i="3" s="1"/>
  <c r="R44" i="3"/>
  <c r="AF44" i="3" s="1"/>
  <c r="R102" i="3"/>
  <c r="S102" i="3" s="1"/>
  <c r="R43" i="3"/>
  <c r="AF43" i="3" s="1"/>
  <c r="R118" i="3"/>
  <c r="AF118" i="3" s="1"/>
  <c r="E79" i="3"/>
  <c r="F79" i="3" s="1"/>
  <c r="G79" i="3" s="1"/>
  <c r="R59" i="3"/>
  <c r="AF59" i="3" s="1"/>
  <c r="R92" i="3"/>
  <c r="AF92" i="3" s="1"/>
  <c r="E73" i="3"/>
  <c r="F73" i="3" s="1"/>
  <c r="G73" i="3" s="1"/>
  <c r="R63" i="3"/>
  <c r="AF63" i="3" s="1"/>
  <c r="R67" i="3"/>
  <c r="AF67" i="3" s="1"/>
  <c r="R76" i="3"/>
  <c r="S76" i="3" s="1"/>
  <c r="R88" i="3"/>
  <c r="AF88" i="3" s="1"/>
  <c r="E113" i="3"/>
  <c r="H113" i="3" s="1"/>
  <c r="R111" i="3"/>
  <c r="S111" i="3" s="1"/>
  <c r="R64" i="3"/>
  <c r="S64" i="3" s="1"/>
  <c r="R94" i="3"/>
  <c r="AF94" i="3" s="1"/>
  <c r="R75" i="3"/>
  <c r="S75" i="3" s="1"/>
  <c r="F46" i="3"/>
  <c r="G46" i="3" s="1"/>
  <c r="H53" i="3"/>
  <c r="I53" i="3" s="1"/>
  <c r="E122" i="3"/>
  <c r="F122" i="3" s="1"/>
  <c r="G122" i="3" s="1"/>
  <c r="R101" i="3"/>
  <c r="AF101" i="3" s="1"/>
  <c r="F64" i="3"/>
  <c r="G64" i="3" s="1"/>
  <c r="R99" i="3"/>
  <c r="AF99" i="3" s="1"/>
  <c r="H93" i="3"/>
  <c r="F93" i="3"/>
  <c r="G93" i="3" s="1"/>
  <c r="H109" i="3"/>
  <c r="I109" i="3" s="1"/>
  <c r="E85" i="3"/>
  <c r="H85" i="3" s="1"/>
  <c r="R89" i="3"/>
  <c r="AF89" i="3" s="1"/>
  <c r="R134" i="3"/>
  <c r="S134" i="3" s="1"/>
  <c r="E39" i="3"/>
  <c r="H39" i="3" s="1"/>
  <c r="R36" i="3"/>
  <c r="S36" i="3" s="1"/>
  <c r="E107" i="3"/>
  <c r="H107" i="3" s="1"/>
  <c r="F48" i="3"/>
  <c r="G48" i="3" s="1"/>
  <c r="R54" i="3"/>
  <c r="AF54" i="3" s="1"/>
  <c r="E78" i="3"/>
  <c r="F78" i="3" s="1"/>
  <c r="G78" i="3" s="1"/>
  <c r="R50" i="3"/>
  <c r="S50" i="3" s="1"/>
  <c r="R87" i="3"/>
  <c r="S87" i="3" s="1"/>
  <c r="R80" i="3"/>
  <c r="AF80" i="3" s="1"/>
  <c r="R93" i="3"/>
  <c r="AF93" i="3" s="1"/>
  <c r="R47" i="3"/>
  <c r="AF47" i="3" s="1"/>
  <c r="F63" i="3"/>
  <c r="G63" i="3" s="1"/>
  <c r="R132" i="3"/>
  <c r="AF132" i="3" s="1"/>
  <c r="F37" i="3"/>
  <c r="G37" i="3" s="1"/>
  <c r="H37" i="3"/>
  <c r="F40" i="3"/>
  <c r="G40" i="3" s="1"/>
  <c r="H40" i="3"/>
  <c r="R82" i="3"/>
  <c r="AF82" i="3" s="1"/>
  <c r="R57" i="3"/>
  <c r="S57" i="3" s="1"/>
  <c r="R37" i="3"/>
  <c r="S37" i="3" s="1"/>
  <c r="E61" i="3"/>
  <c r="F61" i="3" s="1"/>
  <c r="G61" i="3" s="1"/>
  <c r="F102" i="3"/>
  <c r="G102" i="3" s="1"/>
  <c r="R128" i="3"/>
  <c r="AF128" i="3" s="1"/>
  <c r="R40" i="3"/>
  <c r="AF40" i="3" s="1"/>
  <c r="F55" i="3"/>
  <c r="G55" i="3" s="1"/>
  <c r="H108" i="3"/>
  <c r="I108" i="3" s="1"/>
  <c r="H44" i="3"/>
  <c r="I44" i="3" s="1"/>
  <c r="R133" i="3"/>
  <c r="S133" i="3" s="1"/>
  <c r="H72" i="3"/>
  <c r="I72" i="3" s="1"/>
  <c r="H105" i="3"/>
  <c r="I105" i="3" s="1"/>
  <c r="F34" i="3"/>
  <c r="G34" i="3" s="1"/>
  <c r="F131" i="3"/>
  <c r="G131" i="3" s="1"/>
  <c r="S115" i="3"/>
  <c r="AF115" i="3"/>
  <c r="AF78" i="3"/>
  <c r="S78" i="3"/>
  <c r="H47" i="3"/>
  <c r="F47" i="3"/>
  <c r="G47" i="3" s="1"/>
  <c r="S39" i="3"/>
  <c r="AF39" i="3"/>
  <c r="AF83" i="3"/>
  <c r="S83" i="3"/>
  <c r="H111" i="3"/>
  <c r="I111" i="3" s="1"/>
  <c r="F92" i="3"/>
  <c r="G92" i="3" s="1"/>
  <c r="H92" i="3"/>
  <c r="AF112" i="3"/>
  <c r="S112" i="3"/>
  <c r="AF119" i="3"/>
  <c r="S119" i="3"/>
  <c r="AF62" i="3"/>
  <c r="S62" i="3"/>
  <c r="AF110" i="3"/>
  <c r="S110" i="3"/>
  <c r="AF69" i="3"/>
  <c r="S69" i="3"/>
  <c r="F101" i="3"/>
  <c r="G101" i="3" s="1"/>
  <c r="H101" i="3"/>
  <c r="H57" i="3"/>
  <c r="F57" i="3"/>
  <c r="G57" i="3" s="1"/>
  <c r="H81" i="3"/>
  <c r="F81" i="3"/>
  <c r="G81" i="3" s="1"/>
  <c r="F127" i="3"/>
  <c r="G127" i="3" s="1"/>
  <c r="F76" i="3"/>
  <c r="G76" i="3" s="1"/>
  <c r="H76" i="3"/>
  <c r="H51" i="3"/>
  <c r="F51" i="3"/>
  <c r="G51" i="3" s="1"/>
  <c r="H117" i="3"/>
  <c r="I117" i="3" s="1"/>
  <c r="F91" i="3"/>
  <c r="G91" i="3" s="1"/>
  <c r="H50" i="3"/>
  <c r="F50" i="3"/>
  <c r="G50" i="3" s="1"/>
  <c r="AF70" i="3"/>
  <c r="S70" i="3"/>
  <c r="AF107" i="3"/>
  <c r="S107" i="3"/>
  <c r="S105" i="3"/>
  <c r="AF105" i="3"/>
  <c r="S126" i="3"/>
  <c r="AF126" i="3"/>
  <c r="F82" i="3"/>
  <c r="G82" i="3" s="1"/>
  <c r="H82" i="3"/>
  <c r="H115" i="3"/>
  <c r="I115" i="3" s="1"/>
  <c r="F128" i="3"/>
  <c r="G128" i="3" s="1"/>
  <c r="H128" i="3"/>
  <c r="I128" i="3" s="1"/>
  <c r="H52" i="3"/>
  <c r="F52" i="3"/>
  <c r="G52" i="3" s="1"/>
  <c r="H103" i="3"/>
  <c r="F103" i="3"/>
  <c r="G103" i="3" s="1"/>
  <c r="S85" i="3"/>
  <c r="AF85" i="3"/>
  <c r="H134" i="3"/>
  <c r="F134" i="3"/>
  <c r="G134" i="3" s="1"/>
  <c r="H104" i="3"/>
  <c r="I104" i="3" s="1"/>
  <c r="F68" i="3"/>
  <c r="H65" i="3"/>
  <c r="I65" i="3" s="1"/>
  <c r="S116" i="3"/>
  <c r="AF116" i="3"/>
  <c r="F123" i="3"/>
  <c r="G123" i="3" s="1"/>
  <c r="H123" i="3"/>
  <c r="H88" i="3"/>
  <c r="F88" i="3"/>
  <c r="G88" i="3" s="1"/>
  <c r="F100" i="3"/>
  <c r="G100" i="3" s="1"/>
  <c r="H100" i="3"/>
  <c r="H99" i="3"/>
  <c r="F99" i="3"/>
  <c r="G99" i="3" s="1"/>
  <c r="F38" i="3"/>
  <c r="G38" i="3" s="1"/>
  <c r="H38" i="3"/>
  <c r="F118" i="3"/>
  <c r="G118" i="3" s="1"/>
  <c r="H118" i="3"/>
  <c r="S96" i="3"/>
  <c r="AF96" i="3"/>
  <c r="AF129" i="3"/>
  <c r="S129" i="3"/>
  <c r="F95" i="3"/>
  <c r="G95" i="3" s="1"/>
  <c r="AF121" i="3"/>
  <c r="S121" i="3"/>
  <c r="AF120" i="3"/>
  <c r="S120" i="3"/>
  <c r="AF60" i="3"/>
  <c r="S60" i="3"/>
  <c r="AF73" i="3"/>
  <c r="S73" i="3"/>
  <c r="AF55" i="3"/>
  <c r="F125" i="3"/>
  <c r="G125" i="3" s="1"/>
  <c r="H125" i="3"/>
  <c r="AF100" i="3"/>
  <c r="S100" i="3"/>
  <c r="F66" i="3"/>
  <c r="G66" i="3" s="1"/>
  <c r="H66" i="3"/>
  <c r="H89" i="3"/>
  <c r="I89" i="3" s="1"/>
  <c r="H121" i="3"/>
  <c r="F121" i="3"/>
  <c r="G121" i="3" s="1"/>
  <c r="H71" i="3"/>
  <c r="F71" i="3"/>
  <c r="G71" i="3" s="1"/>
  <c r="F80" i="3"/>
  <c r="G80" i="3" s="1"/>
  <c r="H80" i="3"/>
  <c r="F124" i="3"/>
  <c r="G124" i="3" s="1"/>
  <c r="F54" i="3"/>
  <c r="G54" i="3" s="1"/>
  <c r="F87" i="3"/>
  <c r="G87" i="3" s="1"/>
  <c r="F132" i="3"/>
  <c r="G132" i="3" s="1"/>
  <c r="H41" i="3"/>
  <c r="F41" i="3"/>
  <c r="G41" i="3" s="1"/>
  <c r="F112" i="3"/>
  <c r="G112" i="3" s="1"/>
  <c r="H112" i="3"/>
  <c r="F59" i="3"/>
  <c r="G59" i="3" s="1"/>
  <c r="H59" i="3"/>
  <c r="H106" i="3"/>
  <c r="F106" i="3"/>
  <c r="G106" i="3" s="1"/>
  <c r="F36" i="3"/>
  <c r="G36" i="3" s="1"/>
  <c r="H35" i="3"/>
  <c r="I35" i="3" s="1"/>
  <c r="H133" i="3"/>
  <c r="F133" i="3"/>
  <c r="G133" i="3" s="1"/>
  <c r="H43" i="3"/>
  <c r="F43" i="3"/>
  <c r="G43" i="3" s="1"/>
  <c r="F74" i="3"/>
  <c r="G74" i="3" s="1"/>
  <c r="H74" i="3"/>
  <c r="F77" i="3"/>
  <c r="G77" i="3" s="1"/>
  <c r="H77" i="3"/>
  <c r="H84" i="3"/>
  <c r="F84" i="3"/>
  <c r="G84" i="3" s="1"/>
  <c r="F67" i="3"/>
  <c r="G67" i="3" s="1"/>
  <c r="H67" i="3"/>
  <c r="F97" i="3"/>
  <c r="G97" i="3" s="1"/>
  <c r="AF113" i="3"/>
  <c r="S113" i="3"/>
  <c r="AF79" i="3"/>
  <c r="S79" i="3"/>
  <c r="S86" i="3"/>
  <c r="AF86" i="3"/>
  <c r="AF122" i="3"/>
  <c r="S122" i="3"/>
  <c r="S45" i="3"/>
  <c r="AF45" i="3"/>
  <c r="AF49" i="3"/>
  <c r="S49" i="3"/>
  <c r="AF56" i="3"/>
  <c r="S56" i="3"/>
  <c r="H42" i="3"/>
  <c r="F42" i="3"/>
  <c r="G42" i="3" s="1"/>
  <c r="AF98" i="3"/>
  <c r="S98" i="3"/>
  <c r="H75" i="3"/>
  <c r="F75" i="3"/>
  <c r="G75" i="3" s="1"/>
  <c r="H130" i="3"/>
  <c r="F130" i="3"/>
  <c r="G130" i="3" s="1"/>
  <c r="S61" i="3"/>
  <c r="AF61" i="3"/>
  <c r="F90" i="3"/>
  <c r="G90" i="3" s="1"/>
  <c r="H90" i="3"/>
  <c r="I90" i="3" s="1"/>
  <c r="H94" i="3"/>
  <c r="I94" i="3" s="1"/>
  <c r="F58" i="3"/>
  <c r="G58" i="3" s="1"/>
  <c r="H58" i="3"/>
  <c r="F67" i="2"/>
  <c r="G67" i="2" s="1"/>
  <c r="H67" i="2"/>
  <c r="F131" i="2"/>
  <c r="G131" i="2" s="1"/>
  <c r="H131" i="2"/>
  <c r="F88" i="2"/>
  <c r="G88" i="2" s="1"/>
  <c r="H88" i="2"/>
  <c r="F119" i="2"/>
  <c r="G119" i="2" s="1"/>
  <c r="H119" i="2"/>
  <c r="F71" i="2"/>
  <c r="G71" i="2" s="1"/>
  <c r="H71" i="2"/>
  <c r="I71" i="2" s="1"/>
  <c r="F46" i="2"/>
  <c r="G46" i="2" s="1"/>
  <c r="H46" i="2"/>
  <c r="F103" i="2"/>
  <c r="G103" i="2" s="1"/>
  <c r="H103" i="2"/>
  <c r="I103" i="2" s="1"/>
  <c r="F63" i="2"/>
  <c r="G63" i="2" s="1"/>
  <c r="H63" i="2"/>
  <c r="F102" i="2"/>
  <c r="G102" i="2" s="1"/>
  <c r="H102" i="2"/>
  <c r="I102" i="2" s="1"/>
  <c r="F108" i="2"/>
  <c r="G108" i="2" s="1"/>
  <c r="H108" i="2"/>
  <c r="I108" i="2" s="1"/>
  <c r="F110" i="2"/>
  <c r="G110" i="2" s="1"/>
  <c r="H110" i="2"/>
  <c r="I110" i="2" s="1"/>
  <c r="F106" i="2"/>
  <c r="G106" i="2" s="1"/>
  <c r="H106" i="2"/>
  <c r="F83" i="2"/>
  <c r="G83" i="2" s="1"/>
  <c r="H83" i="2"/>
  <c r="F127" i="2"/>
  <c r="G127" i="2" s="1"/>
  <c r="H127" i="2"/>
  <c r="F116" i="2"/>
  <c r="G116" i="2" s="1"/>
  <c r="H116" i="2"/>
  <c r="F52" i="2"/>
  <c r="G52" i="2" s="1"/>
  <c r="H52" i="2"/>
  <c r="I52" i="2" s="1"/>
  <c r="F76" i="2"/>
  <c r="G76" i="2" s="1"/>
  <c r="H76" i="2"/>
  <c r="F60" i="2"/>
  <c r="G60" i="2" s="1"/>
  <c r="H60" i="2"/>
  <c r="I60" i="2" s="1"/>
  <c r="F118" i="2"/>
  <c r="G118" i="2" s="1"/>
  <c r="H118" i="2"/>
  <c r="F51" i="2"/>
  <c r="G51" i="2" s="1"/>
  <c r="H51" i="2"/>
  <c r="I51" i="2" s="1"/>
  <c r="F114" i="2"/>
  <c r="G114" i="2" s="1"/>
  <c r="H114" i="2"/>
  <c r="I114" i="2" s="1"/>
  <c r="F86" i="2"/>
  <c r="G86" i="2" s="1"/>
  <c r="H86" i="2"/>
  <c r="I86" i="2" s="1"/>
  <c r="F90" i="2"/>
  <c r="G90" i="2" s="1"/>
  <c r="H90" i="2"/>
  <c r="F59" i="2"/>
  <c r="G59" i="2" s="1"/>
  <c r="H59" i="2"/>
  <c r="F105" i="2"/>
  <c r="G105" i="2" s="1"/>
  <c r="H105" i="2"/>
  <c r="F85" i="2"/>
  <c r="G85" i="2" s="1"/>
  <c r="H85" i="2"/>
  <c r="F44" i="2"/>
  <c r="G44" i="2" s="1"/>
  <c r="H44" i="2"/>
  <c r="I44" i="2" s="1"/>
  <c r="F98" i="2"/>
  <c r="G98" i="2" s="1"/>
  <c r="H98" i="2"/>
  <c r="F70" i="2"/>
  <c r="G70" i="2" s="1"/>
  <c r="H70" i="2"/>
  <c r="I70" i="2" s="1"/>
  <c r="F66" i="2"/>
  <c r="G66" i="2" s="1"/>
  <c r="H66" i="2"/>
  <c r="F93" i="2"/>
  <c r="G93" i="2" s="1"/>
  <c r="H93" i="2"/>
  <c r="I93" i="2" s="1"/>
  <c r="F53" i="2"/>
  <c r="G53" i="2" s="1"/>
  <c r="H53" i="2"/>
  <c r="I53" i="2" s="1"/>
  <c r="F130" i="2"/>
  <c r="G130" i="2" s="1"/>
  <c r="H130" i="2"/>
  <c r="I130" i="2" s="1"/>
  <c r="F50" i="2"/>
  <c r="G50" i="2" s="1"/>
  <c r="H50" i="2"/>
  <c r="F104" i="2"/>
  <c r="G104" i="2" s="1"/>
  <c r="H104" i="2"/>
  <c r="F82" i="2"/>
  <c r="G82" i="2" s="1"/>
  <c r="H82" i="2"/>
  <c r="F132" i="2"/>
  <c r="G132" i="2" s="1"/>
  <c r="H132" i="2"/>
  <c r="F49" i="2"/>
  <c r="G49" i="2" s="1"/>
  <c r="H49" i="2"/>
  <c r="I49" i="2" s="1"/>
  <c r="F124" i="2"/>
  <c r="G124" i="2" s="1"/>
  <c r="H124" i="2"/>
  <c r="F92" i="2"/>
  <c r="G92" i="2" s="1"/>
  <c r="H92" i="2"/>
  <c r="I92" i="2" s="1"/>
  <c r="F123" i="2"/>
  <c r="G123" i="2" s="1"/>
  <c r="H123" i="2"/>
  <c r="F80" i="2"/>
  <c r="G80" i="2" s="1"/>
  <c r="H80" i="2"/>
  <c r="I80" i="2" s="1"/>
  <c r="F62" i="2"/>
  <c r="G62" i="2" s="1"/>
  <c r="H62" i="2"/>
  <c r="I62" i="2" s="1"/>
  <c r="F101" i="2"/>
  <c r="G101" i="2" s="1"/>
  <c r="H101" i="2"/>
  <c r="I101" i="2" s="1"/>
  <c r="F78" i="2"/>
  <c r="G78" i="2" s="1"/>
  <c r="H78" i="2"/>
  <c r="F40" i="2"/>
  <c r="G40" i="2" s="1"/>
  <c r="H40" i="2"/>
  <c r="F125" i="2"/>
  <c r="G125" i="2" s="1"/>
  <c r="H125" i="2"/>
  <c r="F121" i="2"/>
  <c r="G121" i="2" s="1"/>
  <c r="H121" i="2"/>
  <c r="F111" i="2"/>
  <c r="G111" i="2" s="1"/>
  <c r="H111" i="2"/>
  <c r="I111" i="2" s="1"/>
  <c r="F107" i="2"/>
  <c r="G107" i="2" s="1"/>
  <c r="H107" i="2"/>
  <c r="F87" i="2"/>
  <c r="G87" i="2" s="1"/>
  <c r="H87" i="2"/>
  <c r="I87" i="2" s="1"/>
  <c r="F34" i="2"/>
  <c r="G34" i="2" s="1"/>
  <c r="H34" i="2"/>
  <c r="F41" i="2"/>
  <c r="G41" i="2" s="1"/>
  <c r="H41" i="2"/>
  <c r="I41" i="2" s="1"/>
  <c r="F81" i="2"/>
  <c r="G81" i="2" s="1"/>
  <c r="H81" i="2"/>
  <c r="I81" i="2" s="1"/>
  <c r="F99" i="2"/>
  <c r="G99" i="2" s="1"/>
  <c r="H99" i="2"/>
  <c r="I99" i="2" s="1"/>
  <c r="F89" i="2"/>
  <c r="G89" i="2" s="1"/>
  <c r="H89" i="2"/>
  <c r="F129" i="2"/>
  <c r="G129" i="2" s="1"/>
  <c r="H129" i="2"/>
  <c r="F134" i="2"/>
  <c r="G134" i="2" s="1"/>
  <c r="H134" i="2"/>
  <c r="F43" i="2"/>
  <c r="G43" i="2" s="1"/>
  <c r="H43" i="2"/>
  <c r="F58" i="2"/>
  <c r="G58" i="2" s="1"/>
  <c r="H58" i="2"/>
  <c r="I58" i="2" s="1"/>
  <c r="F109" i="2"/>
  <c r="G109" i="2" s="1"/>
  <c r="H109" i="2"/>
  <c r="F75" i="2"/>
  <c r="G75" i="2" s="1"/>
  <c r="H75" i="2"/>
  <c r="I75" i="2" s="1"/>
  <c r="F38" i="2"/>
  <c r="G38" i="2" s="1"/>
  <c r="H38" i="2"/>
  <c r="F37" i="2"/>
  <c r="G37" i="2" s="1"/>
  <c r="H37" i="2"/>
  <c r="I37" i="2" s="1"/>
  <c r="F133" i="2"/>
  <c r="G133" i="2" s="1"/>
  <c r="H133" i="2"/>
  <c r="I133" i="2" s="1"/>
  <c r="F96" i="2"/>
  <c r="G96" i="2" s="1"/>
  <c r="H96" i="2"/>
  <c r="I96" i="2" s="1"/>
  <c r="F47" i="2"/>
  <c r="G47" i="2" s="1"/>
  <c r="H47" i="2"/>
  <c r="F91" i="2"/>
  <c r="G91" i="2" s="1"/>
  <c r="H91" i="2"/>
  <c r="F79" i="2"/>
  <c r="G79" i="2" s="1"/>
  <c r="H79" i="2"/>
  <c r="F56" i="2"/>
  <c r="G56" i="2" s="1"/>
  <c r="H56" i="2"/>
  <c r="F61" i="2"/>
  <c r="G61" i="2" s="1"/>
  <c r="H61" i="2"/>
  <c r="I61" i="2" s="1"/>
  <c r="F120" i="2"/>
  <c r="G120" i="2" s="1"/>
  <c r="H120" i="2"/>
  <c r="F126" i="2"/>
  <c r="G126" i="2" s="1"/>
  <c r="H126" i="2"/>
  <c r="I126" i="2" s="1"/>
  <c r="F100" i="2"/>
  <c r="G100" i="2" s="1"/>
  <c r="H100" i="2"/>
  <c r="F73" i="2"/>
  <c r="G73" i="2" s="1"/>
  <c r="H73" i="2"/>
  <c r="I73" i="2" s="1"/>
  <c r="F115" i="2"/>
  <c r="G115" i="2" s="1"/>
  <c r="H115" i="2"/>
  <c r="I115" i="2" s="1"/>
  <c r="F113" i="2"/>
  <c r="G113" i="2" s="1"/>
  <c r="H113" i="2"/>
  <c r="I113" i="2" s="1"/>
  <c r="F112" i="2"/>
  <c r="G112" i="2" s="1"/>
  <c r="H112" i="2"/>
  <c r="F72" i="2"/>
  <c r="G72" i="2" s="1"/>
  <c r="H72" i="2"/>
  <c r="F68" i="2"/>
  <c r="G68" i="2" s="1"/>
  <c r="H68" i="2"/>
  <c r="F95" i="2"/>
  <c r="G95" i="2" s="1"/>
  <c r="H95" i="2"/>
  <c r="F74" i="2"/>
  <c r="G74" i="2" s="1"/>
  <c r="H74" i="2"/>
  <c r="I74" i="2" s="1"/>
  <c r="F122" i="2"/>
  <c r="G122" i="2" s="1"/>
  <c r="H122" i="2"/>
  <c r="F128" i="2"/>
  <c r="G128" i="2" s="1"/>
  <c r="H128" i="2"/>
  <c r="I128" i="2" s="1"/>
  <c r="F69" i="2"/>
  <c r="G69" i="2" s="1"/>
  <c r="H69" i="2"/>
  <c r="F55" i="2"/>
  <c r="G55" i="2" s="1"/>
  <c r="H55" i="2"/>
  <c r="I55" i="2" s="1"/>
  <c r="F42" i="2"/>
  <c r="G42" i="2" s="1"/>
  <c r="H42" i="2"/>
  <c r="I42" i="2" s="1"/>
  <c r="F94" i="2"/>
  <c r="G94" i="2" s="1"/>
  <c r="H94" i="2"/>
  <c r="I94" i="2" s="1"/>
  <c r="F117" i="2"/>
  <c r="G117" i="2" s="1"/>
  <c r="H117" i="2"/>
  <c r="F39" i="2"/>
  <c r="G39" i="2" s="1"/>
  <c r="H39" i="2"/>
  <c r="F45" i="2"/>
  <c r="G45" i="2" s="1"/>
  <c r="H45" i="2"/>
  <c r="F54" i="2"/>
  <c r="G54" i="2" s="1"/>
  <c r="H54" i="2"/>
  <c r="F65" i="2"/>
  <c r="G65" i="2" s="1"/>
  <c r="H65" i="2"/>
  <c r="I65" i="2" s="1"/>
  <c r="F57" i="2"/>
  <c r="G57" i="2" s="1"/>
  <c r="H57" i="2"/>
  <c r="F97" i="2"/>
  <c r="G97" i="2" s="1"/>
  <c r="H97" i="2"/>
  <c r="I97" i="2" s="1"/>
  <c r="F35" i="2"/>
  <c r="G35" i="2" s="1"/>
  <c r="H35" i="2"/>
  <c r="F84" i="2"/>
  <c r="G84" i="2" s="1"/>
  <c r="H84" i="2"/>
  <c r="I84" i="2" s="1"/>
  <c r="F64" i="2"/>
  <c r="G64" i="2" s="1"/>
  <c r="H64" i="2"/>
  <c r="I64" i="2" s="1"/>
  <c r="F48" i="2"/>
  <c r="G48" i="2" s="1"/>
  <c r="H48" i="2"/>
  <c r="I48" i="2" s="1"/>
  <c r="F77" i="2"/>
  <c r="G77" i="2" s="1"/>
  <c r="H77" i="2"/>
  <c r="AA51" i="2"/>
  <c r="AB51" i="2" s="1"/>
  <c r="AA64" i="2"/>
  <c r="AB64" i="2" s="1"/>
  <c r="AA103" i="2"/>
  <c r="AB103" i="2" s="1"/>
  <c r="AA62" i="2"/>
  <c r="AB62" i="2" s="1"/>
  <c r="AA56" i="2"/>
  <c r="AB56" i="2" s="1"/>
  <c r="AA86" i="2"/>
  <c r="AB86" i="2" s="1"/>
  <c r="AA134" i="2"/>
  <c r="AB134" i="2" s="1"/>
  <c r="AA81" i="2"/>
  <c r="AB81" i="2" s="1"/>
  <c r="AA70" i="2"/>
  <c r="AB70" i="2" s="1"/>
  <c r="AA100" i="2"/>
  <c r="AB100" i="2" s="1"/>
  <c r="AA45" i="2"/>
  <c r="AB45" i="2" s="1"/>
  <c r="AA69" i="2"/>
  <c r="AB69" i="2" s="1"/>
  <c r="AA96" i="2"/>
  <c r="AB96" i="2" s="1"/>
  <c r="X36" i="2"/>
  <c r="AA58" i="2"/>
  <c r="AB58" i="2" s="1"/>
  <c r="AA122" i="2"/>
  <c r="AB122" i="2" s="1"/>
  <c r="AA104" i="2"/>
  <c r="AB104" i="2" s="1"/>
  <c r="AA90" i="2"/>
  <c r="AB90" i="2" s="1"/>
  <c r="AA138" i="2"/>
  <c r="AB138" i="2" s="1"/>
  <c r="AA92" i="2"/>
  <c r="AB92" i="2" s="1"/>
  <c r="AA59" i="2"/>
  <c r="AB59" i="2" s="1"/>
  <c r="AA101" i="2"/>
  <c r="AB101" i="2" s="1"/>
  <c r="AA144" i="2"/>
  <c r="AB144" i="2" s="1"/>
  <c r="AA41" i="2"/>
  <c r="AB41" i="2" s="1"/>
  <c r="AA116" i="2"/>
  <c r="AB116" i="2" s="1"/>
  <c r="AA136" i="2"/>
  <c r="AB136" i="2" s="1"/>
  <c r="AA46" i="2"/>
  <c r="AB46" i="2" s="1"/>
  <c r="AA55" i="2"/>
  <c r="AB55" i="2" s="1"/>
  <c r="AA68" i="2"/>
  <c r="AB68" i="2" s="1"/>
  <c r="AA130" i="2"/>
  <c r="AB130" i="2" s="1"/>
  <c r="AA128" i="2"/>
  <c r="AB128" i="2" s="1"/>
  <c r="AA149" i="2"/>
  <c r="AB149" i="2" s="1"/>
  <c r="AA91" i="2"/>
  <c r="AB91" i="2" s="1"/>
  <c r="AA49" i="2"/>
  <c r="AB49" i="2" s="1"/>
  <c r="AA118" i="2"/>
  <c r="AB118" i="2" s="1"/>
  <c r="AA125" i="2"/>
  <c r="AB125" i="2" s="1"/>
  <c r="AA78" i="2"/>
  <c r="AB78" i="2" s="1"/>
  <c r="AA89" i="2"/>
  <c r="AB89" i="2" s="1"/>
  <c r="AA76" i="2"/>
  <c r="AB76" i="2" s="1"/>
  <c r="AA112" i="2"/>
  <c r="AB112" i="2" s="1"/>
  <c r="AA84" i="2"/>
  <c r="AB84" i="2" s="1"/>
  <c r="AA67" i="2"/>
  <c r="AB67" i="2" s="1"/>
  <c r="AA153" i="2"/>
  <c r="AB153" i="2" s="1"/>
  <c r="AA120" i="2"/>
  <c r="AB120" i="2" s="1"/>
  <c r="AA126" i="2"/>
  <c r="AB126" i="2" s="1"/>
  <c r="AA77" i="2"/>
  <c r="AB77" i="2" s="1"/>
  <c r="AA111" i="2"/>
  <c r="AB111" i="2" s="1"/>
  <c r="AA93" i="2"/>
  <c r="AB93" i="2" s="1"/>
  <c r="AA156" i="2"/>
  <c r="AB156" i="2" s="1"/>
  <c r="AA44" i="2"/>
  <c r="AB44" i="2" s="1"/>
  <c r="AA47" i="2"/>
  <c r="AB47" i="2" s="1"/>
  <c r="AA139" i="2"/>
  <c r="AB139" i="2" s="1"/>
  <c r="AA42" i="2"/>
  <c r="AB42" i="2" s="1"/>
  <c r="AA154" i="2"/>
  <c r="AB154" i="2" s="1"/>
  <c r="AA82" i="2"/>
  <c r="AB82" i="2" s="1"/>
  <c r="AA129" i="2"/>
  <c r="AB129" i="2" s="1"/>
  <c r="AA115" i="2"/>
  <c r="AB115" i="2" s="1"/>
  <c r="AA50" i="2"/>
  <c r="AB50" i="2" s="1"/>
  <c r="AA148" i="2"/>
  <c r="AB148" i="2" s="1"/>
  <c r="AA107" i="2"/>
  <c r="AB107" i="2" s="1"/>
  <c r="AA52" i="2"/>
  <c r="AB52" i="2" s="1"/>
  <c r="AA98" i="2"/>
  <c r="AB98" i="2" s="1"/>
  <c r="AA123" i="2"/>
  <c r="AB123" i="2" s="1"/>
  <c r="AA150" i="2"/>
  <c r="AB150" i="2" s="1"/>
  <c r="AA66" i="2"/>
  <c r="AB66" i="2" s="1"/>
  <c r="AA113" i="2"/>
  <c r="AB113" i="2" s="1"/>
  <c r="AA106" i="2"/>
  <c r="AB106" i="2" s="1"/>
  <c r="AA108" i="2"/>
  <c r="AB108" i="2" s="1"/>
  <c r="AA53" i="2"/>
  <c r="AB53" i="2" s="1"/>
  <c r="AA140" i="2"/>
  <c r="AB140" i="2" s="1"/>
  <c r="AA117" i="2"/>
  <c r="AB117" i="2" s="1"/>
  <c r="AA75" i="2"/>
  <c r="AB75" i="2" s="1"/>
  <c r="AA132" i="2"/>
  <c r="AB132" i="2" s="1"/>
  <c r="AA80" i="2"/>
  <c r="AB80" i="2" s="1"/>
  <c r="AA124" i="2"/>
  <c r="AB124" i="2" s="1"/>
  <c r="AA95" i="2"/>
  <c r="AB95" i="2" s="1"/>
  <c r="AA105" i="2"/>
  <c r="AB105" i="2" s="1"/>
  <c r="AA155" i="2"/>
  <c r="AB155" i="2" s="1"/>
  <c r="AA87" i="2"/>
  <c r="AB87" i="2" s="1"/>
  <c r="AA71" i="2"/>
  <c r="AB71" i="2" s="1"/>
  <c r="AA147" i="2"/>
  <c r="AB147" i="2" s="1"/>
  <c r="AA61" i="2"/>
  <c r="AB61" i="2" s="1"/>
  <c r="AA60" i="2"/>
  <c r="AB60" i="2" s="1"/>
  <c r="AA109" i="2"/>
  <c r="AB109" i="2" s="1"/>
  <c r="AA121" i="2"/>
  <c r="AB121" i="2" s="1"/>
  <c r="AA54" i="2"/>
  <c r="AB54" i="2" s="1"/>
  <c r="AA94" i="2"/>
  <c r="AB94" i="2" s="1"/>
  <c r="AA127" i="2"/>
  <c r="AB127" i="2" s="1"/>
  <c r="AA110" i="2"/>
  <c r="AB110" i="2" s="1"/>
  <c r="AA43" i="2"/>
  <c r="AB43" i="2" s="1"/>
  <c r="AA83" i="2"/>
  <c r="AB83" i="2" s="1"/>
  <c r="AA146" i="2"/>
  <c r="AB146" i="2" s="1"/>
  <c r="AA142" i="2"/>
  <c r="AB142" i="2" s="1"/>
  <c r="AA63" i="2"/>
  <c r="AB63" i="2" s="1"/>
  <c r="AA74" i="2"/>
  <c r="AB74" i="2" s="1"/>
  <c r="AA102" i="2"/>
  <c r="AB102" i="2" s="1"/>
  <c r="AA114" i="2"/>
  <c r="AB114" i="2" s="1"/>
  <c r="AN98" i="2"/>
  <c r="AO98" i="2" s="1"/>
  <c r="AN100" i="2"/>
  <c r="AO100" i="2" s="1"/>
  <c r="AN43" i="2"/>
  <c r="AO43" i="2" s="1"/>
  <c r="AN70" i="2"/>
  <c r="AO70" i="2" s="1"/>
  <c r="AN97" i="2"/>
  <c r="AO97" i="2" s="1"/>
  <c r="AN54" i="2"/>
  <c r="AO54" i="2" s="1"/>
  <c r="AN104" i="2"/>
  <c r="AO104" i="2" s="1"/>
  <c r="AN95" i="2"/>
  <c r="AO95" i="2" s="1"/>
  <c r="AN66" i="2"/>
  <c r="AO66" i="2" s="1"/>
  <c r="AN41" i="2"/>
  <c r="AO41" i="2" s="1"/>
  <c r="AN53" i="2"/>
  <c r="AO53" i="2" s="1"/>
  <c r="AN85" i="2"/>
  <c r="AO85" i="2" s="1"/>
  <c r="AN42" i="2"/>
  <c r="AO42" i="2" s="1"/>
  <c r="AN86" i="2"/>
  <c r="AO86" i="2" s="1"/>
  <c r="AN52" i="2"/>
  <c r="AO52" i="2" s="1"/>
  <c r="AN83" i="2"/>
  <c r="AO83" i="2" s="1"/>
  <c r="AN64" i="2"/>
  <c r="AO64" i="2" s="1"/>
  <c r="AN87" i="2"/>
  <c r="AO87" i="2" s="1"/>
  <c r="AN65" i="2"/>
  <c r="AO65" i="2" s="1"/>
  <c r="AN49" i="2"/>
  <c r="AO49" i="2" s="1"/>
  <c r="AN72" i="2"/>
  <c r="AO72" i="2" s="1"/>
  <c r="AN79" i="2"/>
  <c r="AO79" i="2" s="1"/>
  <c r="AN90" i="2"/>
  <c r="AO90" i="2" s="1"/>
  <c r="AN63" i="2"/>
  <c r="AO63" i="2" s="1"/>
  <c r="AN89" i="2"/>
  <c r="AO89" i="2" s="1"/>
  <c r="F70" i="3" l="1"/>
  <c r="G70" i="3" s="1"/>
  <c r="AF108" i="3"/>
  <c r="H60" i="3"/>
  <c r="I60" i="3" s="1"/>
  <c r="S130" i="3"/>
  <c r="T130" i="3" s="1"/>
  <c r="U130" i="3" s="1"/>
  <c r="I101" i="3"/>
  <c r="AF65" i="3"/>
  <c r="AG65" i="3" s="1"/>
  <c r="F96" i="3"/>
  <c r="G96" i="3" s="1"/>
  <c r="H110" i="3"/>
  <c r="I110" i="3" s="1"/>
  <c r="AF74" i="3"/>
  <c r="AT74" i="3" s="1"/>
  <c r="S72" i="3"/>
  <c r="T72" i="3" s="1"/>
  <c r="U72" i="3" s="1"/>
  <c r="AF104" i="3"/>
  <c r="AG104" i="3" s="1"/>
  <c r="H79" i="3"/>
  <c r="I79" i="3" s="1"/>
  <c r="S91" i="3"/>
  <c r="V91" i="3" s="1"/>
  <c r="S52" i="3"/>
  <c r="T52" i="3" s="1"/>
  <c r="U52" i="3" s="1"/>
  <c r="S35" i="3"/>
  <c r="T35" i="3" s="1"/>
  <c r="U35" i="3" s="1"/>
  <c r="H98" i="3"/>
  <c r="I98" i="3" s="1"/>
  <c r="H86" i="3"/>
  <c r="I86" i="3" s="1"/>
  <c r="S68" i="3"/>
  <c r="T68" i="3" s="1"/>
  <c r="U68" i="3" s="1"/>
  <c r="F116" i="3"/>
  <c r="G116" i="3" s="1"/>
  <c r="S42" i="3"/>
  <c r="V42" i="3" s="1"/>
  <c r="AF51" i="3"/>
  <c r="AG51" i="3" s="1"/>
  <c r="F119" i="3"/>
  <c r="G119" i="3" s="1"/>
  <c r="S131" i="3"/>
  <c r="V131" i="3" s="1"/>
  <c r="I114" i="3"/>
  <c r="S123" i="3"/>
  <c r="T123" i="3" s="1"/>
  <c r="U123" i="3" s="1"/>
  <c r="AF127" i="3"/>
  <c r="AT127" i="3" s="1"/>
  <c r="H129" i="3"/>
  <c r="I129" i="3" s="1"/>
  <c r="H120" i="3"/>
  <c r="I120" i="3" s="1"/>
  <c r="AF41" i="3"/>
  <c r="AT41" i="3" s="1"/>
  <c r="F69" i="3"/>
  <c r="G69" i="3" s="1"/>
  <c r="S90" i="3"/>
  <c r="V90" i="3" s="1"/>
  <c r="S48" i="3"/>
  <c r="T48" i="3" s="1"/>
  <c r="U48" i="3" s="1"/>
  <c r="S109" i="3"/>
  <c r="T109" i="3" s="1"/>
  <c r="U109" i="3" s="1"/>
  <c r="AF97" i="3"/>
  <c r="AT97" i="3" s="1"/>
  <c r="S124" i="3"/>
  <c r="V124" i="3" s="1"/>
  <c r="AF125" i="3"/>
  <c r="AG125" i="3" s="1"/>
  <c r="S95" i="3"/>
  <c r="T95" i="3" s="1"/>
  <c r="U95" i="3" s="1"/>
  <c r="S53" i="3"/>
  <c r="V53" i="3" s="1"/>
  <c r="AF77" i="3"/>
  <c r="AG77" i="3" s="1"/>
  <c r="AF38" i="3"/>
  <c r="AT38" i="3" s="1"/>
  <c r="AF81" i="3"/>
  <c r="AG81" i="3" s="1"/>
  <c r="AF106" i="3"/>
  <c r="AT106" i="3" s="1"/>
  <c r="F56" i="3"/>
  <c r="G56" i="3" s="1"/>
  <c r="H45" i="3"/>
  <c r="I45" i="3" s="1"/>
  <c r="I37" i="3"/>
  <c r="AF103" i="3"/>
  <c r="AG103" i="3" s="1"/>
  <c r="S71" i="3"/>
  <c r="T71" i="3" s="1"/>
  <c r="U71" i="3" s="1"/>
  <c r="S59" i="3"/>
  <c r="V59" i="3" s="1"/>
  <c r="AF114" i="3"/>
  <c r="AG114" i="3" s="1"/>
  <c r="F62" i="3"/>
  <c r="G62" i="3" s="1"/>
  <c r="S118" i="3"/>
  <c r="V118" i="3" s="1"/>
  <c r="AF34" i="3"/>
  <c r="AG34" i="3" s="1"/>
  <c r="AF66" i="3"/>
  <c r="AG66" i="3" s="1"/>
  <c r="AF76" i="3"/>
  <c r="AG76" i="3" s="1"/>
  <c r="I92" i="3"/>
  <c r="AF46" i="3"/>
  <c r="AT46" i="3" s="1"/>
  <c r="AF117" i="3"/>
  <c r="AT117" i="3" s="1"/>
  <c r="H73" i="3"/>
  <c r="I73" i="3" s="1"/>
  <c r="F83" i="3"/>
  <c r="G83" i="3" s="1"/>
  <c r="S67" i="3"/>
  <c r="T67" i="3" s="1"/>
  <c r="U67" i="3" s="1"/>
  <c r="S88" i="3"/>
  <c r="T88" i="3" s="1"/>
  <c r="U88" i="3" s="1"/>
  <c r="F113" i="3"/>
  <c r="G113" i="3" s="1"/>
  <c r="I82" i="3"/>
  <c r="AF102" i="3"/>
  <c r="AG102" i="3" s="1"/>
  <c r="AF58" i="3"/>
  <c r="AT58" i="3" s="1"/>
  <c r="F49" i="3"/>
  <c r="G49" i="3" s="1"/>
  <c r="H126" i="3"/>
  <c r="I126" i="3" s="1"/>
  <c r="S92" i="3"/>
  <c r="V92" i="3" s="1"/>
  <c r="S43" i="3"/>
  <c r="T43" i="3" s="1"/>
  <c r="U43" i="3" s="1"/>
  <c r="S63" i="3"/>
  <c r="T63" i="3" s="1"/>
  <c r="U63" i="3" s="1"/>
  <c r="AF84" i="3"/>
  <c r="AT84" i="3" s="1"/>
  <c r="S44" i="3"/>
  <c r="T44" i="3" s="1"/>
  <c r="U44" i="3" s="1"/>
  <c r="S132" i="3"/>
  <c r="T132" i="3" s="1"/>
  <c r="U132" i="3" s="1"/>
  <c r="I46" i="3"/>
  <c r="S101" i="3"/>
  <c r="V101" i="3" s="1"/>
  <c r="I74" i="3"/>
  <c r="I80" i="3"/>
  <c r="AF75" i="3"/>
  <c r="AG75" i="3" s="1"/>
  <c r="H122" i="3"/>
  <c r="I122" i="3" s="1"/>
  <c r="AF64" i="3"/>
  <c r="AT64" i="3" s="1"/>
  <c r="I38" i="3"/>
  <c r="AF111" i="3"/>
  <c r="AG111" i="3" s="1"/>
  <c r="S94" i="3"/>
  <c r="T94" i="3" s="1"/>
  <c r="U94" i="3" s="1"/>
  <c r="AF134" i="3"/>
  <c r="AT134" i="3" s="1"/>
  <c r="S40" i="3"/>
  <c r="V40" i="3" s="1"/>
  <c r="I93" i="3"/>
  <c r="AF87" i="3"/>
  <c r="AT87" i="3" s="1"/>
  <c r="H61" i="3"/>
  <c r="I61" i="3" s="1"/>
  <c r="I55" i="3"/>
  <c r="S99" i="3"/>
  <c r="V99" i="3" s="1"/>
  <c r="F39" i="3"/>
  <c r="G39" i="3" s="1"/>
  <c r="I59" i="3"/>
  <c r="AF57" i="3"/>
  <c r="AT57" i="3" s="1"/>
  <c r="F107" i="3"/>
  <c r="G107" i="3" s="1"/>
  <c r="F85" i="3"/>
  <c r="G85" i="3" s="1"/>
  <c r="S89" i="3"/>
  <c r="T89" i="3" s="1"/>
  <c r="U89" i="3" s="1"/>
  <c r="H78" i="3"/>
  <c r="I78" i="3" s="1"/>
  <c r="I64" i="3"/>
  <c r="I131" i="3"/>
  <c r="I124" i="3"/>
  <c r="AF133" i="3"/>
  <c r="AG133" i="3" s="1"/>
  <c r="I40" i="3"/>
  <c r="I102" i="3"/>
  <c r="I67" i="3"/>
  <c r="S47" i="3"/>
  <c r="T47" i="3" s="1"/>
  <c r="U47" i="3" s="1"/>
  <c r="S80" i="3"/>
  <c r="T80" i="3" s="1"/>
  <c r="U80" i="3" s="1"/>
  <c r="I48" i="3"/>
  <c r="AF50" i="3"/>
  <c r="AG50" i="3" s="1"/>
  <c r="I63" i="3"/>
  <c r="I96" i="3"/>
  <c r="S93" i="3"/>
  <c r="T93" i="3" s="1"/>
  <c r="U93" i="3" s="1"/>
  <c r="S54" i="3"/>
  <c r="T54" i="3" s="1"/>
  <c r="U54" i="3" s="1"/>
  <c r="AF36" i="3"/>
  <c r="AG36" i="3" s="1"/>
  <c r="I91" i="3"/>
  <c r="I66" i="3"/>
  <c r="I118" i="3"/>
  <c r="I76" i="3"/>
  <c r="I54" i="3"/>
  <c r="AF37" i="3"/>
  <c r="AG37" i="3" s="1"/>
  <c r="S128" i="3"/>
  <c r="T128" i="3" s="1"/>
  <c r="U128" i="3" s="1"/>
  <c r="S82" i="3"/>
  <c r="V82" i="3" s="1"/>
  <c r="I58" i="3"/>
  <c r="I123" i="3"/>
  <c r="I57" i="3"/>
  <c r="I34" i="3"/>
  <c r="N34" i="3" s="1"/>
  <c r="I130" i="3"/>
  <c r="I103" i="3"/>
  <c r="I70" i="3"/>
  <c r="I36" i="3"/>
  <c r="I112" i="3"/>
  <c r="T51" i="3"/>
  <c r="U51" i="3" s="1"/>
  <c r="V51" i="3"/>
  <c r="G68" i="3"/>
  <c r="I68" i="3"/>
  <c r="AG132" i="3"/>
  <c r="AT132" i="3"/>
  <c r="AG62" i="3"/>
  <c r="AT62" i="3"/>
  <c r="I95" i="3"/>
  <c r="T73" i="3"/>
  <c r="U73" i="3" s="1"/>
  <c r="V73" i="3"/>
  <c r="V129" i="3"/>
  <c r="T129" i="3"/>
  <c r="U129" i="3" s="1"/>
  <c r="AG108" i="3"/>
  <c r="AT108" i="3"/>
  <c r="V85" i="3"/>
  <c r="T85" i="3"/>
  <c r="U85" i="3" s="1"/>
  <c r="AG126" i="3"/>
  <c r="AT126" i="3"/>
  <c r="T102" i="3"/>
  <c r="U102" i="3" s="1"/>
  <c r="V102" i="3"/>
  <c r="I81" i="3"/>
  <c r="AG119" i="3"/>
  <c r="AT119" i="3"/>
  <c r="T49" i="3"/>
  <c r="U49" i="3" s="1"/>
  <c r="V49" i="3"/>
  <c r="I77" i="3"/>
  <c r="T114" i="3"/>
  <c r="U114" i="3" s="1"/>
  <c r="V114" i="3"/>
  <c r="AT73" i="3"/>
  <c r="AG73" i="3"/>
  <c r="AG129" i="3"/>
  <c r="AT129" i="3"/>
  <c r="V108" i="3"/>
  <c r="T108" i="3"/>
  <c r="U108" i="3" s="1"/>
  <c r="V126" i="3"/>
  <c r="T126" i="3"/>
  <c r="U126" i="3" s="1"/>
  <c r="I47" i="3"/>
  <c r="I134" i="3"/>
  <c r="V55" i="3"/>
  <c r="T55" i="3"/>
  <c r="U55" i="3" s="1"/>
  <c r="V65" i="3"/>
  <c r="T65" i="3"/>
  <c r="U65" i="3" s="1"/>
  <c r="AG68" i="3"/>
  <c r="AT68" i="3"/>
  <c r="T34" i="3"/>
  <c r="U34" i="3" s="1"/>
  <c r="V34" i="3"/>
  <c r="I132" i="3"/>
  <c r="V122" i="3"/>
  <c r="T122" i="3"/>
  <c r="U122" i="3" s="1"/>
  <c r="AG60" i="3"/>
  <c r="AT60" i="3"/>
  <c r="T103" i="3"/>
  <c r="U103" i="3" s="1"/>
  <c r="V103" i="3"/>
  <c r="V112" i="3"/>
  <c r="T112" i="3"/>
  <c r="U112" i="3" s="1"/>
  <c r="AG121" i="3"/>
  <c r="AT121" i="3"/>
  <c r="AG128" i="3"/>
  <c r="AT128" i="3"/>
  <c r="AG130" i="3"/>
  <c r="AT130" i="3"/>
  <c r="V106" i="3"/>
  <c r="T106" i="3"/>
  <c r="U106" i="3" s="1"/>
  <c r="V104" i="3"/>
  <c r="T104" i="3"/>
  <c r="U104" i="3" s="1"/>
  <c r="AG122" i="3"/>
  <c r="AT122" i="3"/>
  <c r="T77" i="3"/>
  <c r="U77" i="3" s="1"/>
  <c r="V77" i="3"/>
  <c r="AG100" i="3"/>
  <c r="AT100" i="3"/>
  <c r="AG80" i="3"/>
  <c r="AT80" i="3"/>
  <c r="AT99" i="3"/>
  <c r="AG99" i="3"/>
  <c r="AG131" i="3"/>
  <c r="AT131" i="3"/>
  <c r="AG48" i="3"/>
  <c r="AT48" i="3"/>
  <c r="AT109" i="3"/>
  <c r="AG109" i="3"/>
  <c r="T117" i="3"/>
  <c r="U117" i="3" s="1"/>
  <c r="V117" i="3"/>
  <c r="I97" i="3"/>
  <c r="AG59" i="3"/>
  <c r="AT59" i="3"/>
  <c r="T119" i="3"/>
  <c r="U119" i="3" s="1"/>
  <c r="V119" i="3"/>
  <c r="V96" i="3"/>
  <c r="T96" i="3"/>
  <c r="U96" i="3" s="1"/>
  <c r="AG101" i="3"/>
  <c r="AT101" i="3"/>
  <c r="AG116" i="3"/>
  <c r="AT116" i="3"/>
  <c r="I52" i="3"/>
  <c r="V107" i="3"/>
  <c r="T107" i="3"/>
  <c r="U107" i="3" s="1"/>
  <c r="AG72" i="3"/>
  <c r="AT72" i="3"/>
  <c r="V78" i="3"/>
  <c r="T78" i="3"/>
  <c r="U78" i="3" s="1"/>
  <c r="AT35" i="3"/>
  <c r="AG35" i="3"/>
  <c r="AG83" i="3"/>
  <c r="AT83" i="3"/>
  <c r="V39" i="3"/>
  <c r="T39" i="3"/>
  <c r="U39" i="3" s="1"/>
  <c r="AG89" i="3"/>
  <c r="AT89" i="3"/>
  <c r="T134" i="3"/>
  <c r="U134" i="3" s="1"/>
  <c r="V134" i="3"/>
  <c r="V100" i="3"/>
  <c r="T100" i="3"/>
  <c r="U100" i="3" s="1"/>
  <c r="AT120" i="3"/>
  <c r="AG120" i="3"/>
  <c r="I99" i="3"/>
  <c r="T116" i="3"/>
  <c r="U116" i="3" s="1"/>
  <c r="V116" i="3"/>
  <c r="AT107" i="3"/>
  <c r="AG107" i="3"/>
  <c r="V69" i="3"/>
  <c r="T69" i="3"/>
  <c r="U69" i="3" s="1"/>
  <c r="AG78" i="3"/>
  <c r="AT78" i="3"/>
  <c r="AG82" i="3"/>
  <c r="AT82" i="3"/>
  <c r="AG56" i="3"/>
  <c r="AT56" i="3"/>
  <c r="T50" i="3"/>
  <c r="U50" i="3" s="1"/>
  <c r="V50" i="3"/>
  <c r="I51" i="3"/>
  <c r="AG69" i="3"/>
  <c r="AT69" i="3"/>
  <c r="AG115" i="3"/>
  <c r="AT115" i="3"/>
  <c r="V36" i="3"/>
  <c r="T36" i="3"/>
  <c r="U36" i="3" s="1"/>
  <c r="T38" i="3"/>
  <c r="U38" i="3" s="1"/>
  <c r="V38" i="3"/>
  <c r="I84" i="3"/>
  <c r="T64" i="3"/>
  <c r="U64" i="3" s="1"/>
  <c r="V64" i="3"/>
  <c r="AG112" i="3"/>
  <c r="AT112" i="3"/>
  <c r="AG52" i="3"/>
  <c r="AT52" i="3"/>
  <c r="V110" i="3"/>
  <c r="T110" i="3"/>
  <c r="U110" i="3" s="1"/>
  <c r="V115" i="3"/>
  <c r="T115" i="3"/>
  <c r="U115" i="3" s="1"/>
  <c r="T113" i="3"/>
  <c r="U113" i="3" s="1"/>
  <c r="V113" i="3"/>
  <c r="AT123" i="3"/>
  <c r="AG123" i="3"/>
  <c r="AG95" i="3"/>
  <c r="AT95" i="3"/>
  <c r="AG70" i="3"/>
  <c r="AT70" i="3"/>
  <c r="AG67" i="3"/>
  <c r="AT67" i="3"/>
  <c r="I42" i="3"/>
  <c r="AG113" i="3"/>
  <c r="AT113" i="3"/>
  <c r="T37" i="3"/>
  <c r="U37" i="3" s="1"/>
  <c r="V37" i="3"/>
  <c r="T125" i="3"/>
  <c r="U125" i="3" s="1"/>
  <c r="V125" i="3"/>
  <c r="I88" i="3"/>
  <c r="AG124" i="3"/>
  <c r="AT124" i="3"/>
  <c r="AG88" i="3"/>
  <c r="AT88" i="3"/>
  <c r="V127" i="3"/>
  <c r="T127" i="3"/>
  <c r="U127" i="3" s="1"/>
  <c r="T83" i="3"/>
  <c r="U83" i="3" s="1"/>
  <c r="V83" i="3"/>
  <c r="AG42" i="3"/>
  <c r="AT42" i="3"/>
  <c r="AG63" i="3"/>
  <c r="AT63" i="3"/>
  <c r="V66" i="3"/>
  <c r="T66" i="3"/>
  <c r="U66" i="3" s="1"/>
  <c r="AT43" i="3"/>
  <c r="AG43" i="3"/>
  <c r="I71" i="3"/>
  <c r="T75" i="3"/>
  <c r="U75" i="3" s="1"/>
  <c r="V75" i="3"/>
  <c r="AT39" i="3"/>
  <c r="AG39" i="3"/>
  <c r="T56" i="3"/>
  <c r="U56" i="3" s="1"/>
  <c r="V56" i="3"/>
  <c r="AG40" i="3"/>
  <c r="AT40" i="3"/>
  <c r="AG118" i="3"/>
  <c r="AT118" i="3"/>
  <c r="V62" i="3"/>
  <c r="T62" i="3"/>
  <c r="U62" i="3" s="1"/>
  <c r="V57" i="3"/>
  <c r="T57" i="3"/>
  <c r="U57" i="3" s="1"/>
  <c r="T133" i="3"/>
  <c r="U133" i="3" s="1"/>
  <c r="V133" i="3"/>
  <c r="I121" i="3"/>
  <c r="I50" i="3"/>
  <c r="AT61" i="3"/>
  <c r="AG61" i="3"/>
  <c r="AG55" i="3"/>
  <c r="AT55" i="3"/>
  <c r="AG85" i="3"/>
  <c r="AT85" i="3"/>
  <c r="AG92" i="3"/>
  <c r="AT92" i="3"/>
  <c r="T61" i="3"/>
  <c r="U61" i="3" s="1"/>
  <c r="V61" i="3"/>
  <c r="V46" i="3"/>
  <c r="T46" i="3"/>
  <c r="U46" i="3" s="1"/>
  <c r="AG49" i="3"/>
  <c r="AT49" i="3"/>
  <c r="AG96" i="3"/>
  <c r="AT96" i="3"/>
  <c r="V41" i="3"/>
  <c r="T41" i="3"/>
  <c r="U41" i="3" s="1"/>
  <c r="AG105" i="3"/>
  <c r="AT105" i="3"/>
  <c r="AG45" i="3"/>
  <c r="AT45" i="3"/>
  <c r="AG90" i="3"/>
  <c r="AT90" i="3"/>
  <c r="AG53" i="3"/>
  <c r="AT53" i="3"/>
  <c r="AG44" i="3"/>
  <c r="AT44" i="3"/>
  <c r="V105" i="3"/>
  <c r="T105" i="3"/>
  <c r="U105" i="3" s="1"/>
  <c r="I127" i="3"/>
  <c r="T45" i="3"/>
  <c r="U45" i="3" s="1"/>
  <c r="V45" i="3"/>
  <c r="I41" i="3"/>
  <c r="V60" i="3"/>
  <c r="T60" i="3"/>
  <c r="U60" i="3" s="1"/>
  <c r="AT47" i="3"/>
  <c r="AG47" i="3"/>
  <c r="I75" i="3"/>
  <c r="I43" i="3"/>
  <c r="V84" i="3"/>
  <c r="T84" i="3"/>
  <c r="U84" i="3" s="1"/>
  <c r="V87" i="3"/>
  <c r="T87" i="3"/>
  <c r="U87" i="3" s="1"/>
  <c r="T81" i="3"/>
  <c r="U81" i="3" s="1"/>
  <c r="V81" i="3"/>
  <c r="T111" i="3"/>
  <c r="U111" i="3" s="1"/>
  <c r="V111" i="3"/>
  <c r="T98" i="3"/>
  <c r="U98" i="3" s="1"/>
  <c r="V98" i="3"/>
  <c r="AG86" i="3"/>
  <c r="AT86" i="3"/>
  <c r="AG98" i="3"/>
  <c r="AT98" i="3"/>
  <c r="T86" i="3"/>
  <c r="U86" i="3" s="1"/>
  <c r="V86" i="3"/>
  <c r="I133" i="3"/>
  <c r="T120" i="3"/>
  <c r="U120" i="3" s="1"/>
  <c r="V120" i="3"/>
  <c r="V79" i="3"/>
  <c r="T79" i="3"/>
  <c r="U79" i="3" s="1"/>
  <c r="T74" i="3"/>
  <c r="U74" i="3" s="1"/>
  <c r="V74" i="3"/>
  <c r="AG79" i="3"/>
  <c r="AT79" i="3"/>
  <c r="T76" i="3"/>
  <c r="U76" i="3" s="1"/>
  <c r="V76" i="3"/>
  <c r="T58" i="3"/>
  <c r="U58" i="3" s="1"/>
  <c r="V58" i="3"/>
  <c r="AG71" i="3"/>
  <c r="AT71" i="3"/>
  <c r="AG94" i="3"/>
  <c r="AT94" i="3"/>
  <c r="AG91" i="3"/>
  <c r="AT91" i="3"/>
  <c r="I106" i="3"/>
  <c r="AG93" i="3"/>
  <c r="AT93" i="3"/>
  <c r="AT54" i="3"/>
  <c r="AG54" i="3"/>
  <c r="I125" i="3"/>
  <c r="V121" i="3"/>
  <c r="T121" i="3"/>
  <c r="U121" i="3" s="1"/>
  <c r="I100" i="3"/>
  <c r="V97" i="3"/>
  <c r="T97" i="3"/>
  <c r="U97" i="3" s="1"/>
  <c r="T70" i="3"/>
  <c r="U70" i="3" s="1"/>
  <c r="V70" i="3"/>
  <c r="AG110" i="3"/>
  <c r="AT110" i="3"/>
  <c r="I87" i="3"/>
  <c r="I77" i="2"/>
  <c r="I117" i="2"/>
  <c r="I112" i="2"/>
  <c r="I47" i="2"/>
  <c r="I89" i="2"/>
  <c r="I78" i="2"/>
  <c r="I50" i="2"/>
  <c r="I90" i="2"/>
  <c r="I106" i="2"/>
  <c r="I67" i="2"/>
  <c r="I45" i="2"/>
  <c r="I68" i="2"/>
  <c r="I79" i="2"/>
  <c r="I134" i="2"/>
  <c r="I125" i="2"/>
  <c r="I105" i="2"/>
  <c r="I127" i="2"/>
  <c r="I88" i="2"/>
  <c r="I35" i="2"/>
  <c r="I69" i="2"/>
  <c r="I100" i="2"/>
  <c r="I38" i="2"/>
  <c r="I34" i="2"/>
  <c r="I123" i="2"/>
  <c r="I66" i="2"/>
  <c r="I118" i="2"/>
  <c r="I63" i="2"/>
  <c r="I121" i="2"/>
  <c r="I132" i="2"/>
  <c r="I85" i="2"/>
  <c r="I119" i="2"/>
  <c r="I91" i="2"/>
  <c r="I104" i="2"/>
  <c r="I83" i="2"/>
  <c r="I131" i="2"/>
  <c r="I57" i="2"/>
  <c r="I122" i="2"/>
  <c r="I120" i="2"/>
  <c r="I109" i="2"/>
  <c r="I107" i="2"/>
  <c r="I124" i="2"/>
  <c r="I98" i="2"/>
  <c r="I76" i="2"/>
  <c r="I46" i="2"/>
  <c r="I54" i="2"/>
  <c r="I95" i="2"/>
  <c r="I56" i="2"/>
  <c r="I43" i="2"/>
  <c r="I116" i="2"/>
  <c r="I82" i="2"/>
  <c r="N34" i="2"/>
  <c r="I39" i="2"/>
  <c r="I72" i="2"/>
  <c r="I129" i="2"/>
  <c r="I40" i="2"/>
  <c r="I59" i="2"/>
  <c r="AP90" i="2"/>
  <c r="AQ90" i="2" s="1"/>
  <c r="AR90" i="2" s="1"/>
  <c r="AS90" i="2" s="1"/>
  <c r="AP53" i="2"/>
  <c r="AQ53" i="2" s="1"/>
  <c r="AR53" i="2" s="1"/>
  <c r="AS53" i="2" s="1"/>
  <c r="AN105" i="2"/>
  <c r="AO105" i="2" s="1"/>
  <c r="AP105" i="2" s="1"/>
  <c r="AQ105" i="2" s="1"/>
  <c r="AR105" i="2" s="1"/>
  <c r="AS105" i="2" s="1"/>
  <c r="AN74" i="2"/>
  <c r="AO74" i="2" s="1"/>
  <c r="AN88" i="2"/>
  <c r="AO88" i="2" s="1"/>
  <c r="AP88" i="2" s="1"/>
  <c r="AN76" i="2"/>
  <c r="AO76" i="2" s="1"/>
  <c r="AN96" i="2"/>
  <c r="AO96" i="2" s="1"/>
  <c r="AP97" i="2" s="1"/>
  <c r="AQ97" i="2" s="1"/>
  <c r="AR97" i="2" s="1"/>
  <c r="AS97" i="2" s="1"/>
  <c r="AN91" i="2"/>
  <c r="AO91" i="2" s="1"/>
  <c r="AN92" i="2"/>
  <c r="AO92" i="2" s="1"/>
  <c r="AN77" i="2"/>
  <c r="AO77" i="2" s="1"/>
  <c r="AN44" i="2"/>
  <c r="AO44" i="2" s="1"/>
  <c r="AP44" i="2" s="1"/>
  <c r="AN51" i="2"/>
  <c r="AO51" i="2" s="1"/>
  <c r="AP52" i="2" s="1"/>
  <c r="AQ52" i="2" s="1"/>
  <c r="AR52" i="2" s="1"/>
  <c r="AS52" i="2" s="1"/>
  <c r="AN60" i="2"/>
  <c r="AO60" i="2" s="1"/>
  <c r="X37" i="2"/>
  <c r="W108" i="2" s="1"/>
  <c r="X108" i="2" s="1"/>
  <c r="AN106" i="2"/>
  <c r="AO106" i="2" s="1"/>
  <c r="AN102" i="2"/>
  <c r="AO102" i="2" s="1"/>
  <c r="AN69" i="2"/>
  <c r="AO69" i="2" s="1"/>
  <c r="AP70" i="2" s="1"/>
  <c r="AQ70" i="2" s="1"/>
  <c r="AR70" i="2" s="1"/>
  <c r="AS70" i="2" s="1"/>
  <c r="AN59" i="2"/>
  <c r="AO59" i="2" s="1"/>
  <c r="AP60" i="2" s="1"/>
  <c r="AN45" i="2"/>
  <c r="AO45" i="2" s="1"/>
  <c r="AN67" i="2"/>
  <c r="AO67" i="2" s="1"/>
  <c r="AN103" i="2"/>
  <c r="AO103" i="2" s="1"/>
  <c r="AP104" i="2" s="1"/>
  <c r="AQ104" i="2" s="1"/>
  <c r="AR104" i="2" s="1"/>
  <c r="AS104" i="2" s="1"/>
  <c r="AN84" i="2"/>
  <c r="AO84" i="2" s="1"/>
  <c r="AP85" i="2" s="1"/>
  <c r="AQ85" i="2" s="1"/>
  <c r="AR85" i="2" s="1"/>
  <c r="AS85" i="2" s="1"/>
  <c r="AN71" i="2"/>
  <c r="AO71" i="2" s="1"/>
  <c r="AP72" i="2" s="1"/>
  <c r="AQ72" i="2" s="1"/>
  <c r="AR72" i="2" s="1"/>
  <c r="AS72" i="2" s="1"/>
  <c r="AN47" i="2"/>
  <c r="AO47" i="2" s="1"/>
  <c r="AN68" i="2"/>
  <c r="AO68" i="2" s="1"/>
  <c r="AN94" i="2"/>
  <c r="AO94" i="2" s="1"/>
  <c r="AP95" i="2" s="1"/>
  <c r="AQ95" i="2" s="1"/>
  <c r="AR95" i="2" s="1"/>
  <c r="AS95" i="2" s="1"/>
  <c r="AO40" i="2"/>
  <c r="AP41" i="2" s="1"/>
  <c r="AQ41" i="2" s="1"/>
  <c r="AR41" i="2" s="1"/>
  <c r="AS41" i="2" s="1"/>
  <c r="AN99" i="2"/>
  <c r="AO99" i="2" s="1"/>
  <c r="AP99" i="2" s="1"/>
  <c r="AN46" i="2"/>
  <c r="AO46" i="2" s="1"/>
  <c r="AN58" i="2"/>
  <c r="AO58" i="2" s="1"/>
  <c r="AN75" i="2"/>
  <c r="AO75" i="2" s="1"/>
  <c r="AN80" i="2"/>
  <c r="AO80" i="2" s="1"/>
  <c r="AP80" i="2" s="1"/>
  <c r="AN78" i="2"/>
  <c r="AO78" i="2" s="1"/>
  <c r="AP79" i="2" s="1"/>
  <c r="AQ79" i="2" s="1"/>
  <c r="AR79" i="2" s="1"/>
  <c r="AS79" i="2" s="1"/>
  <c r="AN93" i="2"/>
  <c r="AO93" i="2" s="1"/>
  <c r="AN82" i="2"/>
  <c r="AO82" i="2" s="1"/>
  <c r="AP83" i="2" s="1"/>
  <c r="AQ83" i="2" s="1"/>
  <c r="AR83" i="2" s="1"/>
  <c r="AS83" i="2" s="1"/>
  <c r="AN56" i="2"/>
  <c r="AO56" i="2" s="1"/>
  <c r="AN50" i="2"/>
  <c r="AO50" i="2" s="1"/>
  <c r="AN48" i="2"/>
  <c r="AO48" i="2" s="1"/>
  <c r="AP49" i="2" s="1"/>
  <c r="AQ49" i="2" s="1"/>
  <c r="AR49" i="2" s="1"/>
  <c r="AS49" i="2" s="1"/>
  <c r="AN73" i="2"/>
  <c r="AO73" i="2" s="1"/>
  <c r="AN62" i="2"/>
  <c r="AO62" i="2" s="1"/>
  <c r="AP63" i="2" s="1"/>
  <c r="AQ63" i="2" s="1"/>
  <c r="AR63" i="2" s="1"/>
  <c r="AS63" i="2" s="1"/>
  <c r="AN55" i="2"/>
  <c r="AO55" i="2" s="1"/>
  <c r="AP56" i="2" s="1"/>
  <c r="AN57" i="2"/>
  <c r="AO57" i="2" s="1"/>
  <c r="AN81" i="2"/>
  <c r="AO81" i="2" s="1"/>
  <c r="AN61" i="2"/>
  <c r="AO61" i="2" s="1"/>
  <c r="AN101" i="2"/>
  <c r="AO101" i="2" s="1"/>
  <c r="AP54" i="2"/>
  <c r="AQ54" i="2" s="1"/>
  <c r="AR54" i="2" s="1"/>
  <c r="AS54" i="2" s="1"/>
  <c r="AP43" i="2"/>
  <c r="AQ43" i="2" s="1"/>
  <c r="AP98" i="2"/>
  <c r="AQ98" i="2" s="1"/>
  <c r="AR98" i="2" s="1"/>
  <c r="AS98" i="2" s="1"/>
  <c r="AP64" i="2"/>
  <c r="AQ64" i="2" s="1"/>
  <c r="AR64" i="2" s="1"/>
  <c r="AS64" i="2" s="1"/>
  <c r="AP87" i="2"/>
  <c r="AQ87" i="2" s="1"/>
  <c r="AR87" i="2" s="1"/>
  <c r="AS87" i="2" s="1"/>
  <c r="AP66" i="2"/>
  <c r="AQ66" i="2" s="1"/>
  <c r="AR66" i="2" s="1"/>
  <c r="AS66" i="2" s="1"/>
  <c r="AP42" i="2"/>
  <c r="AP65" i="2"/>
  <c r="AP86" i="2"/>
  <c r="AN107" i="2"/>
  <c r="AO107" i="2" s="1"/>
  <c r="W58" i="3" l="1"/>
  <c r="AT65" i="3"/>
  <c r="BH65" i="3" s="1"/>
  <c r="V130" i="3"/>
  <c r="W130" i="3" s="1"/>
  <c r="AG58" i="3"/>
  <c r="AH58" i="3" s="1"/>
  <c r="AI58" i="3" s="1"/>
  <c r="V72" i="3"/>
  <c r="W72" i="3" s="1"/>
  <c r="AG74" i="3"/>
  <c r="AJ74" i="3" s="1"/>
  <c r="AT103" i="3"/>
  <c r="AU103" i="3" s="1"/>
  <c r="AT104" i="3"/>
  <c r="V35" i="3"/>
  <c r="W35" i="3" s="1"/>
  <c r="AG127" i="3"/>
  <c r="AJ127" i="3" s="1"/>
  <c r="AG64" i="3"/>
  <c r="AH64" i="3" s="1"/>
  <c r="AI64" i="3" s="1"/>
  <c r="AT77" i="3"/>
  <c r="AU77" i="3" s="1"/>
  <c r="V67" i="3"/>
  <c r="W67" i="3" s="1"/>
  <c r="V52" i="3"/>
  <c r="W52" i="3" s="1"/>
  <c r="T91" i="3"/>
  <c r="U91" i="3" s="1"/>
  <c r="AG46" i="3"/>
  <c r="AJ46" i="3" s="1"/>
  <c r="T101" i="3"/>
  <c r="U101" i="3" s="1"/>
  <c r="T131" i="3"/>
  <c r="U131" i="3" s="1"/>
  <c r="T124" i="3"/>
  <c r="U124" i="3" s="1"/>
  <c r="I69" i="3"/>
  <c r="I119" i="3"/>
  <c r="AG97" i="3"/>
  <c r="AH97" i="3" s="1"/>
  <c r="AI97" i="3" s="1"/>
  <c r="W45" i="3"/>
  <c r="AG41" i="3"/>
  <c r="AH41" i="3" s="1"/>
  <c r="AI41" i="3" s="1"/>
  <c r="V123" i="3"/>
  <c r="W123" i="3" s="1"/>
  <c r="I116" i="3"/>
  <c r="V43" i="3"/>
  <c r="W43" i="3" s="1"/>
  <c r="V71" i="3"/>
  <c r="W71" i="3" s="1"/>
  <c r="AT51" i="3"/>
  <c r="AU51" i="3" s="1"/>
  <c r="V95" i="3"/>
  <c r="W95" i="3" s="1"/>
  <c r="AT34" i="3"/>
  <c r="BH34" i="3" s="1"/>
  <c r="V68" i="3"/>
  <c r="W68" i="3" s="1"/>
  <c r="T42" i="3"/>
  <c r="U42" i="3" s="1"/>
  <c r="T92" i="3"/>
  <c r="U92" i="3" s="1"/>
  <c r="AT81" i="3"/>
  <c r="AU81" i="3" s="1"/>
  <c r="AT125" i="3"/>
  <c r="AU125" i="3" s="1"/>
  <c r="AG87" i="3"/>
  <c r="AH87" i="3" s="1"/>
  <c r="AI87" i="3" s="1"/>
  <c r="AG106" i="3"/>
  <c r="AJ106" i="3" s="1"/>
  <c r="W81" i="3"/>
  <c r="AG117" i="3"/>
  <c r="AJ117" i="3" s="1"/>
  <c r="W74" i="3"/>
  <c r="T53" i="3"/>
  <c r="U53" i="3" s="1"/>
  <c r="I56" i="3"/>
  <c r="AG38" i="3"/>
  <c r="AJ38" i="3" s="1"/>
  <c r="T90" i="3"/>
  <c r="U90" i="3" s="1"/>
  <c r="V63" i="3"/>
  <c r="W63" i="3" s="1"/>
  <c r="I62" i="3"/>
  <c r="T118" i="3"/>
  <c r="U118" i="3" s="1"/>
  <c r="I83" i="3"/>
  <c r="AT114" i="3"/>
  <c r="AU114" i="3" s="1"/>
  <c r="T59" i="3"/>
  <c r="U59" i="3" s="1"/>
  <c r="V109" i="3"/>
  <c r="W109" i="3" s="1"/>
  <c r="V48" i="3"/>
  <c r="W48" i="3" s="1"/>
  <c r="V88" i="3"/>
  <c r="W88" i="3" s="1"/>
  <c r="AT66" i="3"/>
  <c r="BH66" i="3" s="1"/>
  <c r="I113" i="3"/>
  <c r="AG134" i="3"/>
  <c r="AH134" i="3" s="1"/>
  <c r="AI134" i="3" s="1"/>
  <c r="AT76" i="3"/>
  <c r="AU76" i="3" s="1"/>
  <c r="AT102" i="3"/>
  <c r="AU102" i="3" s="1"/>
  <c r="V132" i="3"/>
  <c r="W132" i="3" s="1"/>
  <c r="AG84" i="3"/>
  <c r="AJ84" i="3" s="1"/>
  <c r="AG57" i="3"/>
  <c r="AH57" i="3" s="1"/>
  <c r="AI57" i="3" s="1"/>
  <c r="V94" i="3"/>
  <c r="W94" i="3" s="1"/>
  <c r="V44" i="3"/>
  <c r="W44" i="3" s="1"/>
  <c r="I49" i="3"/>
  <c r="AT111" i="3"/>
  <c r="AU111" i="3" s="1"/>
  <c r="T40" i="3"/>
  <c r="U40" i="3" s="1"/>
  <c r="AT75" i="3"/>
  <c r="BH75" i="3" s="1"/>
  <c r="W75" i="3"/>
  <c r="I39" i="3"/>
  <c r="W34" i="3"/>
  <c r="I85" i="3"/>
  <c r="W134" i="3"/>
  <c r="T99" i="3"/>
  <c r="U99" i="3" s="1"/>
  <c r="W70" i="3"/>
  <c r="W133" i="3"/>
  <c r="W111" i="3"/>
  <c r="W114" i="3"/>
  <c r="AT133" i="3"/>
  <c r="AU133" i="3" s="1"/>
  <c r="I107" i="3"/>
  <c r="V89" i="3"/>
  <c r="W89" i="3" s="1"/>
  <c r="W102" i="3"/>
  <c r="AT50" i="3"/>
  <c r="AU50" i="3" s="1"/>
  <c r="V80" i="3"/>
  <c r="W80" i="3" s="1"/>
  <c r="V47" i="3"/>
  <c r="W47" i="3" s="1"/>
  <c r="AT36" i="3"/>
  <c r="AU36" i="3" s="1"/>
  <c r="V54" i="3"/>
  <c r="W54" i="3" s="1"/>
  <c r="V93" i="3"/>
  <c r="W93" i="3" s="1"/>
  <c r="W60" i="3"/>
  <c r="W107" i="3"/>
  <c r="W104" i="3"/>
  <c r="AT37" i="3"/>
  <c r="AU37" i="3" s="1"/>
  <c r="T82" i="3"/>
  <c r="U82" i="3" s="1"/>
  <c r="V128" i="3"/>
  <c r="W128" i="3" s="1"/>
  <c r="W120" i="3"/>
  <c r="W61" i="3"/>
  <c r="W119" i="3"/>
  <c r="W86" i="3"/>
  <c r="W37" i="3"/>
  <c r="W77" i="3"/>
  <c r="W117" i="3"/>
  <c r="W103" i="3"/>
  <c r="W49" i="3"/>
  <c r="W51" i="3"/>
  <c r="W38" i="3"/>
  <c r="W100" i="3"/>
  <c r="W106" i="3"/>
  <c r="W124" i="3"/>
  <c r="K35" i="3"/>
  <c r="L35" i="3" s="1"/>
  <c r="M35" i="3" s="1"/>
  <c r="J35" i="3"/>
  <c r="O35" i="3" s="1"/>
  <c r="W83" i="3"/>
  <c r="W113" i="3"/>
  <c r="W73" i="3"/>
  <c r="AJ91" i="3"/>
  <c r="AH91" i="3"/>
  <c r="AI91" i="3" s="1"/>
  <c r="AJ61" i="3"/>
  <c r="AH61" i="3"/>
  <c r="AI61" i="3" s="1"/>
  <c r="BH101" i="3"/>
  <c r="AU101" i="3"/>
  <c r="AJ48" i="3"/>
  <c r="AH48" i="3"/>
  <c r="AI48" i="3" s="1"/>
  <c r="AU126" i="3"/>
  <c r="BH126" i="3"/>
  <c r="AJ39" i="3"/>
  <c r="AH39" i="3"/>
  <c r="AI39" i="3" s="1"/>
  <c r="AJ126" i="3"/>
  <c r="AH126" i="3"/>
  <c r="AI126" i="3" s="1"/>
  <c r="AU110" i="3"/>
  <c r="BH110" i="3"/>
  <c r="AU95" i="3"/>
  <c r="BH95" i="3"/>
  <c r="AH130" i="3"/>
  <c r="AI130" i="3" s="1"/>
  <c r="AJ130" i="3"/>
  <c r="AU134" i="3"/>
  <c r="BH134" i="3"/>
  <c r="AH95" i="3"/>
  <c r="AI95" i="3" s="1"/>
  <c r="AJ95" i="3"/>
  <c r="BH57" i="3"/>
  <c r="AU57" i="3"/>
  <c r="AU89" i="3"/>
  <c r="BH89" i="3"/>
  <c r="W85" i="3"/>
  <c r="AU71" i="3"/>
  <c r="BH71" i="3"/>
  <c r="AH123" i="3"/>
  <c r="AI123" i="3" s="1"/>
  <c r="AJ123" i="3"/>
  <c r="AH71" i="3"/>
  <c r="AI71" i="3" s="1"/>
  <c r="AJ71" i="3"/>
  <c r="AH114" i="3"/>
  <c r="AI114" i="3" s="1"/>
  <c r="AJ114" i="3"/>
  <c r="AJ82" i="3"/>
  <c r="AH82" i="3"/>
  <c r="AI82" i="3" s="1"/>
  <c r="AU121" i="3"/>
  <c r="BH121" i="3"/>
  <c r="AJ108" i="3"/>
  <c r="AH108" i="3"/>
  <c r="AI108" i="3" s="1"/>
  <c r="AU49" i="3"/>
  <c r="BH49" i="3"/>
  <c r="W39" i="3"/>
  <c r="W97" i="3"/>
  <c r="AH49" i="3"/>
  <c r="AI49" i="3" s="1"/>
  <c r="AJ49" i="3"/>
  <c r="AH103" i="3"/>
  <c r="AI103" i="3" s="1"/>
  <c r="AJ103" i="3"/>
  <c r="W129" i="3"/>
  <c r="AJ83" i="3"/>
  <c r="AH83" i="3"/>
  <c r="AI83" i="3" s="1"/>
  <c r="AU99" i="3"/>
  <c r="BH99" i="3"/>
  <c r="AU129" i="3"/>
  <c r="BH129" i="3"/>
  <c r="AH53" i="3"/>
  <c r="AI53" i="3" s="1"/>
  <c r="AJ53" i="3"/>
  <c r="AJ65" i="3"/>
  <c r="AH65" i="3"/>
  <c r="AI65" i="3" s="1"/>
  <c r="W36" i="3"/>
  <c r="AH35" i="3"/>
  <c r="AI35" i="3" s="1"/>
  <c r="AJ35" i="3"/>
  <c r="W96" i="3"/>
  <c r="AH43" i="3"/>
  <c r="AI43" i="3" s="1"/>
  <c r="AJ43" i="3"/>
  <c r="AH125" i="3"/>
  <c r="AI125" i="3" s="1"/>
  <c r="AJ125" i="3"/>
  <c r="AU115" i="3"/>
  <c r="BH115" i="3"/>
  <c r="BH35" i="3"/>
  <c r="AU35" i="3"/>
  <c r="W112" i="3"/>
  <c r="W127" i="3"/>
  <c r="AH115" i="3"/>
  <c r="AI115" i="3" s="1"/>
  <c r="AJ115" i="3"/>
  <c r="AU92" i="3"/>
  <c r="BH92" i="3"/>
  <c r="AJ107" i="3"/>
  <c r="AH107" i="3"/>
  <c r="AI107" i="3" s="1"/>
  <c r="AU59" i="3"/>
  <c r="BH59" i="3"/>
  <c r="AJ100" i="3"/>
  <c r="AH100" i="3"/>
  <c r="AI100" i="3" s="1"/>
  <c r="AH81" i="3"/>
  <c r="AI81" i="3" s="1"/>
  <c r="AJ81" i="3"/>
  <c r="AH62" i="3"/>
  <c r="AI62" i="3" s="1"/>
  <c r="AJ62" i="3"/>
  <c r="AU61" i="3"/>
  <c r="BH61" i="3"/>
  <c r="AH94" i="3"/>
  <c r="AI94" i="3" s="1"/>
  <c r="AJ94" i="3"/>
  <c r="AJ77" i="3"/>
  <c r="AH77" i="3"/>
  <c r="AI77" i="3" s="1"/>
  <c r="AH128" i="3"/>
  <c r="AI128" i="3" s="1"/>
  <c r="AJ128" i="3"/>
  <c r="W105" i="3"/>
  <c r="AU131" i="3"/>
  <c r="BH131" i="3"/>
  <c r="W87" i="3"/>
  <c r="AU104" i="3"/>
  <c r="BH104" i="3"/>
  <c r="W79" i="3"/>
  <c r="AJ73" i="3"/>
  <c r="AH73" i="3"/>
  <c r="AI73" i="3" s="1"/>
  <c r="AU43" i="3"/>
  <c r="BH43" i="3"/>
  <c r="W65" i="3"/>
  <c r="W121" i="3"/>
  <c r="AH45" i="3"/>
  <c r="AI45" i="3" s="1"/>
  <c r="AJ45" i="3"/>
  <c r="AJ92" i="3"/>
  <c r="AH92" i="3"/>
  <c r="AI92" i="3" s="1"/>
  <c r="W66" i="3"/>
  <c r="W110" i="3"/>
  <c r="AJ69" i="3"/>
  <c r="AH69" i="3"/>
  <c r="AI69" i="3" s="1"/>
  <c r="AU107" i="3"/>
  <c r="BH107" i="3"/>
  <c r="AH59" i="3"/>
  <c r="AI59" i="3" s="1"/>
  <c r="AJ59" i="3"/>
  <c r="W55" i="3"/>
  <c r="AU130" i="3"/>
  <c r="BH130" i="3"/>
  <c r="AH99" i="3"/>
  <c r="AI99" i="3" s="1"/>
  <c r="AJ99" i="3"/>
  <c r="AU78" i="3"/>
  <c r="BH78" i="3"/>
  <c r="W46" i="3"/>
  <c r="AJ68" i="3"/>
  <c r="AH68" i="3"/>
  <c r="AI68" i="3" s="1"/>
  <c r="AU62" i="3"/>
  <c r="BH62" i="3"/>
  <c r="AH54" i="3"/>
  <c r="AI54" i="3" s="1"/>
  <c r="AJ54" i="3"/>
  <c r="AU105" i="3"/>
  <c r="BH105" i="3"/>
  <c r="AU85" i="3"/>
  <c r="BH85" i="3"/>
  <c r="W57" i="3"/>
  <c r="AU63" i="3"/>
  <c r="BH63" i="3"/>
  <c r="AU88" i="3"/>
  <c r="BH88" i="3"/>
  <c r="AU52" i="3"/>
  <c r="BH52" i="3"/>
  <c r="W116" i="3"/>
  <c r="W78" i="3"/>
  <c r="AU87" i="3"/>
  <c r="BH87" i="3"/>
  <c r="AU132" i="3"/>
  <c r="BH132" i="3"/>
  <c r="AH79" i="3"/>
  <c r="AI79" i="3" s="1"/>
  <c r="AJ79" i="3"/>
  <c r="W126" i="3"/>
  <c r="AU38" i="3"/>
  <c r="BH38" i="3"/>
  <c r="AU80" i="3"/>
  <c r="BH80" i="3"/>
  <c r="AU54" i="3"/>
  <c r="BH54" i="3"/>
  <c r="AU98" i="3"/>
  <c r="BH98" i="3"/>
  <c r="AH47" i="3"/>
  <c r="AI47" i="3" s="1"/>
  <c r="AJ47" i="3"/>
  <c r="AJ105" i="3"/>
  <c r="AH105" i="3"/>
  <c r="AI105" i="3" s="1"/>
  <c r="AH85" i="3"/>
  <c r="AI85" i="3" s="1"/>
  <c r="AJ85" i="3"/>
  <c r="AH63" i="3"/>
  <c r="AI63" i="3" s="1"/>
  <c r="AJ63" i="3"/>
  <c r="AJ88" i="3"/>
  <c r="AH88" i="3"/>
  <c r="AI88" i="3" s="1"/>
  <c r="AU113" i="3"/>
  <c r="BH113" i="3"/>
  <c r="AJ52" i="3"/>
  <c r="AH52" i="3"/>
  <c r="AI52" i="3" s="1"/>
  <c r="AU72" i="3"/>
  <c r="BH72" i="3"/>
  <c r="AU122" i="3"/>
  <c r="BH122" i="3"/>
  <c r="AH133" i="3"/>
  <c r="AI133" i="3" s="1"/>
  <c r="AJ133" i="3"/>
  <c r="AH132" i="3"/>
  <c r="AI132" i="3" s="1"/>
  <c r="AJ132" i="3"/>
  <c r="AU97" i="3"/>
  <c r="BH97" i="3"/>
  <c r="AH101" i="3"/>
  <c r="AI101" i="3" s="1"/>
  <c r="AJ101" i="3"/>
  <c r="AJ57" i="3"/>
  <c r="AU82" i="3"/>
  <c r="BH82" i="3"/>
  <c r="AJ51" i="3"/>
  <c r="AH51" i="3"/>
  <c r="AI51" i="3" s="1"/>
  <c r="AH78" i="3"/>
  <c r="AI78" i="3" s="1"/>
  <c r="AJ78" i="3"/>
  <c r="AU93" i="3"/>
  <c r="BH93" i="3"/>
  <c r="AH98" i="3"/>
  <c r="AI98" i="3" s="1"/>
  <c r="AJ98" i="3"/>
  <c r="AU47" i="3"/>
  <c r="BH47" i="3"/>
  <c r="AU55" i="3"/>
  <c r="BH55" i="3"/>
  <c r="W62" i="3"/>
  <c r="AU124" i="3"/>
  <c r="BH124" i="3"/>
  <c r="AH113" i="3"/>
  <c r="AI113" i="3" s="1"/>
  <c r="AJ113" i="3"/>
  <c r="AJ72" i="3"/>
  <c r="AH72" i="3"/>
  <c r="AI72" i="3" s="1"/>
  <c r="AH122" i="3"/>
  <c r="AI122" i="3" s="1"/>
  <c r="AJ122" i="3"/>
  <c r="AU94" i="3"/>
  <c r="BH94" i="3"/>
  <c r="AU39" i="3"/>
  <c r="BH39" i="3"/>
  <c r="AU128" i="3"/>
  <c r="BH128" i="3"/>
  <c r="AU41" i="3"/>
  <c r="BH41" i="3"/>
  <c r="BH44" i="3"/>
  <c r="AU44" i="3"/>
  <c r="W108" i="3"/>
  <c r="AJ129" i="3"/>
  <c r="AH129" i="3"/>
  <c r="AI129" i="3" s="1"/>
  <c r="AU90" i="3"/>
  <c r="BH90" i="3"/>
  <c r="AU73" i="3"/>
  <c r="BH73" i="3"/>
  <c r="W84" i="3"/>
  <c r="AU45" i="3"/>
  <c r="BH45" i="3"/>
  <c r="AJ93" i="3"/>
  <c r="AH93" i="3"/>
  <c r="AI93" i="3" s="1"/>
  <c r="W41" i="3"/>
  <c r="AH55" i="3"/>
  <c r="AI55" i="3" s="1"/>
  <c r="AJ55" i="3"/>
  <c r="BH118" i="3"/>
  <c r="AU118" i="3"/>
  <c r="AH75" i="3"/>
  <c r="AI75" i="3" s="1"/>
  <c r="AJ75" i="3"/>
  <c r="AH124" i="3"/>
  <c r="AI124" i="3" s="1"/>
  <c r="AJ124" i="3"/>
  <c r="AU112" i="3"/>
  <c r="BH112" i="3"/>
  <c r="W50" i="3"/>
  <c r="AH120" i="3"/>
  <c r="AI120" i="3" s="1"/>
  <c r="AJ120" i="3"/>
  <c r="BH119" i="3"/>
  <c r="AU119" i="3"/>
  <c r="AU74" i="3"/>
  <c r="BH74" i="3"/>
  <c r="AU106" i="3"/>
  <c r="BH106" i="3"/>
  <c r="AU117" i="3"/>
  <c r="BH117" i="3"/>
  <c r="AH104" i="3"/>
  <c r="AI104" i="3" s="1"/>
  <c r="AJ104" i="3"/>
  <c r="BH53" i="3"/>
  <c r="AU53" i="3"/>
  <c r="AH50" i="3"/>
  <c r="AI50" i="3" s="1"/>
  <c r="AJ50" i="3"/>
  <c r="AJ118" i="3"/>
  <c r="AH118" i="3"/>
  <c r="AI118" i="3" s="1"/>
  <c r="AU67" i="3"/>
  <c r="BH67" i="3"/>
  <c r="AH112" i="3"/>
  <c r="AI112" i="3" s="1"/>
  <c r="AJ112" i="3"/>
  <c r="AU120" i="3"/>
  <c r="BH120" i="3"/>
  <c r="AU64" i="3"/>
  <c r="BH64" i="3"/>
  <c r="AH119" i="3"/>
  <c r="AI119" i="3" s="1"/>
  <c r="AJ119" i="3"/>
  <c r="BH79" i="3"/>
  <c r="AU79" i="3"/>
  <c r="W122" i="3"/>
  <c r="AH110" i="3"/>
  <c r="AI110" i="3" s="1"/>
  <c r="AJ110" i="3"/>
  <c r="AU108" i="3"/>
  <c r="BH108" i="3"/>
  <c r="AH44" i="3"/>
  <c r="AI44" i="3" s="1"/>
  <c r="AJ44" i="3"/>
  <c r="W115" i="3"/>
  <c r="AJ36" i="3"/>
  <c r="AH36" i="3"/>
  <c r="AI36" i="3" s="1"/>
  <c r="AU58" i="3"/>
  <c r="BH58" i="3"/>
  <c r="W76" i="3"/>
  <c r="AU86" i="3"/>
  <c r="BH86" i="3"/>
  <c r="AU40" i="3"/>
  <c r="BH40" i="3"/>
  <c r="AU127" i="3"/>
  <c r="BH127" i="3"/>
  <c r="W125" i="3"/>
  <c r="AH67" i="3"/>
  <c r="AI67" i="3" s="1"/>
  <c r="AJ67" i="3"/>
  <c r="W64" i="3"/>
  <c r="AJ109" i="3"/>
  <c r="AH109" i="3"/>
  <c r="AI109" i="3" s="1"/>
  <c r="AU60" i="3"/>
  <c r="BH60" i="3"/>
  <c r="AH56" i="3"/>
  <c r="AI56" i="3" s="1"/>
  <c r="AJ56" i="3"/>
  <c r="AH111" i="3"/>
  <c r="AI111" i="3" s="1"/>
  <c r="AJ111" i="3"/>
  <c r="AH66" i="3"/>
  <c r="AI66" i="3" s="1"/>
  <c r="AJ66" i="3"/>
  <c r="AU123" i="3"/>
  <c r="BH123" i="3"/>
  <c r="AJ131" i="3"/>
  <c r="AH131" i="3"/>
  <c r="AI131" i="3" s="1"/>
  <c r="AU83" i="3"/>
  <c r="BH83" i="3"/>
  <c r="AH80" i="3"/>
  <c r="AI80" i="3" s="1"/>
  <c r="AJ80" i="3"/>
  <c r="W69" i="3"/>
  <c r="AJ86" i="3"/>
  <c r="AH86" i="3"/>
  <c r="AI86" i="3" s="1"/>
  <c r="AU96" i="3"/>
  <c r="BH96" i="3"/>
  <c r="BH46" i="3"/>
  <c r="AU46" i="3"/>
  <c r="AH40" i="3"/>
  <c r="AI40" i="3" s="1"/>
  <c r="AJ40" i="3"/>
  <c r="AU42" i="3"/>
  <c r="BH42" i="3"/>
  <c r="AU70" i="3"/>
  <c r="BH70" i="3"/>
  <c r="AH102" i="3"/>
  <c r="AI102" i="3" s="1"/>
  <c r="AJ102" i="3"/>
  <c r="AH76" i="3"/>
  <c r="AI76" i="3" s="1"/>
  <c r="AJ76" i="3"/>
  <c r="AU116" i="3"/>
  <c r="BH116" i="3"/>
  <c r="AU109" i="3"/>
  <c r="BH109" i="3"/>
  <c r="AH34" i="3"/>
  <c r="AI34" i="3" s="1"/>
  <c r="AJ34" i="3"/>
  <c r="AJ60" i="3"/>
  <c r="AH60" i="3"/>
  <c r="AI60" i="3" s="1"/>
  <c r="AH89" i="3"/>
  <c r="AI89" i="3" s="1"/>
  <c r="AJ89" i="3"/>
  <c r="AH121" i="3"/>
  <c r="AI121" i="3" s="1"/>
  <c r="AJ121" i="3"/>
  <c r="AU68" i="3"/>
  <c r="BH68" i="3"/>
  <c r="AH90" i="3"/>
  <c r="AI90" i="3" s="1"/>
  <c r="AJ90" i="3"/>
  <c r="AU100" i="3"/>
  <c r="BH100" i="3"/>
  <c r="AU69" i="3"/>
  <c r="BH69" i="3"/>
  <c r="AU91" i="3"/>
  <c r="BH91" i="3"/>
  <c r="W98" i="3"/>
  <c r="AJ96" i="3"/>
  <c r="AH96" i="3"/>
  <c r="AI96" i="3" s="1"/>
  <c r="W56" i="3"/>
  <c r="AH42" i="3"/>
  <c r="AI42" i="3" s="1"/>
  <c r="AJ42" i="3"/>
  <c r="AJ70" i="3"/>
  <c r="AH70" i="3"/>
  <c r="AI70" i="3" s="1"/>
  <c r="AU56" i="3"/>
  <c r="BH56" i="3"/>
  <c r="AH116" i="3"/>
  <c r="AI116" i="3" s="1"/>
  <c r="AJ116" i="3"/>
  <c r="AU48" i="3"/>
  <c r="BH48" i="3"/>
  <c r="AU84" i="3"/>
  <c r="BH84" i="3"/>
  <c r="AH37" i="3"/>
  <c r="AI37" i="3" s="1"/>
  <c r="AJ37" i="3"/>
  <c r="AP46" i="2"/>
  <c r="AP93" i="2"/>
  <c r="AQ93" i="2" s="1"/>
  <c r="AR93" i="2" s="1"/>
  <c r="AS93" i="2" s="1"/>
  <c r="W90" i="2"/>
  <c r="X90" i="2" s="1"/>
  <c r="J35" i="2"/>
  <c r="K35" i="2"/>
  <c r="L35" i="2" s="1"/>
  <c r="M35" i="2" s="1"/>
  <c r="W144" i="2"/>
  <c r="X144" i="2" s="1"/>
  <c r="W122" i="2"/>
  <c r="X122" i="2" s="1"/>
  <c r="W125" i="2"/>
  <c r="X125" i="2" s="1"/>
  <c r="W116" i="2"/>
  <c r="X116" i="2" s="1"/>
  <c r="W148" i="2"/>
  <c r="X148" i="2" s="1"/>
  <c r="W131" i="2"/>
  <c r="X131" i="2" s="1"/>
  <c r="AP51" i="2"/>
  <c r="AQ51" i="2" s="1"/>
  <c r="AR51" i="2" s="1"/>
  <c r="AS51" i="2" s="1"/>
  <c r="AP74" i="2"/>
  <c r="AQ74" i="2" s="1"/>
  <c r="AR74" i="2" s="1"/>
  <c r="AS74" i="2" s="1"/>
  <c r="AP106" i="2"/>
  <c r="AQ106" i="2" s="1"/>
  <c r="AR106" i="2" s="1"/>
  <c r="AS106" i="2" s="1"/>
  <c r="AP47" i="2"/>
  <c r="AQ47" i="2" s="1"/>
  <c r="AR47" i="2" s="1"/>
  <c r="AS47" i="2" s="1"/>
  <c r="AP77" i="2"/>
  <c r="AQ77" i="2" s="1"/>
  <c r="AR77" i="2" s="1"/>
  <c r="AS77" i="2" s="1"/>
  <c r="AP76" i="2"/>
  <c r="AQ76" i="2" s="1"/>
  <c r="AR76" i="2" s="1"/>
  <c r="AS76" i="2" s="1"/>
  <c r="AP89" i="2"/>
  <c r="AQ89" i="2" s="1"/>
  <c r="AR89" i="2" s="1"/>
  <c r="AS89" i="2" s="1"/>
  <c r="AP69" i="2"/>
  <c r="AQ69" i="2" s="1"/>
  <c r="AR69" i="2" s="1"/>
  <c r="AS69" i="2" s="1"/>
  <c r="AP50" i="2"/>
  <c r="AQ50" i="2" s="1"/>
  <c r="AR50" i="2" s="1"/>
  <c r="AS50" i="2" s="1"/>
  <c r="AP82" i="2"/>
  <c r="AQ82" i="2" s="1"/>
  <c r="AR82" i="2" s="1"/>
  <c r="AS82" i="2" s="1"/>
  <c r="AP102" i="2"/>
  <c r="AQ102" i="2" s="1"/>
  <c r="AR102" i="2" s="1"/>
  <c r="AS102" i="2" s="1"/>
  <c r="AP62" i="2"/>
  <c r="AQ62" i="2" s="1"/>
  <c r="AR62" i="2" s="1"/>
  <c r="AS62" i="2" s="1"/>
  <c r="AP58" i="2"/>
  <c r="AQ58" i="2" s="1"/>
  <c r="AR58" i="2" s="1"/>
  <c r="AS58" i="2" s="1"/>
  <c r="AP68" i="2"/>
  <c r="AQ68" i="2" s="1"/>
  <c r="AR68" i="2" s="1"/>
  <c r="AS68" i="2" s="1"/>
  <c r="W123" i="2"/>
  <c r="X123" i="2" s="1"/>
  <c r="W97" i="2"/>
  <c r="X97" i="2" s="1"/>
  <c r="W130" i="2"/>
  <c r="X130" i="2" s="1"/>
  <c r="W142" i="2"/>
  <c r="X142" i="2" s="1"/>
  <c r="W63" i="2"/>
  <c r="X63" i="2" s="1"/>
  <c r="W109" i="2"/>
  <c r="X109" i="2" s="1"/>
  <c r="W54" i="2"/>
  <c r="X54" i="2" s="1"/>
  <c r="W45" i="2"/>
  <c r="X45" i="2" s="1"/>
  <c r="W82" i="2"/>
  <c r="X82" i="2" s="1"/>
  <c r="W102" i="2"/>
  <c r="X102" i="2" s="1"/>
  <c r="W49" i="2"/>
  <c r="X49" i="2" s="1"/>
  <c r="AP78" i="2"/>
  <c r="AQ78" i="2" s="1"/>
  <c r="AR78" i="2" s="1"/>
  <c r="AS78" i="2" s="1"/>
  <c r="W106" i="2"/>
  <c r="X106" i="2" s="1"/>
  <c r="W98" i="2"/>
  <c r="X98" i="2" s="1"/>
  <c r="W59" i="2"/>
  <c r="X59" i="2" s="1"/>
  <c r="W105" i="2"/>
  <c r="X105" i="2" s="1"/>
  <c r="W55" i="2"/>
  <c r="X55" i="2" s="1"/>
  <c r="AP92" i="2"/>
  <c r="AQ92" i="2" s="1"/>
  <c r="AR92" i="2" s="1"/>
  <c r="AS92" i="2" s="1"/>
  <c r="W99" i="2"/>
  <c r="X99" i="2" s="1"/>
  <c r="W103" i="2"/>
  <c r="X103" i="2" s="1"/>
  <c r="AP55" i="2"/>
  <c r="AQ55" i="2" s="1"/>
  <c r="AR55" i="2" s="1"/>
  <c r="AS55" i="2" s="1"/>
  <c r="AP91" i="2"/>
  <c r="AQ91" i="2" s="1"/>
  <c r="AR91" i="2" s="1"/>
  <c r="AS91" i="2" s="1"/>
  <c r="AP57" i="2"/>
  <c r="AQ57" i="2" s="1"/>
  <c r="AR57" i="2" s="1"/>
  <c r="AS57" i="2" s="1"/>
  <c r="AP61" i="2"/>
  <c r="AQ61" i="2" s="1"/>
  <c r="AR61" i="2" s="1"/>
  <c r="AS61" i="2" s="1"/>
  <c r="W111" i="2"/>
  <c r="X111" i="2" s="1"/>
  <c r="W53" i="2"/>
  <c r="X53" i="2" s="1"/>
  <c r="W70" i="2"/>
  <c r="X70" i="2" s="1"/>
  <c r="W137" i="2"/>
  <c r="X137" i="2" s="1"/>
  <c r="W113" i="2"/>
  <c r="AC113" i="2" s="1"/>
  <c r="AD113" i="2" s="1"/>
  <c r="AE113" i="2" s="1"/>
  <c r="W85" i="2"/>
  <c r="X85" i="2" s="1"/>
  <c r="W77" i="2"/>
  <c r="X77" i="2" s="1"/>
  <c r="AP59" i="2"/>
  <c r="AQ59" i="2" s="1"/>
  <c r="AR59" i="2" s="1"/>
  <c r="AS59" i="2" s="1"/>
  <c r="W68" i="2"/>
  <c r="X68" i="2" s="1"/>
  <c r="W81" i="2"/>
  <c r="X81" i="2" s="1"/>
  <c r="W71" i="2"/>
  <c r="X71" i="2" s="1"/>
  <c r="W51" i="2"/>
  <c r="X51" i="2" s="1"/>
  <c r="W84" i="2"/>
  <c r="X84" i="2" s="1"/>
  <c r="W93" i="2"/>
  <c r="X93" i="2" s="1"/>
  <c r="W128" i="2"/>
  <c r="X128" i="2" s="1"/>
  <c r="AP75" i="2"/>
  <c r="AQ75" i="2" s="1"/>
  <c r="AR75" i="2" s="1"/>
  <c r="AS75" i="2" s="1"/>
  <c r="W46" i="2"/>
  <c r="X46" i="2" s="1"/>
  <c r="W156" i="2"/>
  <c r="X156" i="2" s="1"/>
  <c r="W79" i="2"/>
  <c r="X79" i="2" s="1"/>
  <c r="W114" i="2"/>
  <c r="X114" i="2" s="1"/>
  <c r="W74" i="2"/>
  <c r="X74" i="2" s="1"/>
  <c r="W124" i="2"/>
  <c r="AC124" i="2" s="1"/>
  <c r="AD124" i="2" s="1"/>
  <c r="AE124" i="2" s="1"/>
  <c r="AP100" i="2"/>
  <c r="AQ100" i="2" s="1"/>
  <c r="AR100" i="2" s="1"/>
  <c r="AS100" i="2" s="1"/>
  <c r="W107" i="2"/>
  <c r="X107" i="2" s="1"/>
  <c r="W62" i="2"/>
  <c r="X62" i="2" s="1"/>
  <c r="W146" i="2"/>
  <c r="AC146" i="2" s="1"/>
  <c r="AD146" i="2" s="1"/>
  <c r="AE146" i="2" s="1"/>
  <c r="W76" i="2"/>
  <c r="X76" i="2" s="1"/>
  <c r="W127" i="2"/>
  <c r="X127" i="2" s="1"/>
  <c r="AP67" i="2"/>
  <c r="AQ67" i="2" s="1"/>
  <c r="AR67" i="2" s="1"/>
  <c r="AS67" i="2" s="1"/>
  <c r="W95" i="2"/>
  <c r="X95" i="2" s="1"/>
  <c r="W115" i="2"/>
  <c r="X115" i="2" s="1"/>
  <c r="W41" i="2"/>
  <c r="W151" i="2"/>
  <c r="AC151" i="2" s="1"/>
  <c r="AD151" i="2" s="1"/>
  <c r="AE151" i="2" s="1"/>
  <c r="W129" i="2"/>
  <c r="X129" i="2" s="1"/>
  <c r="W152" i="2"/>
  <c r="AC152" i="2" s="1"/>
  <c r="AD152" i="2" s="1"/>
  <c r="AE152" i="2" s="1"/>
  <c r="AP107" i="2"/>
  <c r="AQ107" i="2" s="1"/>
  <c r="AR107" i="2" s="1"/>
  <c r="AS107" i="2" s="1"/>
  <c r="W100" i="2"/>
  <c r="X100" i="2" s="1"/>
  <c r="W65" i="2"/>
  <c r="X65" i="2" s="1"/>
  <c r="W118" i="2"/>
  <c r="X118" i="2" s="1"/>
  <c r="AP96" i="2"/>
  <c r="AQ96" i="2" s="1"/>
  <c r="AR96" i="2" s="1"/>
  <c r="AS96" i="2" s="1"/>
  <c r="AP48" i="2"/>
  <c r="AQ48" i="2" s="1"/>
  <c r="AR48" i="2" s="1"/>
  <c r="AS48" i="2" s="1"/>
  <c r="AP101" i="2"/>
  <c r="AQ101" i="2" s="1"/>
  <c r="AR101" i="2" s="1"/>
  <c r="AS101" i="2" s="1"/>
  <c r="AP103" i="2"/>
  <c r="AQ103" i="2" s="1"/>
  <c r="AR103" i="2" s="1"/>
  <c r="AS103" i="2" s="1"/>
  <c r="W43" i="2"/>
  <c r="X43" i="2" s="1"/>
  <c r="W104" i="2"/>
  <c r="X104" i="2" s="1"/>
  <c r="W132" i="2"/>
  <c r="AC132" i="2" s="1"/>
  <c r="AD132" i="2" s="1"/>
  <c r="AE132" i="2" s="1"/>
  <c r="AP81" i="2"/>
  <c r="AQ81" i="2" s="1"/>
  <c r="AR81" i="2" s="1"/>
  <c r="AS81" i="2" s="1"/>
  <c r="W94" i="2"/>
  <c r="X94" i="2" s="1"/>
  <c r="W48" i="2"/>
  <c r="X48" i="2" s="1"/>
  <c r="W149" i="2"/>
  <c r="AC149" i="2" s="1"/>
  <c r="AD149" i="2" s="1"/>
  <c r="AE149" i="2" s="1"/>
  <c r="W44" i="2"/>
  <c r="X44" i="2" s="1"/>
  <c r="W133" i="2"/>
  <c r="X133" i="2" s="1"/>
  <c r="W143" i="2"/>
  <c r="X143" i="2" s="1"/>
  <c r="AP71" i="2"/>
  <c r="AQ71" i="2" s="1"/>
  <c r="AR71" i="2" s="1"/>
  <c r="AS71" i="2" s="1"/>
  <c r="W47" i="2"/>
  <c r="X47" i="2" s="1"/>
  <c r="AP45" i="2"/>
  <c r="AQ45" i="2" s="1"/>
  <c r="AR45" i="2" s="1"/>
  <c r="AS45" i="2" s="1"/>
  <c r="W57" i="2"/>
  <c r="X57" i="2" s="1"/>
  <c r="W64" i="2"/>
  <c r="X64" i="2" s="1"/>
  <c r="W121" i="2"/>
  <c r="AC121" i="2" s="1"/>
  <c r="AD121" i="2" s="1"/>
  <c r="AE121" i="2" s="1"/>
  <c r="AP73" i="2"/>
  <c r="AQ73" i="2" s="1"/>
  <c r="AR73" i="2" s="1"/>
  <c r="AS73" i="2" s="1"/>
  <c r="AP94" i="2"/>
  <c r="AQ94" i="2" s="1"/>
  <c r="AR94" i="2" s="1"/>
  <c r="AS94" i="2" s="1"/>
  <c r="W139" i="2"/>
  <c r="X139" i="2" s="1"/>
  <c r="W89" i="2"/>
  <c r="X89" i="2" s="1"/>
  <c r="W86" i="2"/>
  <c r="X86" i="2" s="1"/>
  <c r="W135" i="2"/>
  <c r="X135" i="2" s="1"/>
  <c r="W117" i="2"/>
  <c r="AC117" i="2" s="1"/>
  <c r="AD117" i="2" s="1"/>
  <c r="AE117" i="2" s="1"/>
  <c r="W67" i="2"/>
  <c r="X67" i="2" s="1"/>
  <c r="AC108" i="2"/>
  <c r="AD108" i="2" s="1"/>
  <c r="AE108" i="2" s="1"/>
  <c r="W141" i="2"/>
  <c r="X141" i="2" s="1"/>
  <c r="W50" i="2"/>
  <c r="X50" i="2" s="1"/>
  <c r="W110" i="2"/>
  <c r="X110" i="2" s="1"/>
  <c r="W140" i="2"/>
  <c r="AC140" i="2" s="1"/>
  <c r="AD140" i="2" s="1"/>
  <c r="AE140" i="2" s="1"/>
  <c r="W75" i="2"/>
  <c r="X75" i="2" s="1"/>
  <c r="W61" i="2"/>
  <c r="X61" i="2" s="1"/>
  <c r="AP84" i="2"/>
  <c r="AQ84" i="2" s="1"/>
  <c r="AR84" i="2" s="1"/>
  <c r="AS84" i="2" s="1"/>
  <c r="W138" i="2"/>
  <c r="X138" i="2" s="1"/>
  <c r="W52" i="2"/>
  <c r="X52" i="2" s="1"/>
  <c r="W92" i="2"/>
  <c r="X92" i="2" s="1"/>
  <c r="W88" i="2"/>
  <c r="X88" i="2" s="1"/>
  <c r="W112" i="2"/>
  <c r="X112" i="2" s="1"/>
  <c r="W60" i="2"/>
  <c r="X60" i="2" s="1"/>
  <c r="W136" i="2"/>
  <c r="X136" i="2" s="1"/>
  <c r="W153" i="2"/>
  <c r="X153" i="2" s="1"/>
  <c r="W40" i="2"/>
  <c r="X40" i="2" s="1"/>
  <c r="W78" i="2"/>
  <c r="X78" i="2" s="1"/>
  <c r="W80" i="2"/>
  <c r="X80" i="2" s="1"/>
  <c r="W126" i="2"/>
  <c r="X126" i="2" s="1"/>
  <c r="W145" i="2"/>
  <c r="X145" i="2" s="1"/>
  <c r="W101" i="2"/>
  <c r="X101" i="2" s="1"/>
  <c r="W96" i="2"/>
  <c r="X96" i="2" s="1"/>
  <c r="W42" i="2"/>
  <c r="X42" i="2" s="1"/>
  <c r="W119" i="2"/>
  <c r="X119" i="2" s="1"/>
  <c r="W147" i="2"/>
  <c r="X147" i="2" s="1"/>
  <c r="W58" i="2"/>
  <c r="X58" i="2" s="1"/>
  <c r="W83" i="2"/>
  <c r="X83" i="2" s="1"/>
  <c r="W87" i="2"/>
  <c r="X87" i="2" s="1"/>
  <c r="W120" i="2"/>
  <c r="X120" i="2" s="1"/>
  <c r="W91" i="2"/>
  <c r="X91" i="2" s="1"/>
  <c r="W66" i="2"/>
  <c r="X66" i="2" s="1"/>
  <c r="W73" i="2"/>
  <c r="X73" i="2" s="1"/>
  <c r="W150" i="2"/>
  <c r="X150" i="2" s="1"/>
  <c r="W134" i="2"/>
  <c r="X134" i="2" s="1"/>
  <c r="W69" i="2"/>
  <c r="X69" i="2" s="1"/>
  <c r="W56" i="2"/>
  <c r="X56" i="2" s="1"/>
  <c r="W72" i="2"/>
  <c r="X72" i="2" s="1"/>
  <c r="W155" i="2"/>
  <c r="X155" i="2" s="1"/>
  <c r="W154" i="2"/>
  <c r="X154" i="2" s="1"/>
  <c r="AR43" i="2"/>
  <c r="AS43" i="2" s="1"/>
  <c r="AQ60" i="2"/>
  <c r="AR60" i="2" s="1"/>
  <c r="AS60" i="2" s="1"/>
  <c r="AQ80" i="2"/>
  <c r="AR80" i="2" s="1"/>
  <c r="AS80" i="2" s="1"/>
  <c r="AQ99" i="2"/>
  <c r="AR99" i="2" s="1"/>
  <c r="AS99" i="2" s="1"/>
  <c r="AQ65" i="2"/>
  <c r="AR65" i="2" s="1"/>
  <c r="AS65" i="2" s="1"/>
  <c r="AQ56" i="2"/>
  <c r="AR56" i="2" s="1"/>
  <c r="AS56" i="2" s="1"/>
  <c r="AQ42" i="2"/>
  <c r="AQ46" i="2"/>
  <c r="AR46" i="2" s="1"/>
  <c r="AS46" i="2" s="1"/>
  <c r="AC148" i="2"/>
  <c r="AD148" i="2" s="1"/>
  <c r="AE148" i="2" s="1"/>
  <c r="AQ86" i="2"/>
  <c r="AR86" i="2" s="1"/>
  <c r="AS86" i="2" s="1"/>
  <c r="AC131" i="2"/>
  <c r="AD131" i="2" s="1"/>
  <c r="AE131" i="2" s="1"/>
  <c r="AQ44" i="2"/>
  <c r="AR44" i="2" s="1"/>
  <c r="AS44" i="2" s="1"/>
  <c r="AQ88" i="2"/>
  <c r="AR88" i="2" s="1"/>
  <c r="AS88" i="2" s="1"/>
  <c r="AC90" i="2"/>
  <c r="AD90" i="2" s="1"/>
  <c r="AE90" i="2" s="1"/>
  <c r="AN108" i="2"/>
  <c r="AO108" i="2" s="1"/>
  <c r="AJ58" i="3" l="1"/>
  <c r="AH127" i="3"/>
  <c r="AI127" i="3" s="1"/>
  <c r="AH74" i="3"/>
  <c r="AI74" i="3" s="1"/>
  <c r="AK76" i="3"/>
  <c r="AU65" i="3"/>
  <c r="AJ64" i="3"/>
  <c r="AK64" i="3" s="1"/>
  <c r="W101" i="3"/>
  <c r="BH103" i="3"/>
  <c r="BV103" i="3" s="1"/>
  <c r="AK121" i="3"/>
  <c r="AK67" i="3"/>
  <c r="W131" i="3"/>
  <c r="AJ97" i="3"/>
  <c r="AK97" i="3" s="1"/>
  <c r="AJ41" i="3"/>
  <c r="AK41" i="3" s="1"/>
  <c r="AJ87" i="3"/>
  <c r="AK87" i="3" s="1"/>
  <c r="AU34" i="3"/>
  <c r="AV34" i="3" s="1"/>
  <c r="AW34" i="3" s="1"/>
  <c r="BH81" i="3"/>
  <c r="BV81" i="3" s="1"/>
  <c r="AH46" i="3"/>
  <c r="AI46" i="3" s="1"/>
  <c r="W91" i="3"/>
  <c r="BH77" i="3"/>
  <c r="BI77" i="3" s="1"/>
  <c r="AH106" i="3"/>
  <c r="AI106" i="3" s="1"/>
  <c r="BH102" i="3"/>
  <c r="BI102" i="3" s="1"/>
  <c r="BH51" i="3"/>
  <c r="BI51" i="3" s="1"/>
  <c r="BH125" i="3"/>
  <c r="BI125" i="3" s="1"/>
  <c r="W42" i="3"/>
  <c r="BH114" i="3"/>
  <c r="BI114" i="3" s="1"/>
  <c r="W92" i="3"/>
  <c r="AH117" i="3"/>
  <c r="AI117" i="3" s="1"/>
  <c r="AH38" i="3"/>
  <c r="AI38" i="3" s="1"/>
  <c r="W53" i="3"/>
  <c r="W118" i="3"/>
  <c r="AK90" i="3"/>
  <c r="W59" i="3"/>
  <c r="W90" i="3"/>
  <c r="AU66" i="3"/>
  <c r="AX66" i="3" s="1"/>
  <c r="AJ134" i="3"/>
  <c r="AK134" i="3" s="1"/>
  <c r="BH111" i="3"/>
  <c r="BI111" i="3" s="1"/>
  <c r="BH76" i="3"/>
  <c r="BI76" i="3" s="1"/>
  <c r="AK132" i="3"/>
  <c r="AH84" i="3"/>
  <c r="AI84" i="3" s="1"/>
  <c r="AU75" i="3"/>
  <c r="AX75" i="3" s="1"/>
  <c r="W99" i="3"/>
  <c r="AK85" i="3"/>
  <c r="AK47" i="3"/>
  <c r="W40" i="3"/>
  <c r="AK49" i="3"/>
  <c r="AK40" i="3"/>
  <c r="BH37" i="3"/>
  <c r="BV37" i="3" s="1"/>
  <c r="AK127" i="3"/>
  <c r="AK113" i="3"/>
  <c r="AK44" i="3"/>
  <c r="AK75" i="3"/>
  <c r="AK98" i="3"/>
  <c r="BH50" i="3"/>
  <c r="BV50" i="3" s="1"/>
  <c r="BH133" i="3"/>
  <c r="BV133" i="3" s="1"/>
  <c r="AK53" i="3"/>
  <c r="AK80" i="3"/>
  <c r="AK110" i="3"/>
  <c r="AK119" i="3"/>
  <c r="AK54" i="3"/>
  <c r="AK45" i="3"/>
  <c r="AK95" i="3"/>
  <c r="BH36" i="3"/>
  <c r="BI36" i="3" s="1"/>
  <c r="W82" i="3"/>
  <c r="AK42" i="3"/>
  <c r="AK56" i="3"/>
  <c r="AK62" i="3"/>
  <c r="AK43" i="3"/>
  <c r="AK71" i="3"/>
  <c r="AK122" i="3"/>
  <c r="AK79" i="3"/>
  <c r="AK59" i="3"/>
  <c r="AK35" i="3"/>
  <c r="AK123" i="3"/>
  <c r="AK34" i="3"/>
  <c r="AK116" i="3"/>
  <c r="AK102" i="3"/>
  <c r="AK104" i="3"/>
  <c r="AK99" i="3"/>
  <c r="AK125" i="3"/>
  <c r="AK114" i="3"/>
  <c r="AK89" i="3"/>
  <c r="AK112" i="3"/>
  <c r="AK78" i="3"/>
  <c r="AK81" i="3"/>
  <c r="AK103" i="3"/>
  <c r="AK130" i="3"/>
  <c r="AK73" i="3"/>
  <c r="N35" i="3"/>
  <c r="AK120" i="3"/>
  <c r="AK128" i="3"/>
  <c r="AK63" i="3"/>
  <c r="AK68" i="3"/>
  <c r="AK77" i="3"/>
  <c r="AK39" i="3"/>
  <c r="AK94" i="3"/>
  <c r="AK115" i="3"/>
  <c r="AK124" i="3"/>
  <c r="AK101" i="3"/>
  <c r="AX80" i="3"/>
  <c r="AV80" i="3"/>
  <c r="AW80" i="3" s="1"/>
  <c r="AV113" i="3"/>
  <c r="AW113" i="3" s="1"/>
  <c r="AX113" i="3"/>
  <c r="AX114" i="3"/>
  <c r="AV114" i="3"/>
  <c r="AW114" i="3" s="1"/>
  <c r="AK88" i="3"/>
  <c r="AK58" i="3"/>
  <c r="AK69" i="3"/>
  <c r="AK37" i="3"/>
  <c r="AK74" i="3"/>
  <c r="BI109" i="3"/>
  <c r="BV109" i="3"/>
  <c r="AV76" i="3"/>
  <c r="AW76" i="3" s="1"/>
  <c r="AX76" i="3"/>
  <c r="AV108" i="3"/>
  <c r="AW108" i="3" s="1"/>
  <c r="AX108" i="3"/>
  <c r="AK50" i="3"/>
  <c r="BV90" i="3"/>
  <c r="BI90" i="3"/>
  <c r="AX124" i="3"/>
  <c r="AV124" i="3"/>
  <c r="AW124" i="3" s="1"/>
  <c r="AV82" i="3"/>
  <c r="AW82" i="3" s="1"/>
  <c r="AX82" i="3"/>
  <c r="BI92" i="3"/>
  <c r="BV92" i="3"/>
  <c r="AK65" i="3"/>
  <c r="AV67" i="3"/>
  <c r="AW67" i="3" s="1"/>
  <c r="AX67" i="3"/>
  <c r="BI107" i="3"/>
  <c r="BV107" i="3"/>
  <c r="AX103" i="3"/>
  <c r="AV103" i="3"/>
  <c r="AW103" i="3" s="1"/>
  <c r="BI89" i="3"/>
  <c r="BV89" i="3"/>
  <c r="BI69" i="3"/>
  <c r="BV69" i="3"/>
  <c r="AK129" i="3"/>
  <c r="AV87" i="3"/>
  <c r="AW87" i="3" s="1"/>
  <c r="AX87" i="3"/>
  <c r="BI78" i="3"/>
  <c r="BV78" i="3"/>
  <c r="BV129" i="3"/>
  <c r="BI129" i="3"/>
  <c r="AV49" i="3"/>
  <c r="AW49" i="3" s="1"/>
  <c r="AX49" i="3"/>
  <c r="AV57" i="3"/>
  <c r="AW57" i="3" s="1"/>
  <c r="AX57" i="3"/>
  <c r="AX126" i="3"/>
  <c r="AV126" i="3"/>
  <c r="AW126" i="3" s="1"/>
  <c r="BI46" i="3"/>
  <c r="BV46" i="3"/>
  <c r="AV96" i="3"/>
  <c r="AW96" i="3" s="1"/>
  <c r="AX96" i="3"/>
  <c r="AX92" i="3"/>
  <c r="AV92" i="3"/>
  <c r="AW92" i="3" s="1"/>
  <c r="BI116" i="3"/>
  <c r="BV116" i="3"/>
  <c r="AX83" i="3"/>
  <c r="AV83" i="3"/>
  <c r="AW83" i="3" s="1"/>
  <c r="BI55" i="3"/>
  <c r="BV55" i="3"/>
  <c r="AK105" i="3"/>
  <c r="AX78" i="3"/>
  <c r="AV78" i="3"/>
  <c r="AW78" i="3" s="1"/>
  <c r="AK92" i="3"/>
  <c r="AV129" i="3"/>
  <c r="AW129" i="3" s="1"/>
  <c r="AX129" i="3"/>
  <c r="BI57" i="3"/>
  <c r="BV57" i="3"/>
  <c r="AV36" i="3"/>
  <c r="AW36" i="3" s="1"/>
  <c r="AX36" i="3"/>
  <c r="AX72" i="3"/>
  <c r="AV72" i="3"/>
  <c r="AW72" i="3" s="1"/>
  <c r="BI45" i="3"/>
  <c r="BV45" i="3"/>
  <c r="BI124" i="3"/>
  <c r="BV124" i="3"/>
  <c r="AX91" i="3"/>
  <c r="AV91" i="3"/>
  <c r="AW91" i="3" s="1"/>
  <c r="BI49" i="3"/>
  <c r="BV49" i="3"/>
  <c r="BV79" i="3"/>
  <c r="BI79" i="3"/>
  <c r="BV53" i="3"/>
  <c r="BI53" i="3"/>
  <c r="AX44" i="3"/>
  <c r="AV44" i="3"/>
  <c r="AW44" i="3" s="1"/>
  <c r="AX55" i="3"/>
  <c r="AV55" i="3"/>
  <c r="AW55" i="3" s="1"/>
  <c r="BV97" i="3"/>
  <c r="BI97" i="3"/>
  <c r="AX77" i="3"/>
  <c r="AV77" i="3"/>
  <c r="AW77" i="3" s="1"/>
  <c r="BI99" i="3"/>
  <c r="BV99" i="3"/>
  <c r="AK108" i="3"/>
  <c r="AK48" i="3"/>
  <c r="AX104" i="3"/>
  <c r="AV104" i="3"/>
  <c r="AW104" i="3" s="1"/>
  <c r="BV62" i="3"/>
  <c r="BI62" i="3"/>
  <c r="AV112" i="3"/>
  <c r="AW112" i="3" s="1"/>
  <c r="AX112" i="3"/>
  <c r="BI44" i="3"/>
  <c r="BV44" i="3"/>
  <c r="BV47" i="3"/>
  <c r="BI47" i="3"/>
  <c r="AX97" i="3"/>
  <c r="AV97" i="3"/>
  <c r="AW97" i="3" s="1"/>
  <c r="BI52" i="3"/>
  <c r="BV52" i="3"/>
  <c r="AX35" i="3"/>
  <c r="AV35" i="3"/>
  <c r="AW35" i="3" s="1"/>
  <c r="AX99" i="3"/>
  <c r="AV99" i="3"/>
  <c r="AW99" i="3" s="1"/>
  <c r="BI121" i="3"/>
  <c r="BV121" i="3"/>
  <c r="AX101" i="3"/>
  <c r="AV101" i="3"/>
  <c r="AW101" i="3" s="1"/>
  <c r="AV45" i="3"/>
  <c r="AW45" i="3" s="1"/>
  <c r="AX45" i="3"/>
  <c r="AK107" i="3"/>
  <c r="AX84" i="3"/>
  <c r="AV84" i="3"/>
  <c r="AW84" i="3" s="1"/>
  <c r="AX118" i="3"/>
  <c r="AV118" i="3"/>
  <c r="AW118" i="3" s="1"/>
  <c r="BI41" i="3"/>
  <c r="BV41" i="3"/>
  <c r="AV47" i="3"/>
  <c r="AW47" i="3" s="1"/>
  <c r="AX47" i="3"/>
  <c r="BI98" i="3"/>
  <c r="BV98" i="3"/>
  <c r="AV52" i="3"/>
  <c r="AW52" i="3" s="1"/>
  <c r="AX52" i="3"/>
  <c r="BI35" i="3"/>
  <c r="BV35" i="3"/>
  <c r="AX121" i="3"/>
  <c r="AV121" i="3"/>
  <c r="AW121" i="3" s="1"/>
  <c r="BI101" i="3"/>
  <c r="BV101" i="3"/>
  <c r="BI74" i="3"/>
  <c r="BV74" i="3"/>
  <c r="BI60" i="3"/>
  <c r="BV60" i="3"/>
  <c r="BI113" i="3"/>
  <c r="BV113" i="3"/>
  <c r="BI59" i="3"/>
  <c r="BV59" i="3"/>
  <c r="BI71" i="3"/>
  <c r="BV71" i="3"/>
  <c r="BI108" i="3"/>
  <c r="BV108" i="3"/>
  <c r="BV84" i="3"/>
  <c r="BI84" i="3"/>
  <c r="AV127" i="3"/>
  <c r="AW127" i="3" s="1"/>
  <c r="AX127" i="3"/>
  <c r="BI118" i="3"/>
  <c r="BV118" i="3"/>
  <c r="AX41" i="3"/>
  <c r="AV41" i="3"/>
  <c r="AW41" i="3" s="1"/>
  <c r="AV98" i="3"/>
  <c r="AW98" i="3" s="1"/>
  <c r="AX98" i="3"/>
  <c r="BI88" i="3"/>
  <c r="BV88" i="3"/>
  <c r="BI115" i="3"/>
  <c r="BV115" i="3"/>
  <c r="AK83" i="3"/>
  <c r="BI134" i="3"/>
  <c r="BV134" i="3"/>
  <c r="AV130" i="3"/>
  <c r="AW130" i="3" s="1"/>
  <c r="AX130" i="3"/>
  <c r="AV46" i="3"/>
  <c r="AW46" i="3" s="1"/>
  <c r="AX46" i="3"/>
  <c r="BI105" i="3"/>
  <c r="BV105" i="3"/>
  <c r="AK51" i="3"/>
  <c r="AK60" i="3"/>
  <c r="AK109" i="3"/>
  <c r="AV125" i="3"/>
  <c r="AW125" i="3" s="1"/>
  <c r="AX125" i="3"/>
  <c r="AV132" i="3"/>
  <c r="AW132" i="3" s="1"/>
  <c r="AX132" i="3"/>
  <c r="AX51" i="3"/>
  <c r="AV51" i="3"/>
  <c r="AW51" i="3" s="1"/>
  <c r="AV102" i="3"/>
  <c r="AW102" i="3" s="1"/>
  <c r="AX102" i="3"/>
  <c r="AV81" i="3"/>
  <c r="AW81" i="3" s="1"/>
  <c r="AX81" i="3"/>
  <c r="BI48" i="3"/>
  <c r="BV48" i="3"/>
  <c r="AV100" i="3"/>
  <c r="AW100" i="3" s="1"/>
  <c r="AX100" i="3"/>
  <c r="AV123" i="3"/>
  <c r="AW123" i="3" s="1"/>
  <c r="AX123" i="3"/>
  <c r="AX56" i="3"/>
  <c r="AV56" i="3"/>
  <c r="AW56" i="3" s="1"/>
  <c r="BI68" i="3"/>
  <c r="BV68" i="3"/>
  <c r="AX70" i="3"/>
  <c r="AV70" i="3"/>
  <c r="AW70" i="3" s="1"/>
  <c r="AK66" i="3"/>
  <c r="BI40" i="3"/>
  <c r="BV40" i="3"/>
  <c r="BI117" i="3"/>
  <c r="BV117" i="3"/>
  <c r="AK55" i="3"/>
  <c r="BI128" i="3"/>
  <c r="BV128" i="3"/>
  <c r="AK133" i="3"/>
  <c r="BI54" i="3"/>
  <c r="BV54" i="3"/>
  <c r="AV88" i="3"/>
  <c r="AW88" i="3" s="1"/>
  <c r="AX88" i="3"/>
  <c r="BI43" i="3"/>
  <c r="BV43" i="3"/>
  <c r="AV111" i="3"/>
  <c r="AW111" i="3" s="1"/>
  <c r="AX111" i="3"/>
  <c r="AV115" i="3"/>
  <c r="AW115" i="3" s="1"/>
  <c r="AX115" i="3"/>
  <c r="AK82" i="3"/>
  <c r="AV134" i="3"/>
  <c r="AW134" i="3" s="1"/>
  <c r="AX134" i="3"/>
  <c r="AK61" i="3"/>
  <c r="AV86" i="3"/>
  <c r="AW86" i="3" s="1"/>
  <c r="AX86" i="3"/>
  <c r="BI58" i="3"/>
  <c r="BV58" i="3"/>
  <c r="AV60" i="3"/>
  <c r="AW60" i="3" s="1"/>
  <c r="AX60" i="3"/>
  <c r="AV110" i="3"/>
  <c r="AW110" i="3" s="1"/>
  <c r="AX110" i="3"/>
  <c r="BI112" i="3"/>
  <c r="BV112" i="3"/>
  <c r="AV89" i="3"/>
  <c r="AW89" i="3" s="1"/>
  <c r="AX89" i="3"/>
  <c r="AX79" i="3"/>
  <c r="AV79" i="3"/>
  <c r="AW79" i="3" s="1"/>
  <c r="BV64" i="3"/>
  <c r="BI64" i="3"/>
  <c r="AV128" i="3"/>
  <c r="AW128" i="3" s="1"/>
  <c r="AX128" i="3"/>
  <c r="BI93" i="3"/>
  <c r="BV93" i="3"/>
  <c r="AV54" i="3"/>
  <c r="AW54" i="3" s="1"/>
  <c r="AX54" i="3"/>
  <c r="BI63" i="3"/>
  <c r="BV63" i="3"/>
  <c r="AV43" i="3"/>
  <c r="AW43" i="3" s="1"/>
  <c r="AX43" i="3"/>
  <c r="BI61" i="3"/>
  <c r="BV61" i="3"/>
  <c r="AV65" i="3"/>
  <c r="AW65" i="3" s="1"/>
  <c r="AX65" i="3"/>
  <c r="BI120" i="3"/>
  <c r="BV120" i="3"/>
  <c r="AV106" i="3"/>
  <c r="AW106" i="3" s="1"/>
  <c r="AX106" i="3"/>
  <c r="AV39" i="3"/>
  <c r="AW39" i="3" s="1"/>
  <c r="AX39" i="3"/>
  <c r="AX122" i="3"/>
  <c r="AV122" i="3"/>
  <c r="AW122" i="3" s="1"/>
  <c r="BI95" i="3"/>
  <c r="BV95" i="3"/>
  <c r="AV120" i="3"/>
  <c r="AW120" i="3" s="1"/>
  <c r="AX120" i="3"/>
  <c r="AV50" i="3"/>
  <c r="AW50" i="3" s="1"/>
  <c r="AX50" i="3"/>
  <c r="BI94" i="3"/>
  <c r="BV94" i="3"/>
  <c r="BV72" i="3"/>
  <c r="BI72" i="3"/>
  <c r="BI38" i="3"/>
  <c r="BV38" i="3"/>
  <c r="BI85" i="3"/>
  <c r="BV85" i="3"/>
  <c r="AX95" i="3"/>
  <c r="AV95" i="3"/>
  <c r="AW95" i="3" s="1"/>
  <c r="AV74" i="3"/>
  <c r="AW74" i="3" s="1"/>
  <c r="AX74" i="3"/>
  <c r="AV94" i="3"/>
  <c r="AW94" i="3" s="1"/>
  <c r="AX94" i="3"/>
  <c r="AX38" i="3"/>
  <c r="AV38" i="3"/>
  <c r="AW38" i="3" s="1"/>
  <c r="AX85" i="3"/>
  <c r="AV85" i="3"/>
  <c r="AW85" i="3" s="1"/>
  <c r="BI104" i="3"/>
  <c r="BV104" i="3"/>
  <c r="BI66" i="3"/>
  <c r="BV66" i="3"/>
  <c r="AV58" i="3"/>
  <c r="AW58" i="3" s="1"/>
  <c r="AX58" i="3"/>
  <c r="AV119" i="3"/>
  <c r="AW119" i="3" s="1"/>
  <c r="AX119" i="3"/>
  <c r="BI96" i="3"/>
  <c r="BV96" i="3"/>
  <c r="BI67" i="3"/>
  <c r="BV67" i="3"/>
  <c r="BI119" i="3"/>
  <c r="BV119" i="3"/>
  <c r="AK93" i="3"/>
  <c r="AK52" i="3"/>
  <c r="AX105" i="3"/>
  <c r="AV105" i="3"/>
  <c r="AW105" i="3" s="1"/>
  <c r="BI110" i="3"/>
  <c r="BV110" i="3"/>
  <c r="AX37" i="3"/>
  <c r="AV37" i="3"/>
  <c r="AW37" i="3" s="1"/>
  <c r="BI34" i="3"/>
  <c r="BV34" i="3"/>
  <c r="AK36" i="3"/>
  <c r="BI131" i="3"/>
  <c r="BV131" i="3"/>
  <c r="AK100" i="3"/>
  <c r="AK72" i="3"/>
  <c r="BI103" i="3"/>
  <c r="AX131" i="3"/>
  <c r="AV131" i="3"/>
  <c r="AW131" i="3" s="1"/>
  <c r="AK96" i="3"/>
  <c r="AK86" i="3"/>
  <c r="AV107" i="3"/>
  <c r="AW107" i="3" s="1"/>
  <c r="AX107" i="3"/>
  <c r="AV59" i="3"/>
  <c r="AW59" i="3" s="1"/>
  <c r="AX59" i="3"/>
  <c r="AK126" i="3"/>
  <c r="BI73" i="3"/>
  <c r="BV73" i="3"/>
  <c r="BI132" i="3"/>
  <c r="BV132" i="3"/>
  <c r="AK118" i="3"/>
  <c r="AX73" i="3"/>
  <c r="AV73" i="3"/>
  <c r="AW73" i="3" s="1"/>
  <c r="BI82" i="3"/>
  <c r="BV82" i="3"/>
  <c r="AX62" i="3"/>
  <c r="AV62" i="3"/>
  <c r="AW62" i="3" s="1"/>
  <c r="AV71" i="3"/>
  <c r="AW71" i="3" s="1"/>
  <c r="AX71" i="3"/>
  <c r="BI91" i="3"/>
  <c r="BV91" i="3"/>
  <c r="AX109" i="3"/>
  <c r="AV109" i="3"/>
  <c r="AW109" i="3" s="1"/>
  <c r="AX90" i="3"/>
  <c r="AV90" i="3"/>
  <c r="AW90" i="3" s="1"/>
  <c r="AV133" i="3"/>
  <c r="AW133" i="3" s="1"/>
  <c r="AX133" i="3"/>
  <c r="BI75" i="3"/>
  <c r="BV75" i="3"/>
  <c r="AK57" i="3"/>
  <c r="BI87" i="3"/>
  <c r="BV87" i="3"/>
  <c r="BI126" i="3"/>
  <c r="BV126" i="3"/>
  <c r="AV116" i="3"/>
  <c r="AW116" i="3" s="1"/>
  <c r="AX116" i="3"/>
  <c r="BI83" i="3"/>
  <c r="BV83" i="3"/>
  <c r="AV69" i="3"/>
  <c r="AW69" i="3" s="1"/>
  <c r="AX69" i="3"/>
  <c r="AX53" i="3"/>
  <c r="AV53" i="3"/>
  <c r="AW53" i="3" s="1"/>
  <c r="AV48" i="3"/>
  <c r="AW48" i="3" s="1"/>
  <c r="AX48" i="3"/>
  <c r="BV100" i="3"/>
  <c r="BI100" i="3"/>
  <c r="AK131" i="3"/>
  <c r="BI123" i="3"/>
  <c r="BV123" i="3"/>
  <c r="BI127" i="3"/>
  <c r="BV127" i="3"/>
  <c r="BI56" i="3"/>
  <c r="BV56" i="3"/>
  <c r="BI70" i="3"/>
  <c r="BV70" i="3"/>
  <c r="AX68" i="3"/>
  <c r="AV68" i="3"/>
  <c r="AW68" i="3" s="1"/>
  <c r="BI42" i="3"/>
  <c r="BV42" i="3"/>
  <c r="AV40" i="3"/>
  <c r="AW40" i="3" s="1"/>
  <c r="AX40" i="3"/>
  <c r="AV117" i="3"/>
  <c r="AW117" i="3" s="1"/>
  <c r="AX117" i="3"/>
  <c r="AK70" i="3"/>
  <c r="AV42" i="3"/>
  <c r="AW42" i="3" s="1"/>
  <c r="AX42" i="3"/>
  <c r="AK111" i="3"/>
  <c r="BI86" i="3"/>
  <c r="BV86" i="3"/>
  <c r="AX64" i="3"/>
  <c r="AV64" i="3"/>
  <c r="AW64" i="3" s="1"/>
  <c r="BV106" i="3"/>
  <c r="BI106" i="3"/>
  <c r="BV39" i="3"/>
  <c r="BI39" i="3"/>
  <c r="AV93" i="3"/>
  <c r="AW93" i="3" s="1"/>
  <c r="AX93" i="3"/>
  <c r="BI122" i="3"/>
  <c r="BV122" i="3"/>
  <c r="BI80" i="3"/>
  <c r="BV80" i="3"/>
  <c r="AV63" i="3"/>
  <c r="AW63" i="3" s="1"/>
  <c r="AX63" i="3"/>
  <c r="BI130" i="3"/>
  <c r="BV130" i="3"/>
  <c r="AX61" i="3"/>
  <c r="AV61" i="3"/>
  <c r="AW61" i="3" s="1"/>
  <c r="BV65" i="3"/>
  <c r="BI65" i="3"/>
  <c r="AK91" i="3"/>
  <c r="N35" i="2"/>
  <c r="K36" i="2" s="1"/>
  <c r="L36" i="2" s="1"/>
  <c r="M36" i="2" s="1"/>
  <c r="AC144" i="2"/>
  <c r="AD144" i="2" s="1"/>
  <c r="AE144" i="2" s="1"/>
  <c r="AC116" i="2"/>
  <c r="AD116" i="2" s="1"/>
  <c r="AE116" i="2" s="1"/>
  <c r="AC125" i="2"/>
  <c r="AD125" i="2" s="1"/>
  <c r="AE125" i="2" s="1"/>
  <c r="AC122" i="2"/>
  <c r="AD122" i="2" s="1"/>
  <c r="AE122" i="2" s="1"/>
  <c r="O35" i="2"/>
  <c r="AC97" i="2"/>
  <c r="AD97" i="2" s="1"/>
  <c r="AE97" i="2" s="1"/>
  <c r="AC145" i="2"/>
  <c r="AD145" i="2" s="1"/>
  <c r="AE145" i="2" s="1"/>
  <c r="X151" i="2"/>
  <c r="AC106" i="2"/>
  <c r="AD106" i="2" s="1"/>
  <c r="AE106" i="2" s="1"/>
  <c r="AC52" i="2"/>
  <c r="AD52" i="2" s="1"/>
  <c r="AE52" i="2" s="1"/>
  <c r="AC74" i="2"/>
  <c r="AD74" i="2" s="1"/>
  <c r="AE74" i="2" s="1"/>
  <c r="AC43" i="2"/>
  <c r="AD43" i="2" s="1"/>
  <c r="AE43" i="2" s="1"/>
  <c r="AC135" i="2"/>
  <c r="AD135" i="2" s="1"/>
  <c r="AE135" i="2" s="1"/>
  <c r="AC142" i="2"/>
  <c r="AD142" i="2" s="1"/>
  <c r="AE142" i="2" s="1"/>
  <c r="AC45" i="2"/>
  <c r="AD45" i="2" s="1"/>
  <c r="AE45" i="2" s="1"/>
  <c r="AC63" i="2"/>
  <c r="AD63" i="2" s="1"/>
  <c r="AE63" i="2" s="1"/>
  <c r="AC102" i="2"/>
  <c r="AD102" i="2" s="1"/>
  <c r="AE102" i="2" s="1"/>
  <c r="AC123" i="2"/>
  <c r="AD123" i="2" s="1"/>
  <c r="AE123" i="2" s="1"/>
  <c r="AC81" i="2"/>
  <c r="AD81" i="2" s="1"/>
  <c r="AE81" i="2" s="1"/>
  <c r="AC54" i="2"/>
  <c r="AD54" i="2" s="1"/>
  <c r="AE54" i="2" s="1"/>
  <c r="AC101" i="2"/>
  <c r="AD101" i="2" s="1"/>
  <c r="AE101" i="2" s="1"/>
  <c r="AC68" i="2"/>
  <c r="AD68" i="2" s="1"/>
  <c r="AE68" i="2" s="1"/>
  <c r="AC127" i="2"/>
  <c r="AD127" i="2" s="1"/>
  <c r="AE127" i="2" s="1"/>
  <c r="AC49" i="2"/>
  <c r="AD49" i="2" s="1"/>
  <c r="AE49" i="2" s="1"/>
  <c r="AC109" i="2"/>
  <c r="AD109" i="2" s="1"/>
  <c r="AE109" i="2" s="1"/>
  <c r="X124" i="2"/>
  <c r="AC67" i="2"/>
  <c r="AD67" i="2" s="1"/>
  <c r="AE67" i="2" s="1"/>
  <c r="AC82" i="2"/>
  <c r="AD82" i="2" s="1"/>
  <c r="AE82" i="2" s="1"/>
  <c r="X117" i="2"/>
  <c r="AC138" i="2"/>
  <c r="AD138" i="2" s="1"/>
  <c r="AE138" i="2" s="1"/>
  <c r="AC130" i="2"/>
  <c r="AD130" i="2" s="1"/>
  <c r="AE130" i="2" s="1"/>
  <c r="AC84" i="2"/>
  <c r="AD84" i="2" s="1"/>
  <c r="AE84" i="2" s="1"/>
  <c r="AC98" i="2"/>
  <c r="AD98" i="2" s="1"/>
  <c r="AE98" i="2" s="1"/>
  <c r="X41" i="2"/>
  <c r="AC41" i="2"/>
  <c r="AD41" i="2" s="1"/>
  <c r="AE41" i="2" s="1"/>
  <c r="AC143" i="2"/>
  <c r="AD143" i="2" s="1"/>
  <c r="AE143" i="2" s="1"/>
  <c r="AC120" i="2"/>
  <c r="AD120" i="2" s="1"/>
  <c r="AE120" i="2" s="1"/>
  <c r="AC115" i="2"/>
  <c r="AD115" i="2" s="1"/>
  <c r="AE115" i="2" s="1"/>
  <c r="AC105" i="2"/>
  <c r="AD105" i="2" s="1"/>
  <c r="AE105" i="2" s="1"/>
  <c r="AC59" i="2"/>
  <c r="AD59" i="2" s="1"/>
  <c r="AE59" i="2" s="1"/>
  <c r="AC66" i="2"/>
  <c r="AD66" i="2" s="1"/>
  <c r="AE66" i="2" s="1"/>
  <c r="AC70" i="2"/>
  <c r="AD70" i="2" s="1"/>
  <c r="AE70" i="2" s="1"/>
  <c r="AC55" i="2"/>
  <c r="AD55" i="2" s="1"/>
  <c r="AE55" i="2" s="1"/>
  <c r="AC95" i="2"/>
  <c r="AD95" i="2" s="1"/>
  <c r="AE95" i="2" s="1"/>
  <c r="X146" i="2"/>
  <c r="X132" i="2"/>
  <c r="AC83" i="2"/>
  <c r="AD83" i="2" s="1"/>
  <c r="AE83" i="2" s="1"/>
  <c r="AC77" i="2"/>
  <c r="AD77" i="2" s="1"/>
  <c r="AE77" i="2" s="1"/>
  <c r="AC85" i="2"/>
  <c r="AD85" i="2" s="1"/>
  <c r="AE85" i="2" s="1"/>
  <c r="AC103" i="2"/>
  <c r="AD103" i="2" s="1"/>
  <c r="AE103" i="2" s="1"/>
  <c r="AC133" i="2"/>
  <c r="AD133" i="2" s="1"/>
  <c r="AE133" i="2" s="1"/>
  <c r="AC87" i="2"/>
  <c r="AD87" i="2" s="1"/>
  <c r="AE87" i="2" s="1"/>
  <c r="AC107" i="2"/>
  <c r="AD107" i="2" s="1"/>
  <c r="AE107" i="2" s="1"/>
  <c r="AC75" i="2"/>
  <c r="AD75" i="2" s="1"/>
  <c r="AE75" i="2" s="1"/>
  <c r="AC99" i="2"/>
  <c r="AD99" i="2" s="1"/>
  <c r="AE99" i="2" s="1"/>
  <c r="AC111" i="2"/>
  <c r="AD111" i="2" s="1"/>
  <c r="AE111" i="2" s="1"/>
  <c r="AC58" i="2"/>
  <c r="AD58" i="2" s="1"/>
  <c r="AE58" i="2" s="1"/>
  <c r="AC53" i="2"/>
  <c r="AD53" i="2" s="1"/>
  <c r="AE53" i="2" s="1"/>
  <c r="X113" i="2"/>
  <c r="AC44" i="2"/>
  <c r="AD44" i="2" s="1"/>
  <c r="AE44" i="2" s="1"/>
  <c r="AC119" i="2"/>
  <c r="AD119" i="2" s="1"/>
  <c r="AE119" i="2" s="1"/>
  <c r="AC62" i="2"/>
  <c r="AD62" i="2" s="1"/>
  <c r="AE62" i="2" s="1"/>
  <c r="AC93" i="2"/>
  <c r="AD93" i="2" s="1"/>
  <c r="AE93" i="2" s="1"/>
  <c r="AC126" i="2"/>
  <c r="AD126" i="2" s="1"/>
  <c r="AE126" i="2" s="1"/>
  <c r="AC65" i="2"/>
  <c r="AD65" i="2" s="1"/>
  <c r="AE65" i="2" s="1"/>
  <c r="AC100" i="2"/>
  <c r="AD100" i="2" s="1"/>
  <c r="AE100" i="2" s="1"/>
  <c r="AC72" i="2"/>
  <c r="AD72" i="2" s="1"/>
  <c r="AE72" i="2" s="1"/>
  <c r="AC76" i="2"/>
  <c r="AD76" i="2" s="1"/>
  <c r="AE76" i="2" s="1"/>
  <c r="AC79" i="2"/>
  <c r="AD79" i="2" s="1"/>
  <c r="AE79" i="2" s="1"/>
  <c r="AC80" i="2"/>
  <c r="AD80" i="2" s="1"/>
  <c r="AE80" i="2" s="1"/>
  <c r="AC128" i="2"/>
  <c r="AD128" i="2" s="1"/>
  <c r="AE128" i="2" s="1"/>
  <c r="AC42" i="2"/>
  <c r="AD42" i="2" s="1"/>
  <c r="AE42" i="2" s="1"/>
  <c r="AC129" i="2"/>
  <c r="AD129" i="2" s="1"/>
  <c r="AE129" i="2" s="1"/>
  <c r="AC51" i="2"/>
  <c r="AD51" i="2" s="1"/>
  <c r="AE51" i="2" s="1"/>
  <c r="AC112" i="2"/>
  <c r="AD112" i="2" s="1"/>
  <c r="AE112" i="2" s="1"/>
  <c r="AC48" i="2"/>
  <c r="AD48" i="2" s="1"/>
  <c r="AE48" i="2" s="1"/>
  <c r="AC50" i="2"/>
  <c r="AD50" i="2" s="1"/>
  <c r="AE50" i="2" s="1"/>
  <c r="AC147" i="2"/>
  <c r="AD147" i="2" s="1"/>
  <c r="AE147" i="2" s="1"/>
  <c r="X152" i="2"/>
  <c r="AC156" i="2"/>
  <c r="AD156" i="2" s="1"/>
  <c r="AE156" i="2" s="1"/>
  <c r="AC94" i="2"/>
  <c r="AD94" i="2" s="1"/>
  <c r="AE94" i="2" s="1"/>
  <c r="AC136" i="2"/>
  <c r="AD136" i="2" s="1"/>
  <c r="AE136" i="2" s="1"/>
  <c r="AC91" i="2"/>
  <c r="AD91" i="2" s="1"/>
  <c r="AE91" i="2" s="1"/>
  <c r="AC71" i="2"/>
  <c r="AD71" i="2" s="1"/>
  <c r="AE71" i="2" s="1"/>
  <c r="AC118" i="2"/>
  <c r="AD118" i="2" s="1"/>
  <c r="AE118" i="2" s="1"/>
  <c r="AC86" i="2"/>
  <c r="AD86" i="2" s="1"/>
  <c r="AE86" i="2" s="1"/>
  <c r="AC114" i="2"/>
  <c r="AD114" i="2" s="1"/>
  <c r="AE114" i="2" s="1"/>
  <c r="AC96" i="2"/>
  <c r="AD96" i="2" s="1"/>
  <c r="AE96" i="2" s="1"/>
  <c r="AC46" i="2"/>
  <c r="AD46" i="2" s="1"/>
  <c r="AE46" i="2" s="1"/>
  <c r="AC137" i="2"/>
  <c r="AD137" i="2" s="1"/>
  <c r="AE137" i="2" s="1"/>
  <c r="AC57" i="2"/>
  <c r="AD57" i="2" s="1"/>
  <c r="AE57" i="2" s="1"/>
  <c r="AC155" i="2"/>
  <c r="AD155" i="2" s="1"/>
  <c r="AE155" i="2" s="1"/>
  <c r="AC56" i="2"/>
  <c r="AD56" i="2" s="1"/>
  <c r="AE56" i="2" s="1"/>
  <c r="AC60" i="2"/>
  <c r="AD60" i="2" s="1"/>
  <c r="AE60" i="2" s="1"/>
  <c r="AC134" i="2"/>
  <c r="AD134" i="2" s="1"/>
  <c r="AE134" i="2" s="1"/>
  <c r="AC69" i="2"/>
  <c r="AD69" i="2" s="1"/>
  <c r="AE69" i="2" s="1"/>
  <c r="AC150" i="2"/>
  <c r="AD150" i="2" s="1"/>
  <c r="AE150" i="2" s="1"/>
  <c r="AC61" i="2"/>
  <c r="AD61" i="2" s="1"/>
  <c r="AE61" i="2" s="1"/>
  <c r="AC139" i="2"/>
  <c r="AD139" i="2" s="1"/>
  <c r="AE139" i="2" s="1"/>
  <c r="AC154" i="2"/>
  <c r="AD154" i="2" s="1"/>
  <c r="AE154" i="2" s="1"/>
  <c r="AC40" i="2"/>
  <c r="AD40" i="2" s="1"/>
  <c r="AE40" i="2" s="1"/>
  <c r="AC47" i="2"/>
  <c r="AD47" i="2" s="1"/>
  <c r="AE47" i="2" s="1"/>
  <c r="AC78" i="2"/>
  <c r="AD78" i="2" s="1"/>
  <c r="AE78" i="2" s="1"/>
  <c r="AC110" i="2"/>
  <c r="AD110" i="2" s="1"/>
  <c r="AE110" i="2" s="1"/>
  <c r="X140" i="2"/>
  <c r="AC153" i="2"/>
  <c r="AD153" i="2" s="1"/>
  <c r="AE153" i="2" s="1"/>
  <c r="AC73" i="2"/>
  <c r="AD73" i="2" s="1"/>
  <c r="AE73" i="2" s="1"/>
  <c r="AC88" i="2"/>
  <c r="AD88" i="2" s="1"/>
  <c r="AE88" i="2" s="1"/>
  <c r="AC89" i="2"/>
  <c r="AD89" i="2" s="1"/>
  <c r="AE89" i="2" s="1"/>
  <c r="AC92" i="2"/>
  <c r="AD92" i="2" s="1"/>
  <c r="AE92" i="2" s="1"/>
  <c r="X149" i="2"/>
  <c r="AC141" i="2"/>
  <c r="AD141" i="2" s="1"/>
  <c r="AE141" i="2" s="1"/>
  <c r="AC64" i="2"/>
  <c r="AD64" i="2" s="1"/>
  <c r="AE64" i="2" s="1"/>
  <c r="X121" i="2"/>
  <c r="AC104" i="2"/>
  <c r="AD104" i="2" s="1"/>
  <c r="AE104" i="2" s="1"/>
  <c r="AR42" i="2"/>
  <c r="AS42" i="2" s="1"/>
  <c r="AP108" i="2"/>
  <c r="AN109" i="2"/>
  <c r="AO109" i="2" s="1"/>
  <c r="AP109" i="2" s="1"/>
  <c r="BV125" i="3" l="1"/>
  <c r="BV114" i="3"/>
  <c r="AK38" i="3"/>
  <c r="AK106" i="3"/>
  <c r="BV102" i="3"/>
  <c r="AK46" i="3"/>
  <c r="AX34" i="3"/>
  <c r="AY34" i="3" s="1"/>
  <c r="BV76" i="3"/>
  <c r="BW76" i="3" s="1"/>
  <c r="BI81" i="3"/>
  <c r="BJ81" i="3" s="1"/>
  <c r="BK81" i="3" s="1"/>
  <c r="BV77" i="3"/>
  <c r="BW77" i="3" s="1"/>
  <c r="BV51" i="3"/>
  <c r="BW51" i="3" s="1"/>
  <c r="AV66" i="3"/>
  <c r="AW66" i="3" s="1"/>
  <c r="AK117" i="3"/>
  <c r="AY87" i="3"/>
  <c r="BV111" i="3"/>
  <c r="BW111" i="3" s="1"/>
  <c r="AY59" i="3"/>
  <c r="AY54" i="3"/>
  <c r="AY125" i="3"/>
  <c r="AY43" i="3"/>
  <c r="AV75" i="3"/>
  <c r="AW75" i="3" s="1"/>
  <c r="BI37" i="3"/>
  <c r="BJ37" i="3" s="1"/>
  <c r="BK37" i="3" s="1"/>
  <c r="AK84" i="3"/>
  <c r="AY82" i="3"/>
  <c r="BI50" i="3"/>
  <c r="BJ50" i="3" s="1"/>
  <c r="BK50" i="3" s="1"/>
  <c r="BV36" i="3"/>
  <c r="BW36" i="3" s="1"/>
  <c r="AY112" i="3"/>
  <c r="AY50" i="3"/>
  <c r="BI133" i="3"/>
  <c r="BL133" i="3" s="1"/>
  <c r="AY48" i="3"/>
  <c r="AY106" i="3"/>
  <c r="AY89" i="3"/>
  <c r="AY100" i="3"/>
  <c r="AY129" i="3"/>
  <c r="AY69" i="3"/>
  <c r="AY42" i="3"/>
  <c r="AY63" i="3"/>
  <c r="AY40" i="3"/>
  <c r="AY94" i="3"/>
  <c r="AY128" i="3"/>
  <c r="AY115" i="3"/>
  <c r="AY127" i="3"/>
  <c r="AY116" i="3"/>
  <c r="AY46" i="3"/>
  <c r="AY108" i="3"/>
  <c r="AY47" i="3"/>
  <c r="AY76" i="3"/>
  <c r="AY67" i="3"/>
  <c r="AY130" i="3"/>
  <c r="AY119" i="3"/>
  <c r="AY65" i="3"/>
  <c r="AY110" i="3"/>
  <c r="AY81" i="3"/>
  <c r="AY57" i="3"/>
  <c r="AY120" i="3"/>
  <c r="AY86" i="3"/>
  <c r="AY132" i="3"/>
  <c r="AY98" i="3"/>
  <c r="AY45" i="3"/>
  <c r="AY113" i="3"/>
  <c r="AY71" i="3"/>
  <c r="AY74" i="3"/>
  <c r="AY39" i="3"/>
  <c r="AY111" i="3"/>
  <c r="AY78" i="3"/>
  <c r="AY52" i="3"/>
  <c r="AY53" i="3"/>
  <c r="AY105" i="3"/>
  <c r="AY80" i="3"/>
  <c r="AY38" i="3"/>
  <c r="AY122" i="3"/>
  <c r="AY70" i="3"/>
  <c r="AY123" i="3"/>
  <c r="AY36" i="3"/>
  <c r="AY96" i="3"/>
  <c r="AY93" i="3"/>
  <c r="AY88" i="3"/>
  <c r="AY124" i="3"/>
  <c r="AY104" i="3"/>
  <c r="J36" i="3"/>
  <c r="K36" i="3"/>
  <c r="L36" i="3" s="1"/>
  <c r="M36" i="3" s="1"/>
  <c r="AY109" i="3"/>
  <c r="AY133" i="3"/>
  <c r="AY58" i="3"/>
  <c r="AY60" i="3"/>
  <c r="AY102" i="3"/>
  <c r="AY49" i="3"/>
  <c r="BW69" i="3"/>
  <c r="CJ69" i="3"/>
  <c r="AY92" i="3"/>
  <c r="BW80" i="3"/>
  <c r="CJ80" i="3"/>
  <c r="BW89" i="3"/>
  <c r="CJ89" i="3"/>
  <c r="BW109" i="3"/>
  <c r="CJ109" i="3"/>
  <c r="AY55" i="3"/>
  <c r="BW127" i="3"/>
  <c r="CJ127" i="3"/>
  <c r="BW94" i="3"/>
  <c r="CJ94" i="3"/>
  <c r="AY84" i="3"/>
  <c r="BW47" i="3"/>
  <c r="CJ47" i="3"/>
  <c r="BL53" i="3"/>
  <c r="BJ53" i="3"/>
  <c r="BK53" i="3" s="1"/>
  <c r="BJ51" i="3"/>
  <c r="BK51" i="3" s="1"/>
  <c r="BL51" i="3"/>
  <c r="BJ93" i="3"/>
  <c r="BK93" i="3" s="1"/>
  <c r="BL93" i="3"/>
  <c r="BL35" i="3"/>
  <c r="BJ35" i="3"/>
  <c r="BK35" i="3" s="1"/>
  <c r="BJ124" i="3"/>
  <c r="BK124" i="3" s="1"/>
  <c r="BL124" i="3"/>
  <c r="AY101" i="3"/>
  <c r="BJ69" i="3"/>
  <c r="BK69" i="3" s="1"/>
  <c r="BL69" i="3"/>
  <c r="BW83" i="3"/>
  <c r="CJ83" i="3"/>
  <c r="BW105" i="3"/>
  <c r="CJ105" i="3"/>
  <c r="BJ45" i="3"/>
  <c r="BK45" i="3" s="1"/>
  <c r="BL45" i="3"/>
  <c r="BW90" i="3"/>
  <c r="CJ90" i="3"/>
  <c r="BW42" i="3"/>
  <c r="CJ42" i="3"/>
  <c r="BJ84" i="3"/>
  <c r="BK84" i="3" s="1"/>
  <c r="BL84" i="3"/>
  <c r="AY131" i="3"/>
  <c r="BW67" i="3"/>
  <c r="CJ67" i="3"/>
  <c r="BW98" i="3"/>
  <c r="CJ98" i="3"/>
  <c r="AY72" i="3"/>
  <c r="BL103" i="3"/>
  <c r="BJ103" i="3"/>
  <c r="BK103" i="3" s="1"/>
  <c r="BJ98" i="3"/>
  <c r="BK98" i="3" s="1"/>
  <c r="BL98" i="3"/>
  <c r="BJ89" i="3"/>
  <c r="BK89" i="3" s="1"/>
  <c r="BL89" i="3"/>
  <c r="AY68" i="3"/>
  <c r="BW126" i="3"/>
  <c r="CJ126" i="3"/>
  <c r="CJ103" i="3"/>
  <c r="BW103" i="3"/>
  <c r="BW96" i="3"/>
  <c r="CJ96" i="3"/>
  <c r="BW50" i="3"/>
  <c r="CJ50" i="3"/>
  <c r="AY103" i="3"/>
  <c r="BL70" i="3"/>
  <c r="BJ70" i="3"/>
  <c r="BK70" i="3" s="1"/>
  <c r="BJ85" i="3"/>
  <c r="BK85" i="3" s="1"/>
  <c r="BL85" i="3"/>
  <c r="BW134" i="3"/>
  <c r="CJ134" i="3"/>
  <c r="BJ57" i="3"/>
  <c r="BK57" i="3" s="1"/>
  <c r="BL57" i="3"/>
  <c r="BJ87" i="3"/>
  <c r="BK87" i="3" s="1"/>
  <c r="BL87" i="3"/>
  <c r="BW120" i="3"/>
  <c r="CJ120" i="3"/>
  <c r="BW48" i="3"/>
  <c r="CJ48" i="3"/>
  <c r="BJ41" i="3"/>
  <c r="BK41" i="3" s="1"/>
  <c r="BL41" i="3"/>
  <c r="BJ107" i="3"/>
  <c r="BK107" i="3" s="1"/>
  <c r="BL107" i="3"/>
  <c r="BL56" i="3"/>
  <c r="BJ56" i="3"/>
  <c r="BK56" i="3" s="1"/>
  <c r="BL38" i="3"/>
  <c r="BJ38" i="3"/>
  <c r="BK38" i="3" s="1"/>
  <c r="BL112" i="3"/>
  <c r="BJ112" i="3"/>
  <c r="BK112" i="3" s="1"/>
  <c r="BW54" i="3"/>
  <c r="CJ54" i="3"/>
  <c r="AY126" i="3"/>
  <c r="CJ75" i="3"/>
  <c r="BW75" i="3"/>
  <c r="BW115" i="3"/>
  <c r="CJ115" i="3"/>
  <c r="AY97" i="3"/>
  <c r="BL127" i="3"/>
  <c r="BJ127" i="3"/>
  <c r="BK127" i="3" s="1"/>
  <c r="BL131" i="3"/>
  <c r="BJ131" i="3"/>
  <c r="BK131" i="3" s="1"/>
  <c r="BW72" i="3"/>
  <c r="CJ72" i="3"/>
  <c r="BL115" i="3"/>
  <c r="BJ115" i="3"/>
  <c r="BK115" i="3" s="1"/>
  <c r="BL113" i="3"/>
  <c r="BJ113" i="3"/>
  <c r="BK113" i="3" s="1"/>
  <c r="AY44" i="3"/>
  <c r="BW123" i="3"/>
  <c r="CJ123" i="3"/>
  <c r="BJ76" i="3"/>
  <c r="BK76" i="3" s="1"/>
  <c r="BL76" i="3"/>
  <c r="BW61" i="3"/>
  <c r="CJ61" i="3"/>
  <c r="BW128" i="3"/>
  <c r="CJ128" i="3"/>
  <c r="BW60" i="3"/>
  <c r="CJ60" i="3"/>
  <c r="AY64" i="3"/>
  <c r="BL123" i="3"/>
  <c r="BJ123" i="3"/>
  <c r="BK123" i="3" s="1"/>
  <c r="BW132" i="3"/>
  <c r="CJ132" i="3"/>
  <c r="BW34" i="3"/>
  <c r="CJ34" i="3"/>
  <c r="BJ94" i="3"/>
  <c r="BK94" i="3" s="1"/>
  <c r="BL94" i="3"/>
  <c r="BL61" i="3"/>
  <c r="BJ61" i="3"/>
  <c r="BK61" i="3" s="1"/>
  <c r="BJ128" i="3"/>
  <c r="BK128" i="3" s="1"/>
  <c r="BL128" i="3"/>
  <c r="BJ111" i="3"/>
  <c r="BK111" i="3" s="1"/>
  <c r="BL111" i="3"/>
  <c r="BL60" i="3"/>
  <c r="BJ60" i="3"/>
  <c r="BK60" i="3" s="1"/>
  <c r="BW44" i="3"/>
  <c r="CJ44" i="3"/>
  <c r="CJ53" i="3"/>
  <c r="BW53" i="3"/>
  <c r="BW114" i="3"/>
  <c r="CJ114" i="3"/>
  <c r="BL122" i="3"/>
  <c r="BJ122" i="3"/>
  <c r="BK122" i="3" s="1"/>
  <c r="BW46" i="3"/>
  <c r="CJ46" i="3"/>
  <c r="BW106" i="3"/>
  <c r="CJ106" i="3"/>
  <c r="BL34" i="3"/>
  <c r="BJ34" i="3"/>
  <c r="BK34" i="3" s="1"/>
  <c r="BW66" i="3"/>
  <c r="CJ66" i="3"/>
  <c r="BW58" i="3"/>
  <c r="CJ58" i="3"/>
  <c r="BW88" i="3"/>
  <c r="CJ88" i="3"/>
  <c r="BW74" i="3"/>
  <c r="CJ74" i="3"/>
  <c r="BW125" i="3"/>
  <c r="CJ125" i="3"/>
  <c r="BL44" i="3"/>
  <c r="BJ44" i="3"/>
  <c r="BK44" i="3" s="1"/>
  <c r="BL79" i="3"/>
  <c r="BJ79" i="3"/>
  <c r="BK79" i="3" s="1"/>
  <c r="BJ129" i="3"/>
  <c r="BK129" i="3" s="1"/>
  <c r="BL129" i="3"/>
  <c r="BW92" i="3"/>
  <c r="CJ92" i="3"/>
  <c r="BL42" i="3"/>
  <c r="BJ42" i="3"/>
  <c r="BK42" i="3" s="1"/>
  <c r="AY79" i="3"/>
  <c r="BW70" i="3"/>
  <c r="CJ70" i="3"/>
  <c r="CJ57" i="3"/>
  <c r="BW57" i="3"/>
  <c r="AY73" i="3"/>
  <c r="BW113" i="3"/>
  <c r="CJ113" i="3"/>
  <c r="BL86" i="3"/>
  <c r="BJ86" i="3"/>
  <c r="BK86" i="3" s="1"/>
  <c r="BL66" i="3"/>
  <c r="BJ66" i="3"/>
  <c r="BK66" i="3" s="1"/>
  <c r="BJ58" i="3"/>
  <c r="BK58" i="3" s="1"/>
  <c r="BL58" i="3"/>
  <c r="CJ117" i="3"/>
  <c r="BW117" i="3"/>
  <c r="AY51" i="3"/>
  <c r="BL88" i="3"/>
  <c r="BJ88" i="3"/>
  <c r="BK88" i="3" s="1"/>
  <c r="BL74" i="3"/>
  <c r="BJ74" i="3"/>
  <c r="BK74" i="3" s="1"/>
  <c r="BJ125" i="3"/>
  <c r="BK125" i="3" s="1"/>
  <c r="BL125" i="3"/>
  <c r="BW79" i="3"/>
  <c r="CJ79" i="3"/>
  <c r="CJ129" i="3"/>
  <c r="BW129" i="3"/>
  <c r="BJ92" i="3"/>
  <c r="BK92" i="3" s="1"/>
  <c r="BL92" i="3"/>
  <c r="AY114" i="3"/>
  <c r="BJ64" i="3"/>
  <c r="BK64" i="3" s="1"/>
  <c r="BL64" i="3"/>
  <c r="BW84" i="3"/>
  <c r="CJ84" i="3"/>
  <c r="AY77" i="3"/>
  <c r="BJ126" i="3"/>
  <c r="BK126" i="3" s="1"/>
  <c r="BL126" i="3"/>
  <c r="BW107" i="3"/>
  <c r="CJ107" i="3"/>
  <c r="BJ47" i="3"/>
  <c r="BK47" i="3" s="1"/>
  <c r="BL47" i="3"/>
  <c r="AY37" i="3"/>
  <c r="BW63" i="3"/>
  <c r="CJ63" i="3"/>
  <c r="BL117" i="3"/>
  <c r="BJ117" i="3"/>
  <c r="BK117" i="3" s="1"/>
  <c r="CJ101" i="3"/>
  <c r="BW101" i="3"/>
  <c r="CJ49" i="3"/>
  <c r="BW49" i="3"/>
  <c r="CJ55" i="3"/>
  <c r="BW55" i="3"/>
  <c r="BW78" i="3"/>
  <c r="CJ78" i="3"/>
  <c r="BW133" i="3"/>
  <c r="CJ133" i="3"/>
  <c r="BW121" i="3"/>
  <c r="CJ121" i="3"/>
  <c r="BL114" i="3"/>
  <c r="BJ114" i="3"/>
  <c r="BK114" i="3" s="1"/>
  <c r="BW82" i="3"/>
  <c r="CJ82" i="3"/>
  <c r="BL46" i="3"/>
  <c r="BJ46" i="3"/>
  <c r="BK46" i="3" s="1"/>
  <c r="BW110" i="3"/>
  <c r="CJ110" i="3"/>
  <c r="BW40" i="3"/>
  <c r="CJ40" i="3"/>
  <c r="BJ101" i="3"/>
  <c r="BK101" i="3" s="1"/>
  <c r="BL101" i="3"/>
  <c r="BJ62" i="3"/>
  <c r="BK62" i="3" s="1"/>
  <c r="BL62" i="3"/>
  <c r="BJ49" i="3"/>
  <c r="BK49" i="3" s="1"/>
  <c r="BL49" i="3"/>
  <c r="BJ55" i="3"/>
  <c r="BK55" i="3" s="1"/>
  <c r="BL55" i="3"/>
  <c r="BL78" i="3"/>
  <c r="BJ78" i="3"/>
  <c r="BK78" i="3" s="1"/>
  <c r="BW45" i="3"/>
  <c r="CJ45" i="3"/>
  <c r="BW119" i="3"/>
  <c r="CJ119" i="3"/>
  <c r="BL121" i="3"/>
  <c r="BJ121" i="3"/>
  <c r="BK121" i="3" s="1"/>
  <c r="BW64" i="3"/>
  <c r="CJ64" i="3"/>
  <c r="BL108" i="3"/>
  <c r="BJ108" i="3"/>
  <c r="BK108" i="3" s="1"/>
  <c r="BL82" i="3"/>
  <c r="BJ82" i="3"/>
  <c r="BK82" i="3" s="1"/>
  <c r="BW52" i="3"/>
  <c r="CJ52" i="3"/>
  <c r="BW56" i="3"/>
  <c r="CJ56" i="3"/>
  <c r="BL77" i="3"/>
  <c r="BJ77" i="3"/>
  <c r="BK77" i="3" s="1"/>
  <c r="BW102" i="3"/>
  <c r="CJ102" i="3"/>
  <c r="BJ40" i="3"/>
  <c r="BK40" i="3" s="1"/>
  <c r="BL40" i="3"/>
  <c r="BW37" i="3"/>
  <c r="CJ37" i="3"/>
  <c r="BW62" i="3"/>
  <c r="CJ62" i="3"/>
  <c r="BL130" i="3"/>
  <c r="BJ130" i="3"/>
  <c r="BK130" i="3" s="1"/>
  <c r="BJ116" i="3"/>
  <c r="BK116" i="3" s="1"/>
  <c r="BL116" i="3"/>
  <c r="BW91" i="3"/>
  <c r="CJ91" i="3"/>
  <c r="CJ68" i="3"/>
  <c r="BW68" i="3"/>
  <c r="BL90" i="3"/>
  <c r="BJ90" i="3"/>
  <c r="BK90" i="3" s="1"/>
  <c r="BJ91" i="3"/>
  <c r="BK91" i="3" s="1"/>
  <c r="BL91" i="3"/>
  <c r="BJ36" i="3"/>
  <c r="BK36" i="3" s="1"/>
  <c r="BL36" i="3"/>
  <c r="BJ83" i="3"/>
  <c r="BK83" i="3" s="1"/>
  <c r="BL83" i="3"/>
  <c r="BL119" i="3"/>
  <c r="BJ119" i="3"/>
  <c r="BK119" i="3" s="1"/>
  <c r="BJ105" i="3"/>
  <c r="BK105" i="3" s="1"/>
  <c r="BL105" i="3"/>
  <c r="BW81" i="3"/>
  <c r="CJ81" i="3"/>
  <c r="BJ80" i="3"/>
  <c r="BK80" i="3" s="1"/>
  <c r="BL80" i="3"/>
  <c r="AY56" i="3"/>
  <c r="BL99" i="3"/>
  <c r="BJ99" i="3"/>
  <c r="BK99" i="3" s="1"/>
  <c r="CJ122" i="3"/>
  <c r="BW122" i="3"/>
  <c r="BJ67" i="3"/>
  <c r="BK67" i="3" s="1"/>
  <c r="BL67" i="3"/>
  <c r="BW43" i="3"/>
  <c r="CJ43" i="3"/>
  <c r="BW108" i="3"/>
  <c r="CJ108" i="3"/>
  <c r="AY62" i="3"/>
  <c r="AY95" i="3"/>
  <c r="BJ43" i="3"/>
  <c r="BK43" i="3" s="1"/>
  <c r="BL43" i="3"/>
  <c r="BL96" i="3"/>
  <c r="BJ96" i="3"/>
  <c r="BK96" i="3" s="1"/>
  <c r="BW85" i="3"/>
  <c r="CJ85" i="3"/>
  <c r="CJ71" i="3"/>
  <c r="BW71" i="3"/>
  <c r="AY35" i="3"/>
  <c r="BW87" i="3"/>
  <c r="CJ87" i="3"/>
  <c r="BJ71" i="3"/>
  <c r="BK71" i="3" s="1"/>
  <c r="BL71" i="3"/>
  <c r="CJ41" i="3"/>
  <c r="BW41" i="3"/>
  <c r="BW97" i="3"/>
  <c r="CJ97" i="3"/>
  <c r="BJ39" i="3"/>
  <c r="BK39" i="3" s="1"/>
  <c r="BL39" i="3"/>
  <c r="BW38" i="3"/>
  <c r="CJ38" i="3"/>
  <c r="CJ112" i="3"/>
  <c r="BW112" i="3"/>
  <c r="BJ134" i="3"/>
  <c r="BK134" i="3" s="1"/>
  <c r="BL134" i="3"/>
  <c r="BL52" i="3"/>
  <c r="BJ52" i="3"/>
  <c r="BK52" i="3" s="1"/>
  <c r="BL109" i="3"/>
  <c r="BJ109" i="3"/>
  <c r="BK109" i="3" s="1"/>
  <c r="BW39" i="3"/>
  <c r="CJ39" i="3"/>
  <c r="BL120" i="3"/>
  <c r="BJ120" i="3"/>
  <c r="BK120" i="3" s="1"/>
  <c r="BJ48" i="3"/>
  <c r="BK48" i="3" s="1"/>
  <c r="BL48" i="3"/>
  <c r="BJ59" i="3"/>
  <c r="BK59" i="3" s="1"/>
  <c r="BL59" i="3"/>
  <c r="BJ106" i="3"/>
  <c r="BK106" i="3" s="1"/>
  <c r="BL106" i="3"/>
  <c r="BW131" i="3"/>
  <c r="CJ131" i="3"/>
  <c r="BJ72" i="3"/>
  <c r="BK72" i="3" s="1"/>
  <c r="BL72" i="3"/>
  <c r="BJ54" i="3"/>
  <c r="BK54" i="3" s="1"/>
  <c r="BL54" i="3"/>
  <c r="AY118" i="3"/>
  <c r="BJ75" i="3"/>
  <c r="BK75" i="3" s="1"/>
  <c r="BL75" i="3"/>
  <c r="CJ86" i="3"/>
  <c r="BW86" i="3"/>
  <c r="BL132" i="3"/>
  <c r="BJ132" i="3"/>
  <c r="BK132" i="3" s="1"/>
  <c r="BJ100" i="3"/>
  <c r="BK100" i="3" s="1"/>
  <c r="BL100" i="3"/>
  <c r="BW73" i="3"/>
  <c r="CJ73" i="3"/>
  <c r="BJ65" i="3"/>
  <c r="BK65" i="3" s="1"/>
  <c r="BL65" i="3"/>
  <c r="BL73" i="3"/>
  <c r="BJ73" i="3"/>
  <c r="BK73" i="3" s="1"/>
  <c r="BW104" i="3"/>
  <c r="CJ104" i="3"/>
  <c r="BW65" i="3"/>
  <c r="CJ65" i="3"/>
  <c r="AY90" i="3"/>
  <c r="BJ63" i="3"/>
  <c r="BK63" i="3" s="1"/>
  <c r="BL63" i="3"/>
  <c r="BL110" i="3"/>
  <c r="BJ110" i="3"/>
  <c r="BK110" i="3" s="1"/>
  <c r="BW95" i="3"/>
  <c r="CJ95" i="3"/>
  <c r="AY61" i="3"/>
  <c r="BJ102" i="3"/>
  <c r="BK102" i="3" s="1"/>
  <c r="BL102" i="3"/>
  <c r="AY85" i="3"/>
  <c r="BL95" i="3"/>
  <c r="BJ95" i="3"/>
  <c r="BK95" i="3" s="1"/>
  <c r="AY134" i="3"/>
  <c r="AY41" i="3"/>
  <c r="AY121" i="3"/>
  <c r="AY91" i="3"/>
  <c r="AY83" i="3"/>
  <c r="BL118" i="3"/>
  <c r="BJ118" i="3"/>
  <c r="BK118" i="3" s="1"/>
  <c r="BL68" i="3"/>
  <c r="BJ68" i="3"/>
  <c r="BK68" i="3" s="1"/>
  <c r="BW99" i="3"/>
  <c r="CJ99" i="3"/>
  <c r="AY99" i="3"/>
  <c r="BL97" i="3"/>
  <c r="BJ97" i="3"/>
  <c r="BK97" i="3" s="1"/>
  <c r="BW59" i="3"/>
  <c r="CJ59" i="3"/>
  <c r="CJ100" i="3"/>
  <c r="BW100" i="3"/>
  <c r="BJ104" i="3"/>
  <c r="BK104" i="3" s="1"/>
  <c r="BL104" i="3"/>
  <c r="BW130" i="3"/>
  <c r="CJ130" i="3"/>
  <c r="AY117" i="3"/>
  <c r="AY107" i="3"/>
  <c r="BW93" i="3"/>
  <c r="CJ93" i="3"/>
  <c r="CJ118" i="3"/>
  <c r="BW118" i="3"/>
  <c r="CJ35" i="3"/>
  <c r="BW35" i="3"/>
  <c r="BW124" i="3"/>
  <c r="CJ124" i="3"/>
  <c r="BW116" i="3"/>
  <c r="CJ116" i="3"/>
  <c r="J36" i="2"/>
  <c r="O36" i="2"/>
  <c r="N36" i="2"/>
  <c r="K37" i="2" s="1"/>
  <c r="L37" i="2" s="1"/>
  <c r="M37" i="2" s="1"/>
  <c r="AQ109" i="2"/>
  <c r="AR109" i="2" s="1"/>
  <c r="AS109" i="2" s="1"/>
  <c r="AQ108" i="2"/>
  <c r="AR108" i="2" s="1"/>
  <c r="AS108" i="2" s="1"/>
  <c r="AN110" i="2"/>
  <c r="AO110" i="2" s="1"/>
  <c r="CJ77" i="3" l="1"/>
  <c r="CX77" i="3" s="1"/>
  <c r="BL37" i="3"/>
  <c r="BM37" i="3" s="1"/>
  <c r="AY66" i="3"/>
  <c r="AY75" i="3"/>
  <c r="BL81" i="3"/>
  <c r="BM81" i="3" s="1"/>
  <c r="CJ51" i="3"/>
  <c r="CK51" i="3" s="1"/>
  <c r="CJ76" i="3"/>
  <c r="CK76" i="3" s="1"/>
  <c r="BM63" i="3"/>
  <c r="BM43" i="3"/>
  <c r="CJ111" i="3"/>
  <c r="CK111" i="3" s="1"/>
  <c r="BJ133" i="3"/>
  <c r="BK133" i="3" s="1"/>
  <c r="BL50" i="3"/>
  <c r="BM50" i="3" s="1"/>
  <c r="CJ36" i="3"/>
  <c r="BM75" i="3"/>
  <c r="BM128" i="3"/>
  <c r="BM100" i="3"/>
  <c r="BM125" i="3"/>
  <c r="BM54" i="3"/>
  <c r="BM83" i="3"/>
  <c r="BM40" i="3"/>
  <c r="BM133" i="3"/>
  <c r="BM58" i="3"/>
  <c r="BM87" i="3"/>
  <c r="BM98" i="3"/>
  <c r="BM134" i="3"/>
  <c r="BM39" i="3"/>
  <c r="BM36" i="3"/>
  <c r="BM55" i="3"/>
  <c r="BM64" i="3"/>
  <c r="BM65" i="3"/>
  <c r="BM59" i="3"/>
  <c r="BM62" i="3"/>
  <c r="BM102" i="3"/>
  <c r="BM80" i="3"/>
  <c r="BM116" i="3"/>
  <c r="BM93" i="3"/>
  <c r="BM84" i="3"/>
  <c r="BM126" i="3"/>
  <c r="BM45" i="3"/>
  <c r="BM89" i="3"/>
  <c r="BM94" i="3"/>
  <c r="BM105" i="3"/>
  <c r="BM129" i="3"/>
  <c r="BM41" i="3"/>
  <c r="BM72" i="3"/>
  <c r="BM67" i="3"/>
  <c r="BM92" i="3"/>
  <c r="BM48" i="3"/>
  <c r="BM71" i="3"/>
  <c r="BM101" i="3"/>
  <c r="BM124" i="3"/>
  <c r="BM106" i="3"/>
  <c r="BM91" i="3"/>
  <c r="BM49" i="3"/>
  <c r="BM111" i="3"/>
  <c r="BM99" i="3"/>
  <c r="N36" i="3"/>
  <c r="J37" i="3" s="1"/>
  <c r="O36" i="3"/>
  <c r="BM109" i="3"/>
  <c r="BM130" i="3"/>
  <c r="BM121" i="3"/>
  <c r="BM46" i="3"/>
  <c r="BM47" i="3"/>
  <c r="BM131" i="3"/>
  <c r="BZ86" i="3"/>
  <c r="BX86" i="3"/>
  <c r="BY86" i="3" s="1"/>
  <c r="BZ46" i="3"/>
  <c r="BX46" i="3"/>
  <c r="BY46" i="3" s="1"/>
  <c r="BZ96" i="3"/>
  <c r="BX96" i="3"/>
  <c r="BY96" i="3" s="1"/>
  <c r="BM97" i="3"/>
  <c r="CK62" i="3"/>
  <c r="CX62" i="3"/>
  <c r="CK82" i="3"/>
  <c r="CX82" i="3"/>
  <c r="BM88" i="3"/>
  <c r="BX42" i="3"/>
  <c r="BY42" i="3" s="1"/>
  <c r="BZ42" i="3"/>
  <c r="CK124" i="3"/>
  <c r="CX124" i="3"/>
  <c r="BM52" i="3"/>
  <c r="BX62" i="3"/>
  <c r="BY62" i="3" s="1"/>
  <c r="BZ62" i="3"/>
  <c r="BM110" i="3"/>
  <c r="BM96" i="3"/>
  <c r="CK37" i="3"/>
  <c r="CX37" i="3"/>
  <c r="CK48" i="3"/>
  <c r="CX48" i="3"/>
  <c r="CK47" i="3"/>
  <c r="CX47" i="3"/>
  <c r="BX99" i="3"/>
  <c r="BY99" i="3" s="1"/>
  <c r="BZ99" i="3"/>
  <c r="BX45" i="3"/>
  <c r="BY45" i="3" s="1"/>
  <c r="BZ45" i="3"/>
  <c r="BM79" i="3"/>
  <c r="BZ126" i="3"/>
  <c r="BX126" i="3"/>
  <c r="BY126" i="3" s="1"/>
  <c r="BX112" i="3"/>
  <c r="BY112" i="3" s="1"/>
  <c r="BZ112" i="3"/>
  <c r="BZ118" i="3"/>
  <c r="BX118" i="3"/>
  <c r="BY118" i="3" s="1"/>
  <c r="CK112" i="3"/>
  <c r="CX112" i="3"/>
  <c r="CX65" i="3"/>
  <c r="CK65" i="3"/>
  <c r="CK38" i="3"/>
  <c r="CX38" i="3"/>
  <c r="CK133" i="3"/>
  <c r="CX133" i="3"/>
  <c r="CK125" i="3"/>
  <c r="CX125" i="3"/>
  <c r="BX128" i="3"/>
  <c r="BY128" i="3" s="1"/>
  <c r="BZ128" i="3"/>
  <c r="BX111" i="3"/>
  <c r="BY111" i="3" s="1"/>
  <c r="BZ111" i="3"/>
  <c r="CK93" i="3"/>
  <c r="CX93" i="3"/>
  <c r="BM118" i="3"/>
  <c r="BX65" i="3"/>
  <c r="BY65" i="3" s="1"/>
  <c r="BZ65" i="3"/>
  <c r="BZ38" i="3"/>
  <c r="BX38" i="3"/>
  <c r="BY38" i="3" s="1"/>
  <c r="CK108" i="3"/>
  <c r="CX108" i="3"/>
  <c r="BZ102" i="3"/>
  <c r="BX102" i="3"/>
  <c r="BY102" i="3" s="1"/>
  <c r="BM78" i="3"/>
  <c r="BX133" i="3"/>
  <c r="BY133" i="3" s="1"/>
  <c r="BZ133" i="3"/>
  <c r="BX84" i="3"/>
  <c r="BY84" i="3" s="1"/>
  <c r="BZ84" i="3"/>
  <c r="BM66" i="3"/>
  <c r="BZ125" i="3"/>
  <c r="BX125" i="3"/>
  <c r="BY125" i="3" s="1"/>
  <c r="BX44" i="3"/>
  <c r="BY44" i="3" s="1"/>
  <c r="BZ44" i="3"/>
  <c r="CK61" i="3"/>
  <c r="CX61" i="3"/>
  <c r="CK115" i="3"/>
  <c r="CX115" i="3"/>
  <c r="CK83" i="3"/>
  <c r="CX83" i="3"/>
  <c r="CK94" i="3"/>
  <c r="CX94" i="3"/>
  <c r="BX93" i="3"/>
  <c r="BY93" i="3" s="1"/>
  <c r="BZ93" i="3"/>
  <c r="CK104" i="3"/>
  <c r="CX104" i="3"/>
  <c r="CX131" i="3"/>
  <c r="CK131" i="3"/>
  <c r="BX108" i="3"/>
  <c r="BY108" i="3" s="1"/>
  <c r="BZ108" i="3"/>
  <c r="CK78" i="3"/>
  <c r="CX78" i="3"/>
  <c r="CK74" i="3"/>
  <c r="CX74" i="3"/>
  <c r="BZ61" i="3"/>
  <c r="BX61" i="3"/>
  <c r="BY61" i="3" s="1"/>
  <c r="BX115" i="3"/>
  <c r="BY115" i="3" s="1"/>
  <c r="BZ115" i="3"/>
  <c r="BX83" i="3"/>
  <c r="BY83" i="3" s="1"/>
  <c r="BZ83" i="3"/>
  <c r="BX94" i="3"/>
  <c r="BY94" i="3" s="1"/>
  <c r="BZ94" i="3"/>
  <c r="BZ104" i="3"/>
  <c r="BX104" i="3"/>
  <c r="BY104" i="3" s="1"/>
  <c r="BZ131" i="3"/>
  <c r="BX131" i="3"/>
  <c r="BY131" i="3" s="1"/>
  <c r="CX43" i="3"/>
  <c r="CK43" i="3"/>
  <c r="BM77" i="3"/>
  <c r="BX78" i="3"/>
  <c r="BY78" i="3" s="1"/>
  <c r="BZ78" i="3"/>
  <c r="BM86" i="3"/>
  <c r="BX74" i="3"/>
  <c r="BY74" i="3" s="1"/>
  <c r="BZ74" i="3"/>
  <c r="BM60" i="3"/>
  <c r="BM76" i="3"/>
  <c r="BX75" i="3"/>
  <c r="BY75" i="3" s="1"/>
  <c r="BZ75" i="3"/>
  <c r="BM57" i="3"/>
  <c r="BM69" i="3"/>
  <c r="CK127" i="3"/>
  <c r="CX127" i="3"/>
  <c r="CK116" i="3"/>
  <c r="CX116" i="3"/>
  <c r="BZ119" i="3"/>
  <c r="BX119" i="3"/>
  <c r="BY119" i="3" s="1"/>
  <c r="BZ114" i="3"/>
  <c r="BX114" i="3"/>
  <c r="BY114" i="3" s="1"/>
  <c r="BM44" i="3"/>
  <c r="CX113" i="3"/>
  <c r="CK113" i="3"/>
  <c r="BM73" i="3"/>
  <c r="BX56" i="3"/>
  <c r="BY56" i="3" s="1"/>
  <c r="BZ56" i="3"/>
  <c r="CK55" i="3"/>
  <c r="CX55" i="3"/>
  <c r="BZ113" i="3"/>
  <c r="BX113" i="3"/>
  <c r="BY113" i="3" s="1"/>
  <c r="BX88" i="3"/>
  <c r="BY88" i="3" s="1"/>
  <c r="BZ88" i="3"/>
  <c r="CK123" i="3"/>
  <c r="CX123" i="3"/>
  <c r="CK134" i="3"/>
  <c r="CX134" i="3"/>
  <c r="BZ132" i="3"/>
  <c r="BX132" i="3"/>
  <c r="BY132" i="3" s="1"/>
  <c r="BX85" i="3"/>
  <c r="BY85" i="3" s="1"/>
  <c r="BZ85" i="3"/>
  <c r="BM122" i="3"/>
  <c r="BZ48" i="3"/>
  <c r="BX48" i="3"/>
  <c r="BY48" i="3" s="1"/>
  <c r="CX121" i="3"/>
  <c r="CK121" i="3"/>
  <c r="BZ77" i="3"/>
  <c r="BX77" i="3"/>
  <c r="BY77" i="3" s="1"/>
  <c r="BZ55" i="3"/>
  <c r="BX55" i="3"/>
  <c r="BY55" i="3" s="1"/>
  <c r="CK75" i="3"/>
  <c r="CX75" i="3"/>
  <c r="BX130" i="3"/>
  <c r="BY130" i="3" s="1"/>
  <c r="BZ130" i="3"/>
  <c r="CK52" i="3"/>
  <c r="CX52" i="3"/>
  <c r="BX49" i="3"/>
  <c r="BY49" i="3" s="1"/>
  <c r="BZ49" i="3"/>
  <c r="CK58" i="3"/>
  <c r="CX58" i="3"/>
  <c r="BX123" i="3"/>
  <c r="BY123" i="3" s="1"/>
  <c r="BZ123" i="3"/>
  <c r="CK54" i="3"/>
  <c r="CX54" i="3"/>
  <c r="BZ134" i="3"/>
  <c r="BX134" i="3"/>
  <c r="BY134" i="3" s="1"/>
  <c r="BM103" i="3"/>
  <c r="CK36" i="3"/>
  <c r="CX36" i="3"/>
  <c r="CX109" i="3"/>
  <c r="CK109" i="3"/>
  <c r="BZ124" i="3"/>
  <c r="BX124" i="3"/>
  <c r="BY124" i="3" s="1"/>
  <c r="CK126" i="3"/>
  <c r="CX126" i="3"/>
  <c r="BX35" i="3"/>
  <c r="BY35" i="3" s="1"/>
  <c r="BZ35" i="3"/>
  <c r="BZ37" i="3"/>
  <c r="BX37" i="3"/>
  <c r="BY37" i="3" s="1"/>
  <c r="BZ121" i="3"/>
  <c r="BX121" i="3"/>
  <c r="BY121" i="3" s="1"/>
  <c r="BZ41" i="3"/>
  <c r="BX41" i="3"/>
  <c r="BY41" i="3" s="1"/>
  <c r="BM104" i="3"/>
  <c r="CK41" i="3"/>
  <c r="CX41" i="3"/>
  <c r="BX122" i="3"/>
  <c r="BY122" i="3" s="1"/>
  <c r="BZ122" i="3"/>
  <c r="BM90" i="3"/>
  <c r="BX52" i="3"/>
  <c r="BY52" i="3" s="1"/>
  <c r="BZ52" i="3"/>
  <c r="CK49" i="3"/>
  <c r="CX49" i="3"/>
  <c r="BZ129" i="3"/>
  <c r="BX129" i="3"/>
  <c r="BY129" i="3" s="1"/>
  <c r="BX57" i="3"/>
  <c r="BY57" i="3" s="1"/>
  <c r="BZ57" i="3"/>
  <c r="BZ58" i="3"/>
  <c r="BX58" i="3"/>
  <c r="BY58" i="3" s="1"/>
  <c r="BX54" i="3"/>
  <c r="BY54" i="3" s="1"/>
  <c r="BZ54" i="3"/>
  <c r="BM85" i="3"/>
  <c r="BX36" i="3"/>
  <c r="BY36" i="3" s="1"/>
  <c r="BZ36" i="3"/>
  <c r="BZ109" i="3"/>
  <c r="BX109" i="3"/>
  <c r="BY109" i="3" s="1"/>
  <c r="BM53" i="3"/>
  <c r="BM127" i="3"/>
  <c r="BM68" i="3"/>
  <c r="CK128" i="3"/>
  <c r="CX128" i="3"/>
  <c r="CK102" i="3"/>
  <c r="CX102" i="3"/>
  <c r="BX43" i="3"/>
  <c r="BY43" i="3" s="1"/>
  <c r="BZ43" i="3"/>
  <c r="CK73" i="3"/>
  <c r="CX73" i="3"/>
  <c r="CK122" i="3"/>
  <c r="CX122" i="3"/>
  <c r="BX68" i="3"/>
  <c r="BY68" i="3" s="1"/>
  <c r="BZ68" i="3"/>
  <c r="BX101" i="3"/>
  <c r="BY101" i="3" s="1"/>
  <c r="BZ101" i="3"/>
  <c r="CK129" i="3"/>
  <c r="CX129" i="3"/>
  <c r="CX57" i="3"/>
  <c r="CK57" i="3"/>
  <c r="CX66" i="3"/>
  <c r="CK66" i="3"/>
  <c r="CX98" i="3"/>
  <c r="CK98" i="3"/>
  <c r="CX89" i="3"/>
  <c r="CK89" i="3"/>
  <c r="BX95" i="3"/>
  <c r="BY95" i="3" s="1"/>
  <c r="BZ95" i="3"/>
  <c r="CK90" i="3"/>
  <c r="CX90" i="3"/>
  <c r="BX47" i="3"/>
  <c r="BY47" i="3" s="1"/>
  <c r="BZ47" i="3"/>
  <c r="CX35" i="3"/>
  <c r="CK35" i="3"/>
  <c r="CK118" i="3"/>
  <c r="CX118" i="3"/>
  <c r="BZ73" i="3"/>
  <c r="BX73" i="3"/>
  <c r="BY73" i="3" s="1"/>
  <c r="CK68" i="3"/>
  <c r="CX68" i="3"/>
  <c r="BM82" i="3"/>
  <c r="CK101" i="3"/>
  <c r="CX101" i="3"/>
  <c r="CX79" i="3"/>
  <c r="CK79" i="3"/>
  <c r="CK70" i="3"/>
  <c r="CX70" i="3"/>
  <c r="BX66" i="3"/>
  <c r="BY66" i="3" s="1"/>
  <c r="BZ66" i="3"/>
  <c r="BM61" i="3"/>
  <c r="BM113" i="3"/>
  <c r="BM112" i="3"/>
  <c r="BZ98" i="3"/>
  <c r="BX98" i="3"/>
  <c r="BY98" i="3" s="1"/>
  <c r="BX89" i="3"/>
  <c r="BY89" i="3" s="1"/>
  <c r="BZ89" i="3"/>
  <c r="BZ81" i="3"/>
  <c r="BX81" i="3"/>
  <c r="BY81" i="3" s="1"/>
  <c r="CK107" i="3"/>
  <c r="CX107" i="3"/>
  <c r="CK114" i="3"/>
  <c r="CX114" i="3"/>
  <c r="BM119" i="3"/>
  <c r="CK53" i="3"/>
  <c r="CX53" i="3"/>
  <c r="CX87" i="3"/>
  <c r="CK87" i="3"/>
  <c r="CK91" i="3"/>
  <c r="CX91" i="3"/>
  <c r="CK40" i="3"/>
  <c r="CX40" i="3"/>
  <c r="BX79" i="3"/>
  <c r="BY79" i="3" s="1"/>
  <c r="BZ79" i="3"/>
  <c r="BX70" i="3"/>
  <c r="BY70" i="3" s="1"/>
  <c r="BZ70" i="3"/>
  <c r="BM70" i="3"/>
  <c r="CK67" i="3"/>
  <c r="CX67" i="3"/>
  <c r="CK80" i="3"/>
  <c r="CX80" i="3"/>
  <c r="BX107" i="3"/>
  <c r="BY107" i="3" s="1"/>
  <c r="BZ107" i="3"/>
  <c r="CX60" i="3"/>
  <c r="CK60" i="3"/>
  <c r="BX120" i="3"/>
  <c r="BY120" i="3" s="1"/>
  <c r="BZ120" i="3"/>
  <c r="BZ127" i="3"/>
  <c r="BX127" i="3"/>
  <c r="BY127" i="3" s="1"/>
  <c r="BM120" i="3"/>
  <c r="BZ87" i="3"/>
  <c r="BX87" i="3"/>
  <c r="BY87" i="3" s="1"/>
  <c r="BX91" i="3"/>
  <c r="BY91" i="3" s="1"/>
  <c r="BZ91" i="3"/>
  <c r="BM108" i="3"/>
  <c r="BZ40" i="3"/>
  <c r="BX40" i="3"/>
  <c r="BY40" i="3" s="1"/>
  <c r="BM117" i="3"/>
  <c r="BM34" i="3"/>
  <c r="BM115" i="3"/>
  <c r="BM38" i="3"/>
  <c r="BZ67" i="3"/>
  <c r="BX67" i="3"/>
  <c r="BY67" i="3" s="1"/>
  <c r="BM35" i="3"/>
  <c r="BX80" i="3"/>
  <c r="BY80" i="3" s="1"/>
  <c r="BZ80" i="3"/>
  <c r="BX53" i="3"/>
  <c r="BY53" i="3" s="1"/>
  <c r="BZ53" i="3"/>
  <c r="CK88" i="3"/>
  <c r="CX88" i="3"/>
  <c r="BZ100" i="3"/>
  <c r="BX100" i="3"/>
  <c r="BY100" i="3" s="1"/>
  <c r="CK100" i="3"/>
  <c r="CX100" i="3"/>
  <c r="BZ51" i="3"/>
  <c r="BX51" i="3"/>
  <c r="BY51" i="3" s="1"/>
  <c r="CK39" i="3"/>
  <c r="CX39" i="3"/>
  <c r="CK64" i="3"/>
  <c r="CX64" i="3"/>
  <c r="CX110" i="3"/>
  <c r="CK110" i="3"/>
  <c r="CK63" i="3"/>
  <c r="CX63" i="3"/>
  <c r="CK106" i="3"/>
  <c r="CX106" i="3"/>
  <c r="CK34" i="3"/>
  <c r="CX34" i="3"/>
  <c r="CK72" i="3"/>
  <c r="CX72" i="3"/>
  <c r="CK50" i="3"/>
  <c r="CX50" i="3"/>
  <c r="BZ76" i="3"/>
  <c r="BX76" i="3"/>
  <c r="BY76" i="3" s="1"/>
  <c r="CK59" i="3"/>
  <c r="CX59" i="3"/>
  <c r="BZ39" i="3"/>
  <c r="BX39" i="3"/>
  <c r="BY39" i="3" s="1"/>
  <c r="BX71" i="3"/>
  <c r="BY71" i="3" s="1"/>
  <c r="BZ71" i="3"/>
  <c r="BX64" i="3"/>
  <c r="BY64" i="3" s="1"/>
  <c r="BZ64" i="3"/>
  <c r="BX110" i="3"/>
  <c r="BY110" i="3" s="1"/>
  <c r="BZ110" i="3"/>
  <c r="BX63" i="3"/>
  <c r="BY63" i="3" s="1"/>
  <c r="BZ63" i="3"/>
  <c r="BM42" i="3"/>
  <c r="BX106" i="3"/>
  <c r="BY106" i="3" s="1"/>
  <c r="BZ106" i="3"/>
  <c r="BX34" i="3"/>
  <c r="BY34" i="3" s="1"/>
  <c r="BZ34" i="3"/>
  <c r="BX72" i="3"/>
  <c r="BY72" i="3" s="1"/>
  <c r="BZ72" i="3"/>
  <c r="BM56" i="3"/>
  <c r="BX50" i="3"/>
  <c r="BY50" i="3" s="1"/>
  <c r="BZ50" i="3"/>
  <c r="CK69" i="3"/>
  <c r="CX69" i="3"/>
  <c r="CK95" i="3"/>
  <c r="CX95" i="3"/>
  <c r="CK85" i="3"/>
  <c r="CX85" i="3"/>
  <c r="BZ92" i="3"/>
  <c r="BX92" i="3"/>
  <c r="BY92" i="3" s="1"/>
  <c r="CK42" i="3"/>
  <c r="CX42" i="3"/>
  <c r="BX116" i="3"/>
  <c r="BY116" i="3" s="1"/>
  <c r="BZ116" i="3"/>
  <c r="CK86" i="3"/>
  <c r="CX86" i="3"/>
  <c r="CK119" i="3"/>
  <c r="CX119" i="3"/>
  <c r="CX76" i="3"/>
  <c r="BX103" i="3"/>
  <c r="BY103" i="3" s="1"/>
  <c r="BZ103" i="3"/>
  <c r="BZ82" i="3"/>
  <c r="BX82" i="3"/>
  <c r="BY82" i="3" s="1"/>
  <c r="BM123" i="3"/>
  <c r="CK103" i="3"/>
  <c r="CX103" i="3"/>
  <c r="CK99" i="3"/>
  <c r="CX99" i="3"/>
  <c r="CK45" i="3"/>
  <c r="CX45" i="3"/>
  <c r="BZ117" i="3"/>
  <c r="BX117" i="3"/>
  <c r="BY117" i="3" s="1"/>
  <c r="BX90" i="3"/>
  <c r="BY90" i="3" s="1"/>
  <c r="BZ90" i="3"/>
  <c r="BM114" i="3"/>
  <c r="CX117" i="3"/>
  <c r="CK117" i="3"/>
  <c r="BX60" i="3"/>
  <c r="BY60" i="3" s="1"/>
  <c r="BZ60" i="3"/>
  <c r="CK120" i="3"/>
  <c r="CX120" i="3"/>
  <c r="CK105" i="3"/>
  <c r="CX105" i="3"/>
  <c r="CK84" i="3"/>
  <c r="CX84" i="3"/>
  <c r="CK44" i="3"/>
  <c r="CX44" i="3"/>
  <c r="BX105" i="3"/>
  <c r="BY105" i="3" s="1"/>
  <c r="BZ105" i="3"/>
  <c r="CK97" i="3"/>
  <c r="CX97" i="3"/>
  <c r="CK56" i="3"/>
  <c r="CX56" i="3"/>
  <c r="CK130" i="3"/>
  <c r="CX130" i="3"/>
  <c r="BX97" i="3"/>
  <c r="BY97" i="3" s="1"/>
  <c r="BZ97" i="3"/>
  <c r="BM95" i="3"/>
  <c r="BX59" i="3"/>
  <c r="BY59" i="3" s="1"/>
  <c r="BZ59" i="3"/>
  <c r="BM132" i="3"/>
  <c r="CK71" i="3"/>
  <c r="CX71" i="3"/>
  <c r="CK81" i="3"/>
  <c r="CX81" i="3"/>
  <c r="BM74" i="3"/>
  <c r="CK92" i="3"/>
  <c r="CX92" i="3"/>
  <c r="CK46" i="3"/>
  <c r="CX46" i="3"/>
  <c r="CK132" i="3"/>
  <c r="CX132" i="3"/>
  <c r="BM107" i="3"/>
  <c r="CK96" i="3"/>
  <c r="CX96" i="3"/>
  <c r="BM51" i="3"/>
  <c r="BZ69" i="3"/>
  <c r="BX69" i="3"/>
  <c r="BY69" i="3" s="1"/>
  <c r="J37" i="2"/>
  <c r="O37" i="2"/>
  <c r="N37" i="2"/>
  <c r="K38" i="2" s="1"/>
  <c r="L38" i="2" s="1"/>
  <c r="M38" i="2" s="1"/>
  <c r="J38" i="2"/>
  <c r="AP110" i="2"/>
  <c r="AN111" i="2"/>
  <c r="AO111" i="2" s="1"/>
  <c r="CK77" i="3" l="1"/>
  <c r="CL77" i="3" s="1"/>
  <c r="CM77" i="3" s="1"/>
  <c r="CX51" i="3"/>
  <c r="CY51" i="3" s="1"/>
  <c r="CX111" i="3"/>
  <c r="CA64" i="3"/>
  <c r="CA97" i="3"/>
  <c r="CA101" i="3"/>
  <c r="CA54" i="3"/>
  <c r="CA34" i="3"/>
  <c r="K37" i="3"/>
  <c r="L37" i="3" s="1"/>
  <c r="M37" i="3" s="1"/>
  <c r="CA45" i="3"/>
  <c r="CA78" i="3"/>
  <c r="CA53" i="3"/>
  <c r="CA59" i="3"/>
  <c r="CA110" i="3"/>
  <c r="CA89" i="3"/>
  <c r="CA57" i="3"/>
  <c r="CA71" i="3"/>
  <c r="CA43" i="3"/>
  <c r="CA122" i="3"/>
  <c r="CA107" i="3"/>
  <c r="CA116" i="3"/>
  <c r="CA63" i="3"/>
  <c r="CA68" i="3"/>
  <c r="CA35" i="3"/>
  <c r="CA88" i="3"/>
  <c r="CA105" i="3"/>
  <c r="CA95" i="3"/>
  <c r="CA52" i="3"/>
  <c r="CA91" i="3"/>
  <c r="CA66" i="3"/>
  <c r="CA56" i="3"/>
  <c r="CA84" i="3"/>
  <c r="CA99" i="3"/>
  <c r="CA133" i="3"/>
  <c r="CA103" i="3"/>
  <c r="CA85" i="3"/>
  <c r="CA36" i="3"/>
  <c r="CA94" i="3"/>
  <c r="CA106" i="3"/>
  <c r="CA80" i="3"/>
  <c r="CA49" i="3"/>
  <c r="CA83" i="3"/>
  <c r="N37" i="3"/>
  <c r="J38" i="3" s="1"/>
  <c r="CA79" i="3"/>
  <c r="CA108" i="3"/>
  <c r="CA93" i="3"/>
  <c r="CA72" i="3"/>
  <c r="CA123" i="3"/>
  <c r="CA120" i="3"/>
  <c r="CA62" i="3"/>
  <c r="CA100" i="3"/>
  <c r="CA65" i="3"/>
  <c r="CA115" i="3"/>
  <c r="CA112" i="3"/>
  <c r="CA42" i="3"/>
  <c r="CA114" i="3"/>
  <c r="CA82" i="3"/>
  <c r="CA126" i="3"/>
  <c r="CA60" i="3"/>
  <c r="CA61" i="3"/>
  <c r="CA128" i="3"/>
  <c r="CA76" i="3"/>
  <c r="CA47" i="3"/>
  <c r="CA74" i="3"/>
  <c r="CL84" i="3"/>
  <c r="CM84" i="3" s="1"/>
  <c r="CN84" i="3"/>
  <c r="CY76" i="3"/>
  <c r="DL76" i="3"/>
  <c r="CA104" i="3"/>
  <c r="CN120" i="3"/>
  <c r="CL120" i="3"/>
  <c r="CM120" i="3" s="1"/>
  <c r="CA41" i="3"/>
  <c r="CY134" i="3"/>
  <c r="DL134" i="3"/>
  <c r="CN34" i="3"/>
  <c r="CL34" i="3"/>
  <c r="CM34" i="3" s="1"/>
  <c r="CN127" i="3"/>
  <c r="CL127" i="3"/>
  <c r="CM127" i="3" s="1"/>
  <c r="CY86" i="3"/>
  <c r="DL86" i="3"/>
  <c r="CL93" i="3"/>
  <c r="CM93" i="3" s="1"/>
  <c r="CN93" i="3"/>
  <c r="CA90" i="3"/>
  <c r="CN63" i="3"/>
  <c r="CL63" i="3"/>
  <c r="CM63" i="3" s="1"/>
  <c r="CA67" i="3"/>
  <c r="CN80" i="3"/>
  <c r="CL80" i="3"/>
  <c r="CM80" i="3" s="1"/>
  <c r="CA81" i="3"/>
  <c r="CL118" i="3"/>
  <c r="CM118" i="3" s="1"/>
  <c r="CN118" i="3"/>
  <c r="CA58" i="3"/>
  <c r="CA130" i="3"/>
  <c r="CA75" i="3"/>
  <c r="CA44" i="3"/>
  <c r="CA111" i="3"/>
  <c r="CL54" i="3"/>
  <c r="CM54" i="3" s="1"/>
  <c r="CN54" i="3"/>
  <c r="DL58" i="3"/>
  <c r="CY58" i="3"/>
  <c r="CY68" i="3"/>
  <c r="DL68" i="3"/>
  <c r="CY77" i="3"/>
  <c r="DL77" i="3"/>
  <c r="CL117" i="3"/>
  <c r="CM117" i="3" s="1"/>
  <c r="CN117" i="3"/>
  <c r="CY106" i="3"/>
  <c r="DL106" i="3"/>
  <c r="CN122" i="3"/>
  <c r="CL122" i="3"/>
  <c r="CM122" i="3" s="1"/>
  <c r="CL75" i="3"/>
  <c r="CM75" i="3" s="1"/>
  <c r="CN75" i="3"/>
  <c r="CY55" i="3"/>
  <c r="DL55" i="3"/>
  <c r="CN74" i="3"/>
  <c r="CL74" i="3"/>
  <c r="CM74" i="3" s="1"/>
  <c r="CA125" i="3"/>
  <c r="CY62" i="3"/>
  <c r="DL62" i="3"/>
  <c r="CY71" i="3"/>
  <c r="DL71" i="3"/>
  <c r="CA119" i="3"/>
  <c r="CA109" i="3"/>
  <c r="CL116" i="3"/>
  <c r="CM116" i="3" s="1"/>
  <c r="CN116" i="3"/>
  <c r="CN134" i="3"/>
  <c r="CL134" i="3"/>
  <c r="CM134" i="3" s="1"/>
  <c r="CL52" i="3"/>
  <c r="CM52" i="3" s="1"/>
  <c r="CN52" i="3"/>
  <c r="CA98" i="3"/>
  <c r="CA129" i="3"/>
  <c r="CA124" i="3"/>
  <c r="CL55" i="3"/>
  <c r="CM55" i="3" s="1"/>
  <c r="CN55" i="3"/>
  <c r="CY78" i="3"/>
  <c r="DL78" i="3"/>
  <c r="CY125" i="3"/>
  <c r="DL125" i="3"/>
  <c r="CL62" i="3"/>
  <c r="CM62" i="3" s="1"/>
  <c r="CN62" i="3"/>
  <c r="CY111" i="3"/>
  <c r="DL111" i="3"/>
  <c r="CY50" i="3"/>
  <c r="DL50" i="3"/>
  <c r="CL108" i="3"/>
  <c r="CM108" i="3" s="1"/>
  <c r="CN108" i="3"/>
  <c r="CN53" i="3"/>
  <c r="CL53" i="3"/>
  <c r="CM53" i="3" s="1"/>
  <c r="DL52" i="3"/>
  <c r="CY52" i="3"/>
  <c r="CL130" i="3"/>
  <c r="CM130" i="3" s="1"/>
  <c r="CN130" i="3"/>
  <c r="CA113" i="3"/>
  <c r="CN109" i="3"/>
  <c r="CL109" i="3"/>
  <c r="CM109" i="3" s="1"/>
  <c r="CA55" i="3"/>
  <c r="CN78" i="3"/>
  <c r="CL78" i="3"/>
  <c r="CM78" i="3" s="1"/>
  <c r="CL125" i="3"/>
  <c r="CM125" i="3" s="1"/>
  <c r="CN125" i="3"/>
  <c r="CY112" i="3"/>
  <c r="DL112" i="3"/>
  <c r="CN88" i="3"/>
  <c r="CL88" i="3"/>
  <c r="CM88" i="3" s="1"/>
  <c r="CA38" i="3"/>
  <c r="CY34" i="3"/>
  <c r="DL34" i="3"/>
  <c r="CY115" i="3"/>
  <c r="DL115" i="3"/>
  <c r="CY117" i="3"/>
  <c r="DL117" i="3"/>
  <c r="CY61" i="3"/>
  <c r="DL61" i="3"/>
  <c r="CY75" i="3"/>
  <c r="DL75" i="3"/>
  <c r="CL39" i="3"/>
  <c r="CM39" i="3" s="1"/>
  <c r="CN39" i="3"/>
  <c r="CY133" i="3"/>
  <c r="DL133" i="3"/>
  <c r="CY108" i="3"/>
  <c r="DL108" i="3"/>
  <c r="CL112" i="3"/>
  <c r="CM112" i="3" s="1"/>
  <c r="CN112" i="3"/>
  <c r="CL72" i="3"/>
  <c r="CM72" i="3" s="1"/>
  <c r="CN72" i="3"/>
  <c r="CL61" i="3"/>
  <c r="CM61" i="3" s="1"/>
  <c r="CN61" i="3"/>
  <c r="CL35" i="3"/>
  <c r="CM35" i="3" s="1"/>
  <c r="CN35" i="3"/>
  <c r="CY74" i="3"/>
  <c r="DL74" i="3"/>
  <c r="CN99" i="3"/>
  <c r="CL99" i="3"/>
  <c r="CM99" i="3" s="1"/>
  <c r="DL36" i="3"/>
  <c r="CY36" i="3"/>
  <c r="CA77" i="3"/>
  <c r="CL133" i="3"/>
  <c r="CM133" i="3" s="1"/>
  <c r="CN133" i="3"/>
  <c r="CY47" i="3"/>
  <c r="DL47" i="3"/>
  <c r="CA96" i="3"/>
  <c r="CL111" i="3"/>
  <c r="CM111" i="3" s="1"/>
  <c r="CN111" i="3"/>
  <c r="CN105" i="3"/>
  <c r="CL105" i="3"/>
  <c r="CM105" i="3" s="1"/>
  <c r="CL83" i="3"/>
  <c r="CM83" i="3" s="1"/>
  <c r="CN83" i="3"/>
  <c r="CN68" i="3"/>
  <c r="CL68" i="3"/>
  <c r="CM68" i="3" s="1"/>
  <c r="CN107" i="3"/>
  <c r="CL107" i="3"/>
  <c r="CM107" i="3" s="1"/>
  <c r="CY56" i="3"/>
  <c r="DL56" i="3"/>
  <c r="CY85" i="3"/>
  <c r="DL85" i="3"/>
  <c r="CL36" i="3"/>
  <c r="CM36" i="3" s="1"/>
  <c r="CN36" i="3"/>
  <c r="CL121" i="3"/>
  <c r="CM121" i="3" s="1"/>
  <c r="CN121" i="3"/>
  <c r="CL113" i="3"/>
  <c r="CM113" i="3" s="1"/>
  <c r="CN113" i="3"/>
  <c r="CL131" i="3"/>
  <c r="CM131" i="3" s="1"/>
  <c r="CN131" i="3"/>
  <c r="CY38" i="3"/>
  <c r="DL38" i="3"/>
  <c r="CL47" i="3"/>
  <c r="CM47" i="3" s="1"/>
  <c r="CN47" i="3"/>
  <c r="CA131" i="3"/>
  <c r="CA127" i="3"/>
  <c r="CL86" i="3"/>
  <c r="CM86" i="3" s="1"/>
  <c r="CN86" i="3"/>
  <c r="CA69" i="3"/>
  <c r="DL96" i="3"/>
  <c r="CY96" i="3"/>
  <c r="CY45" i="3"/>
  <c r="DL45" i="3"/>
  <c r="CN45" i="3"/>
  <c r="CL45" i="3"/>
  <c r="CM45" i="3" s="1"/>
  <c r="DL46" i="3"/>
  <c r="CY46" i="3"/>
  <c r="CN49" i="3"/>
  <c r="CL49" i="3"/>
  <c r="CM49" i="3" s="1"/>
  <c r="CY44" i="3"/>
  <c r="DL44" i="3"/>
  <c r="CL89" i="3"/>
  <c r="CM89" i="3" s="1"/>
  <c r="CN89" i="3"/>
  <c r="CY121" i="3"/>
  <c r="DL121" i="3"/>
  <c r="CY113" i="3"/>
  <c r="DL113" i="3"/>
  <c r="CY131" i="3"/>
  <c r="DL131" i="3"/>
  <c r="CL38" i="3"/>
  <c r="CM38" i="3" s="1"/>
  <c r="CN38" i="3"/>
  <c r="CY48" i="3"/>
  <c r="DL48" i="3"/>
  <c r="CA46" i="3"/>
  <c r="CN81" i="3"/>
  <c r="CL81" i="3"/>
  <c r="CM81" i="3" s="1"/>
  <c r="CY54" i="3"/>
  <c r="DL54" i="3"/>
  <c r="CL50" i="3"/>
  <c r="CM50" i="3" s="1"/>
  <c r="CN50" i="3"/>
  <c r="DL94" i="3"/>
  <c r="CY94" i="3"/>
  <c r="CY72" i="3"/>
  <c r="DL72" i="3"/>
  <c r="CL94" i="3"/>
  <c r="CM94" i="3" s="1"/>
  <c r="CN94" i="3"/>
  <c r="DL57" i="3"/>
  <c r="CY57" i="3"/>
  <c r="CA118" i="3"/>
  <c r="CY60" i="3"/>
  <c r="DL60" i="3"/>
  <c r="CY93" i="3"/>
  <c r="DL93" i="3"/>
  <c r="CY63" i="3"/>
  <c r="DL63" i="3"/>
  <c r="CY118" i="3"/>
  <c r="DL118" i="3"/>
  <c r="CY64" i="3"/>
  <c r="DL64" i="3"/>
  <c r="CN56" i="3"/>
  <c r="CL56" i="3"/>
  <c r="CM56" i="3" s="1"/>
  <c r="CL64" i="3"/>
  <c r="CM64" i="3" s="1"/>
  <c r="CN64" i="3"/>
  <c r="CN132" i="3"/>
  <c r="CL132" i="3"/>
  <c r="CM132" i="3" s="1"/>
  <c r="CN85" i="3"/>
  <c r="CL85" i="3"/>
  <c r="CM85" i="3" s="1"/>
  <c r="CN90" i="3"/>
  <c r="CL90" i="3"/>
  <c r="CM90" i="3" s="1"/>
  <c r="CL46" i="3"/>
  <c r="CM46" i="3" s="1"/>
  <c r="CN46" i="3"/>
  <c r="DL95" i="3"/>
  <c r="CY95" i="3"/>
  <c r="CY102" i="3"/>
  <c r="DL102" i="3"/>
  <c r="CY92" i="3"/>
  <c r="DL92" i="3"/>
  <c r="CL59" i="3"/>
  <c r="CM59" i="3" s="1"/>
  <c r="CN59" i="3"/>
  <c r="CY70" i="3"/>
  <c r="DL70" i="3"/>
  <c r="CY89" i="3"/>
  <c r="DL89" i="3"/>
  <c r="CL128" i="3"/>
  <c r="CM128" i="3" s="1"/>
  <c r="CN128" i="3"/>
  <c r="CL43" i="3"/>
  <c r="CM43" i="3" s="1"/>
  <c r="CN43" i="3"/>
  <c r="CY104" i="3"/>
  <c r="DL104" i="3"/>
  <c r="CL65" i="3"/>
  <c r="CM65" i="3" s="1"/>
  <c r="CN65" i="3"/>
  <c r="CL48" i="3"/>
  <c r="CM48" i="3" s="1"/>
  <c r="CN48" i="3"/>
  <c r="CL87" i="3"/>
  <c r="CM87" i="3" s="1"/>
  <c r="CN87" i="3"/>
  <c r="CL79" i="3"/>
  <c r="CM79" i="3" s="1"/>
  <c r="CN79" i="3"/>
  <c r="CY98" i="3"/>
  <c r="DL98" i="3"/>
  <c r="CY41" i="3"/>
  <c r="DL41" i="3"/>
  <c r="CL37" i="3"/>
  <c r="CM37" i="3" s="1"/>
  <c r="CN37" i="3"/>
  <c r="CY105" i="3"/>
  <c r="DL105" i="3"/>
  <c r="CY87" i="3"/>
  <c r="DL87" i="3"/>
  <c r="DL79" i="3"/>
  <c r="CY79" i="3"/>
  <c r="CN66" i="3"/>
  <c r="CL66" i="3"/>
  <c r="CM66" i="3" s="1"/>
  <c r="CN41" i="3"/>
  <c r="CL41" i="3"/>
  <c r="CM41" i="3" s="1"/>
  <c r="CN71" i="3"/>
  <c r="CL71" i="3"/>
  <c r="CM71" i="3" s="1"/>
  <c r="CY88" i="3"/>
  <c r="DL88" i="3"/>
  <c r="DL53" i="3"/>
  <c r="CY53" i="3"/>
  <c r="DL101" i="3"/>
  <c r="CY101" i="3"/>
  <c r="CY66" i="3"/>
  <c r="DL66" i="3"/>
  <c r="CY120" i="3"/>
  <c r="DL120" i="3"/>
  <c r="CL101" i="3"/>
  <c r="CM101" i="3" s="1"/>
  <c r="CN101" i="3"/>
  <c r="CL57" i="3"/>
  <c r="CM57" i="3" s="1"/>
  <c r="CN57" i="3"/>
  <c r="CY116" i="3"/>
  <c r="DL116" i="3"/>
  <c r="CL76" i="3"/>
  <c r="CM76" i="3" s="1"/>
  <c r="CN76" i="3"/>
  <c r="CA132" i="3"/>
  <c r="CY83" i="3"/>
  <c r="DL83" i="3"/>
  <c r="CY119" i="3"/>
  <c r="DL119" i="3"/>
  <c r="CN60" i="3"/>
  <c r="CL60" i="3"/>
  <c r="CM60" i="3" s="1"/>
  <c r="CY114" i="3"/>
  <c r="DL114" i="3"/>
  <c r="CY129" i="3"/>
  <c r="DL129" i="3"/>
  <c r="CL58" i="3"/>
  <c r="CM58" i="3" s="1"/>
  <c r="CN58" i="3"/>
  <c r="CY127" i="3"/>
  <c r="DL127" i="3"/>
  <c r="CL119" i="3"/>
  <c r="CM119" i="3" s="1"/>
  <c r="CN119" i="3"/>
  <c r="CL114" i="3"/>
  <c r="CM114" i="3" s="1"/>
  <c r="CN114" i="3"/>
  <c r="CL129" i="3"/>
  <c r="CM129" i="3" s="1"/>
  <c r="CN129" i="3"/>
  <c r="CA121" i="3"/>
  <c r="CY124" i="3"/>
  <c r="DL124" i="3"/>
  <c r="CN51" i="3"/>
  <c r="CL51" i="3"/>
  <c r="CM51" i="3" s="1"/>
  <c r="CY107" i="3"/>
  <c r="DL107" i="3"/>
  <c r="DL123" i="3"/>
  <c r="CY123" i="3"/>
  <c r="CL115" i="3"/>
  <c r="CM115" i="3" s="1"/>
  <c r="CN115" i="3"/>
  <c r="CL124" i="3"/>
  <c r="CM124" i="3" s="1"/>
  <c r="CN124" i="3"/>
  <c r="CL106" i="3"/>
  <c r="CM106" i="3" s="1"/>
  <c r="CN106" i="3"/>
  <c r="CA73" i="3"/>
  <c r="CA37" i="3"/>
  <c r="CL123" i="3"/>
  <c r="CM123" i="3" s="1"/>
  <c r="CN123" i="3"/>
  <c r="CY80" i="3"/>
  <c r="DL80" i="3"/>
  <c r="CY130" i="3"/>
  <c r="DL130" i="3"/>
  <c r="DL42" i="3"/>
  <c r="CY42" i="3"/>
  <c r="CN110" i="3"/>
  <c r="CL110" i="3"/>
  <c r="CM110" i="3" s="1"/>
  <c r="CY67" i="3"/>
  <c r="DL67" i="3"/>
  <c r="DL122" i="3"/>
  <c r="CY122" i="3"/>
  <c r="CY126" i="3"/>
  <c r="DL126" i="3"/>
  <c r="CY82" i="3"/>
  <c r="DL82" i="3"/>
  <c r="CL96" i="3"/>
  <c r="CM96" i="3" s="1"/>
  <c r="CN96" i="3"/>
  <c r="CN42" i="3"/>
  <c r="CL42" i="3"/>
  <c r="CM42" i="3" s="1"/>
  <c r="CY110" i="3"/>
  <c r="DL110" i="3"/>
  <c r="CL67" i="3"/>
  <c r="CM67" i="3" s="1"/>
  <c r="CN67" i="3"/>
  <c r="DL35" i="3"/>
  <c r="CY35" i="3"/>
  <c r="CL126" i="3"/>
  <c r="CM126" i="3" s="1"/>
  <c r="CN126" i="3"/>
  <c r="CN82" i="3"/>
  <c r="CL82" i="3"/>
  <c r="CM82" i="3" s="1"/>
  <c r="CA117" i="3"/>
  <c r="CY73" i="3"/>
  <c r="DL73" i="3"/>
  <c r="CY132" i="3"/>
  <c r="DL132" i="3"/>
  <c r="CA92" i="3"/>
  <c r="CA70" i="3"/>
  <c r="CN73" i="3"/>
  <c r="CL73" i="3"/>
  <c r="CM73" i="3" s="1"/>
  <c r="CY97" i="3"/>
  <c r="DL97" i="3"/>
  <c r="CY39" i="3"/>
  <c r="DL39" i="3"/>
  <c r="CY90" i="3"/>
  <c r="DL90" i="3"/>
  <c r="CY49" i="3"/>
  <c r="DL49" i="3"/>
  <c r="CL97" i="3"/>
  <c r="CM97" i="3" s="1"/>
  <c r="CN97" i="3"/>
  <c r="CY99" i="3"/>
  <c r="DL99" i="3"/>
  <c r="CA40" i="3"/>
  <c r="CY109" i="3"/>
  <c r="DL109" i="3"/>
  <c r="CY103" i="3"/>
  <c r="DL103" i="3"/>
  <c r="CL95" i="3"/>
  <c r="CM95" i="3" s="1"/>
  <c r="CN95" i="3"/>
  <c r="CA39" i="3"/>
  <c r="CA51" i="3"/>
  <c r="CY40" i="3"/>
  <c r="DL40" i="3"/>
  <c r="CN102" i="3"/>
  <c r="CL102" i="3"/>
  <c r="CM102" i="3" s="1"/>
  <c r="CN92" i="3"/>
  <c r="CL92" i="3"/>
  <c r="CM92" i="3" s="1"/>
  <c r="CN103" i="3"/>
  <c r="CL103" i="3"/>
  <c r="CM103" i="3" s="1"/>
  <c r="CY69" i="3"/>
  <c r="DL69" i="3"/>
  <c r="DL59" i="3"/>
  <c r="CY59" i="3"/>
  <c r="DL100" i="3"/>
  <c r="CY100" i="3"/>
  <c r="CL40" i="3"/>
  <c r="CM40" i="3" s="1"/>
  <c r="CN40" i="3"/>
  <c r="CY128" i="3"/>
  <c r="DL128" i="3"/>
  <c r="CL44" i="3"/>
  <c r="CM44" i="3" s="1"/>
  <c r="CN44" i="3"/>
  <c r="CL69" i="3"/>
  <c r="CM69" i="3" s="1"/>
  <c r="CN69" i="3"/>
  <c r="CL100" i="3"/>
  <c r="CM100" i="3" s="1"/>
  <c r="CN100" i="3"/>
  <c r="CY91" i="3"/>
  <c r="DL91" i="3"/>
  <c r="CY81" i="3"/>
  <c r="DL81" i="3"/>
  <c r="CY84" i="3"/>
  <c r="DL84" i="3"/>
  <c r="CA50" i="3"/>
  <c r="CA87" i="3"/>
  <c r="CL91" i="3"/>
  <c r="CM91" i="3" s="1"/>
  <c r="CN91" i="3"/>
  <c r="CN70" i="3"/>
  <c r="CL70" i="3"/>
  <c r="CM70" i="3" s="1"/>
  <c r="CN98" i="3"/>
  <c r="CL98" i="3"/>
  <c r="CM98" i="3" s="1"/>
  <c r="CA134" i="3"/>
  <c r="CA48" i="3"/>
  <c r="DL43" i="3"/>
  <c r="CY43" i="3"/>
  <c r="CN104" i="3"/>
  <c r="CL104" i="3"/>
  <c r="CM104" i="3" s="1"/>
  <c r="CA102" i="3"/>
  <c r="CY65" i="3"/>
  <c r="DL65" i="3"/>
  <c r="CY37" i="3"/>
  <c r="DL37" i="3"/>
  <c r="CA86" i="3"/>
  <c r="O37" i="3"/>
  <c r="N38" i="2"/>
  <c r="K39" i="2" s="1"/>
  <c r="L39" i="2" s="1"/>
  <c r="M39" i="2" s="1"/>
  <c r="O38" i="2"/>
  <c r="J39" i="2"/>
  <c r="AQ110" i="2"/>
  <c r="AR110" i="2" s="1"/>
  <c r="AS110" i="2" s="1"/>
  <c r="AP111" i="2"/>
  <c r="AN112" i="2"/>
  <c r="AO112" i="2" s="1"/>
  <c r="CN77" i="3" l="1"/>
  <c r="CO77" i="3" s="1"/>
  <c r="DL51" i="3"/>
  <c r="CO118" i="3"/>
  <c r="K38" i="3"/>
  <c r="L38" i="3" s="1"/>
  <c r="M38" i="3" s="1"/>
  <c r="N38" i="3" s="1"/>
  <c r="J39" i="3" s="1"/>
  <c r="CO44" i="3"/>
  <c r="CO95" i="3"/>
  <c r="CO115" i="3"/>
  <c r="CO117" i="3"/>
  <c r="CO119" i="3"/>
  <c r="CO131" i="3"/>
  <c r="CO50" i="3"/>
  <c r="CO113" i="3"/>
  <c r="CO39" i="3"/>
  <c r="CO67" i="3"/>
  <c r="CO43" i="3"/>
  <c r="CO89" i="3"/>
  <c r="CO125" i="3"/>
  <c r="CO101" i="3"/>
  <c r="CO55" i="3"/>
  <c r="CO75" i="3"/>
  <c r="CO48" i="3"/>
  <c r="CO46" i="3"/>
  <c r="CO116" i="3"/>
  <c r="CO61" i="3"/>
  <c r="CO129" i="3"/>
  <c r="CO94" i="3"/>
  <c r="CO47" i="3"/>
  <c r="CO112" i="3"/>
  <c r="CO69" i="3"/>
  <c r="CO36" i="3"/>
  <c r="CO52" i="3"/>
  <c r="CO124" i="3"/>
  <c r="CO59" i="3"/>
  <c r="CO130" i="3"/>
  <c r="CO40" i="3"/>
  <c r="CO87" i="3"/>
  <c r="CO38" i="3"/>
  <c r="CO108" i="3"/>
  <c r="CO97" i="3"/>
  <c r="CO83" i="3"/>
  <c r="CO72" i="3"/>
  <c r="CO88" i="3"/>
  <c r="CO76" i="3"/>
  <c r="CO62" i="3"/>
  <c r="CO123" i="3"/>
  <c r="CO57" i="3"/>
  <c r="CO128" i="3"/>
  <c r="CO64" i="3"/>
  <c r="CO41" i="3"/>
  <c r="CO90" i="3"/>
  <c r="CO34" i="3"/>
  <c r="CO100" i="3"/>
  <c r="CO96" i="3"/>
  <c r="CO106" i="3"/>
  <c r="CO37" i="3"/>
  <c r="CO133" i="3"/>
  <c r="CO84" i="3"/>
  <c r="CO79" i="3"/>
  <c r="CO93" i="3"/>
  <c r="CO102" i="3"/>
  <c r="CO86" i="3"/>
  <c r="CO35" i="3"/>
  <c r="CO73" i="3"/>
  <c r="CO114" i="3"/>
  <c r="CO111" i="3"/>
  <c r="DB54" i="3"/>
  <c r="CZ54" i="3"/>
  <c r="DA54" i="3" s="1"/>
  <c r="DM61" i="3"/>
  <c r="DZ61" i="3"/>
  <c r="CZ43" i="3"/>
  <c r="DA43" i="3" s="1"/>
  <c r="DB43" i="3"/>
  <c r="CO81" i="3"/>
  <c r="CZ53" i="3"/>
  <c r="DA53" i="3" s="1"/>
  <c r="DB53" i="3"/>
  <c r="DB109" i="3"/>
  <c r="CZ109" i="3"/>
  <c r="DA109" i="3" s="1"/>
  <c r="CZ68" i="3"/>
  <c r="DA68" i="3" s="1"/>
  <c r="DB68" i="3"/>
  <c r="CO110" i="3"/>
  <c r="DB131" i="3"/>
  <c r="CZ131" i="3"/>
  <c r="DA131" i="3" s="1"/>
  <c r="DB50" i="3"/>
  <c r="CZ50" i="3"/>
  <c r="DA50" i="3" s="1"/>
  <c r="DM71" i="3"/>
  <c r="DZ71" i="3"/>
  <c r="DM58" i="3"/>
  <c r="DZ58" i="3"/>
  <c r="CO127" i="3"/>
  <c r="CO91" i="3"/>
  <c r="CZ59" i="3"/>
  <c r="DA59" i="3" s="1"/>
  <c r="DB59" i="3"/>
  <c r="CZ99" i="3"/>
  <c r="DA99" i="3" s="1"/>
  <c r="DB99" i="3"/>
  <c r="CO126" i="3"/>
  <c r="DB42" i="3"/>
  <c r="CZ42" i="3"/>
  <c r="DA42" i="3" s="1"/>
  <c r="DM124" i="3"/>
  <c r="DZ124" i="3"/>
  <c r="DB83" i="3"/>
  <c r="CZ83" i="3"/>
  <c r="DA83" i="3" s="1"/>
  <c r="CO65" i="3"/>
  <c r="DM113" i="3"/>
  <c r="DZ113" i="3"/>
  <c r="CO68" i="3"/>
  <c r="DM111" i="3"/>
  <c r="DZ111" i="3"/>
  <c r="CZ71" i="3"/>
  <c r="DA71" i="3" s="1"/>
  <c r="DB71" i="3"/>
  <c r="CO54" i="3"/>
  <c r="DB41" i="3"/>
  <c r="CZ41" i="3"/>
  <c r="DA41" i="3" s="1"/>
  <c r="CO63" i="3"/>
  <c r="DM119" i="3"/>
  <c r="DZ119" i="3"/>
  <c r="DM50" i="3"/>
  <c r="DZ50" i="3"/>
  <c r="DM62" i="3"/>
  <c r="DZ62" i="3"/>
  <c r="DM121" i="3"/>
  <c r="DZ121" i="3"/>
  <c r="DZ35" i="3"/>
  <c r="DM35" i="3"/>
  <c r="DB104" i="3"/>
  <c r="CZ104" i="3"/>
  <c r="DA104" i="3" s="1"/>
  <c r="CO85" i="3"/>
  <c r="CZ121" i="3"/>
  <c r="DA121" i="3" s="1"/>
  <c r="DB121" i="3"/>
  <c r="CZ112" i="3"/>
  <c r="DA112" i="3" s="1"/>
  <c r="DB112" i="3"/>
  <c r="CZ134" i="3"/>
  <c r="DA134" i="3" s="1"/>
  <c r="DB134" i="3"/>
  <c r="DM82" i="3"/>
  <c r="DZ82" i="3"/>
  <c r="DB106" i="3"/>
  <c r="CZ106" i="3"/>
  <c r="DA106" i="3" s="1"/>
  <c r="DM92" i="3"/>
  <c r="DZ92" i="3"/>
  <c r="DM52" i="3"/>
  <c r="DZ52" i="3"/>
  <c r="CZ132" i="3"/>
  <c r="DA132" i="3" s="1"/>
  <c r="DB132" i="3"/>
  <c r="DB77" i="3"/>
  <c r="CZ77" i="3"/>
  <c r="DA77" i="3" s="1"/>
  <c r="DM107" i="3"/>
  <c r="DZ107" i="3"/>
  <c r="DM51" i="3"/>
  <c r="DZ51" i="3"/>
  <c r="CZ62" i="3"/>
  <c r="DA62" i="3" s="1"/>
  <c r="DB62" i="3"/>
  <c r="DM84" i="3"/>
  <c r="DZ84" i="3"/>
  <c r="DM116" i="3"/>
  <c r="DZ116" i="3"/>
  <c r="CO105" i="3"/>
  <c r="DM125" i="3"/>
  <c r="DZ125" i="3"/>
  <c r="DM106" i="3"/>
  <c r="DZ106" i="3"/>
  <c r="CO104" i="3"/>
  <c r="DM132" i="3"/>
  <c r="DZ132" i="3"/>
  <c r="CO134" i="3"/>
  <c r="DM122" i="3"/>
  <c r="DZ122" i="3"/>
  <c r="DM86" i="3"/>
  <c r="DZ86" i="3"/>
  <c r="DZ79" i="3"/>
  <c r="DM79" i="3"/>
  <c r="CO132" i="3"/>
  <c r="DM72" i="3"/>
  <c r="DZ72" i="3"/>
  <c r="DM38" i="3"/>
  <c r="DZ38" i="3"/>
  <c r="DM108" i="3"/>
  <c r="DZ108" i="3"/>
  <c r="CZ125" i="3"/>
  <c r="DA125" i="3" s="1"/>
  <c r="DB125" i="3"/>
  <c r="CO74" i="3"/>
  <c r="CO45" i="3"/>
  <c r="DM36" i="3"/>
  <c r="DZ36" i="3"/>
  <c r="CZ45" i="3"/>
  <c r="DA45" i="3" s="1"/>
  <c r="DB45" i="3"/>
  <c r="CZ114" i="3"/>
  <c r="DA114" i="3" s="1"/>
  <c r="DB114" i="3"/>
  <c r="DM115" i="3"/>
  <c r="DZ115" i="3"/>
  <c r="DM109" i="3"/>
  <c r="DZ109" i="3"/>
  <c r="DM60" i="3"/>
  <c r="DZ60" i="3"/>
  <c r="CZ100" i="3"/>
  <c r="DA100" i="3" s="1"/>
  <c r="DB100" i="3"/>
  <c r="DM131" i="3"/>
  <c r="DZ131" i="3"/>
  <c r="DB35" i="3"/>
  <c r="CZ35" i="3"/>
  <c r="DA35" i="3" s="1"/>
  <c r="CZ69" i="3"/>
  <c r="DA69" i="3" s="1"/>
  <c r="DB69" i="3"/>
  <c r="CZ49" i="3"/>
  <c r="DA49" i="3" s="1"/>
  <c r="DB49" i="3"/>
  <c r="DM87" i="3"/>
  <c r="DZ87" i="3"/>
  <c r="CZ72" i="3"/>
  <c r="DA72" i="3" s="1"/>
  <c r="DB72" i="3"/>
  <c r="DM44" i="3"/>
  <c r="DZ44" i="3"/>
  <c r="CZ38" i="3"/>
  <c r="DA38" i="3" s="1"/>
  <c r="DB38" i="3"/>
  <c r="DB108" i="3"/>
  <c r="CZ108" i="3"/>
  <c r="DA108" i="3" s="1"/>
  <c r="DM78" i="3"/>
  <c r="DZ78" i="3"/>
  <c r="DM55" i="3"/>
  <c r="DZ55" i="3"/>
  <c r="CO120" i="3"/>
  <c r="CZ75" i="3"/>
  <c r="DA75" i="3" s="1"/>
  <c r="DB75" i="3"/>
  <c r="CZ118" i="3"/>
  <c r="DA118" i="3" s="1"/>
  <c r="DB118" i="3"/>
  <c r="CZ52" i="3"/>
  <c r="DA52" i="3" s="1"/>
  <c r="DB52" i="3"/>
  <c r="DM43" i="3"/>
  <c r="DZ43" i="3"/>
  <c r="DM114" i="3"/>
  <c r="DZ114" i="3"/>
  <c r="CO99" i="3"/>
  <c r="CZ102" i="3"/>
  <c r="DA102" i="3" s="1"/>
  <c r="DB102" i="3"/>
  <c r="CZ74" i="3"/>
  <c r="DA74" i="3" s="1"/>
  <c r="DB74" i="3"/>
  <c r="CZ60" i="3"/>
  <c r="DA60" i="3" s="1"/>
  <c r="DB60" i="3"/>
  <c r="CO107" i="3"/>
  <c r="CO71" i="3"/>
  <c r="CZ57" i="3"/>
  <c r="DA57" i="3" s="1"/>
  <c r="DB57" i="3"/>
  <c r="DM49" i="3"/>
  <c r="DZ49" i="3"/>
  <c r="DM80" i="3"/>
  <c r="DZ80" i="3"/>
  <c r="CZ84" i="3"/>
  <c r="DA84" i="3" s="1"/>
  <c r="DB84" i="3"/>
  <c r="CZ116" i="3"/>
  <c r="DA116" i="3" s="1"/>
  <c r="DB116" i="3"/>
  <c r="CZ94" i="3"/>
  <c r="DA94" i="3" s="1"/>
  <c r="DB94" i="3"/>
  <c r="CZ44" i="3"/>
  <c r="DA44" i="3" s="1"/>
  <c r="DB44" i="3"/>
  <c r="DM133" i="3"/>
  <c r="DZ133" i="3"/>
  <c r="CO78" i="3"/>
  <c r="CZ78" i="3"/>
  <c r="DA78" i="3" s="1"/>
  <c r="DB78" i="3"/>
  <c r="CZ55" i="3"/>
  <c r="DA55" i="3" s="1"/>
  <c r="DB55" i="3"/>
  <c r="DB36" i="3"/>
  <c r="CZ36" i="3"/>
  <c r="DA36" i="3" s="1"/>
  <c r="DM98" i="3"/>
  <c r="DZ98" i="3"/>
  <c r="DM48" i="3"/>
  <c r="DZ48" i="3"/>
  <c r="CZ48" i="3"/>
  <c r="DA48" i="3" s="1"/>
  <c r="DB48" i="3"/>
  <c r="DB56" i="3"/>
  <c r="CZ56" i="3"/>
  <c r="DA56" i="3" s="1"/>
  <c r="CO51" i="3"/>
  <c r="DB113" i="3"/>
  <c r="CZ113" i="3"/>
  <c r="DA113" i="3" s="1"/>
  <c r="CO103" i="3"/>
  <c r="DM91" i="3"/>
  <c r="DZ91" i="3"/>
  <c r="DM89" i="3"/>
  <c r="DZ89" i="3"/>
  <c r="DM94" i="3"/>
  <c r="DZ94" i="3"/>
  <c r="DM47" i="3"/>
  <c r="DZ47" i="3"/>
  <c r="CZ133" i="3"/>
  <c r="DA133" i="3" s="1"/>
  <c r="DB133" i="3"/>
  <c r="DM76" i="3"/>
  <c r="DZ76" i="3"/>
  <c r="DM118" i="3"/>
  <c r="DZ118" i="3"/>
  <c r="CZ61" i="3"/>
  <c r="DA61" i="3" s="1"/>
  <c r="DB61" i="3"/>
  <c r="DM53" i="3"/>
  <c r="DZ53" i="3"/>
  <c r="DB107" i="3"/>
  <c r="CZ107" i="3"/>
  <c r="DA107" i="3" s="1"/>
  <c r="DB34" i="3"/>
  <c r="CZ34" i="3"/>
  <c r="DA34" i="3" s="1"/>
  <c r="DM99" i="3"/>
  <c r="DZ99" i="3"/>
  <c r="DM69" i="3"/>
  <c r="DZ69" i="3"/>
  <c r="DB130" i="3"/>
  <c r="CZ130" i="3"/>
  <c r="DA130" i="3" s="1"/>
  <c r="CZ79" i="3"/>
  <c r="DA79" i="3" s="1"/>
  <c r="DB79" i="3"/>
  <c r="CZ80" i="3"/>
  <c r="DA80" i="3" s="1"/>
  <c r="DB80" i="3"/>
  <c r="DM110" i="3"/>
  <c r="DZ110" i="3"/>
  <c r="CO49" i="3"/>
  <c r="CZ47" i="3"/>
  <c r="DA47" i="3" s="1"/>
  <c r="DB47" i="3"/>
  <c r="CZ76" i="3"/>
  <c r="DA76" i="3" s="1"/>
  <c r="DB76" i="3"/>
  <c r="DB82" i="3"/>
  <c r="CZ82" i="3"/>
  <c r="DA82" i="3" s="1"/>
  <c r="DM126" i="3"/>
  <c r="DZ126" i="3"/>
  <c r="DM45" i="3"/>
  <c r="DZ45" i="3"/>
  <c r="DM103" i="3"/>
  <c r="DZ103" i="3"/>
  <c r="DM102" i="3"/>
  <c r="DZ102" i="3"/>
  <c r="DB103" i="3"/>
  <c r="CZ103" i="3"/>
  <c r="DA103" i="3" s="1"/>
  <c r="CO53" i="3"/>
  <c r="CO98" i="3"/>
  <c r="CZ119" i="3"/>
  <c r="DA119" i="3" s="1"/>
  <c r="DB119" i="3"/>
  <c r="DM59" i="3"/>
  <c r="DZ59" i="3"/>
  <c r="DM112" i="3"/>
  <c r="DZ112" i="3"/>
  <c r="CO66" i="3"/>
  <c r="DM90" i="3"/>
  <c r="DZ90" i="3"/>
  <c r="DM81" i="3"/>
  <c r="DZ81" i="3"/>
  <c r="CZ90" i="3"/>
  <c r="DA90" i="3" s="1"/>
  <c r="DB90" i="3"/>
  <c r="DM37" i="3"/>
  <c r="DZ37" i="3"/>
  <c r="CZ81" i="3"/>
  <c r="DA81" i="3" s="1"/>
  <c r="DB81" i="3"/>
  <c r="CO92" i="3"/>
  <c r="DM39" i="3"/>
  <c r="DZ39" i="3"/>
  <c r="CZ110" i="3"/>
  <c r="DA110" i="3" s="1"/>
  <c r="DB110" i="3"/>
  <c r="CZ39" i="3"/>
  <c r="DA39" i="3" s="1"/>
  <c r="DB39" i="3"/>
  <c r="DM70" i="3"/>
  <c r="DZ70" i="3"/>
  <c r="DZ64" i="3"/>
  <c r="DM64" i="3"/>
  <c r="CZ46" i="3"/>
  <c r="DA46" i="3" s="1"/>
  <c r="DB46" i="3"/>
  <c r="CO109" i="3"/>
  <c r="DM66" i="3"/>
  <c r="DZ66" i="3"/>
  <c r="DM41" i="3"/>
  <c r="DZ41" i="3"/>
  <c r="DZ129" i="3"/>
  <c r="DM129" i="3"/>
  <c r="CZ66" i="3"/>
  <c r="DA66" i="3" s="1"/>
  <c r="DB66" i="3"/>
  <c r="DB129" i="3"/>
  <c r="CZ129" i="3"/>
  <c r="DA129" i="3" s="1"/>
  <c r="CZ101" i="3"/>
  <c r="DA101" i="3" s="1"/>
  <c r="DB101" i="3"/>
  <c r="DM63" i="3"/>
  <c r="DZ63" i="3"/>
  <c r="DB126" i="3"/>
  <c r="CZ126" i="3"/>
  <c r="DA126" i="3" s="1"/>
  <c r="DM101" i="3"/>
  <c r="DZ101" i="3"/>
  <c r="DB98" i="3"/>
  <c r="CZ98" i="3"/>
  <c r="DA98" i="3" s="1"/>
  <c r="CZ92" i="3"/>
  <c r="DA92" i="3" s="1"/>
  <c r="DB92" i="3"/>
  <c r="CZ63" i="3"/>
  <c r="DA63" i="3" s="1"/>
  <c r="DB63" i="3"/>
  <c r="DM85" i="3"/>
  <c r="DZ85" i="3"/>
  <c r="DM117" i="3"/>
  <c r="DZ117" i="3"/>
  <c r="DM128" i="3"/>
  <c r="DZ128" i="3"/>
  <c r="DB122" i="3"/>
  <c r="CZ122" i="3"/>
  <c r="DA122" i="3" s="1"/>
  <c r="CZ123" i="3"/>
  <c r="DA123" i="3" s="1"/>
  <c r="DB123" i="3"/>
  <c r="DM93" i="3"/>
  <c r="DZ93" i="3"/>
  <c r="CZ96" i="3"/>
  <c r="DA96" i="3" s="1"/>
  <c r="DB96" i="3"/>
  <c r="CZ85" i="3"/>
  <c r="DA85" i="3" s="1"/>
  <c r="DB85" i="3"/>
  <c r="DB117" i="3"/>
  <c r="CZ117" i="3"/>
  <c r="DA117" i="3" s="1"/>
  <c r="DM77" i="3"/>
  <c r="DZ77" i="3"/>
  <c r="DB128" i="3"/>
  <c r="CZ128" i="3"/>
  <c r="DA128" i="3" s="1"/>
  <c r="DM73" i="3"/>
  <c r="DZ73" i="3"/>
  <c r="DM123" i="3"/>
  <c r="DZ123" i="3"/>
  <c r="DB93" i="3"/>
  <c r="CZ93" i="3"/>
  <c r="DA93" i="3" s="1"/>
  <c r="DM96" i="3"/>
  <c r="DZ96" i="3"/>
  <c r="DM56" i="3"/>
  <c r="DZ56" i="3"/>
  <c r="DM74" i="3"/>
  <c r="DZ74" i="3"/>
  <c r="DB73" i="3"/>
  <c r="CZ73" i="3"/>
  <c r="DA73" i="3" s="1"/>
  <c r="DM67" i="3"/>
  <c r="DZ67" i="3"/>
  <c r="CO60" i="3"/>
  <c r="DM88" i="3"/>
  <c r="DZ88" i="3"/>
  <c r="DB95" i="3"/>
  <c r="CZ95" i="3"/>
  <c r="DA95" i="3" s="1"/>
  <c r="CZ115" i="3"/>
  <c r="DA115" i="3" s="1"/>
  <c r="DB115" i="3"/>
  <c r="DM68" i="3"/>
  <c r="DZ68" i="3"/>
  <c r="CZ67" i="3"/>
  <c r="DA67" i="3" s="1"/>
  <c r="DB67" i="3"/>
  <c r="CZ88" i="3"/>
  <c r="DA88" i="3" s="1"/>
  <c r="DB88" i="3"/>
  <c r="DM95" i="3"/>
  <c r="DZ95" i="3"/>
  <c r="DM34" i="3"/>
  <c r="DZ34" i="3"/>
  <c r="CZ86" i="3"/>
  <c r="DA86" i="3" s="1"/>
  <c r="DB86" i="3"/>
  <c r="CZ58" i="3"/>
  <c r="DA58" i="3" s="1"/>
  <c r="DB58" i="3"/>
  <c r="CO70" i="3"/>
  <c r="DM100" i="3"/>
  <c r="DZ100" i="3"/>
  <c r="CO82" i="3"/>
  <c r="DM83" i="3"/>
  <c r="DZ83" i="3"/>
  <c r="CZ51" i="3"/>
  <c r="DA51" i="3" s="1"/>
  <c r="DB51" i="3"/>
  <c r="DM42" i="3"/>
  <c r="DZ42" i="3"/>
  <c r="CZ124" i="3"/>
  <c r="DA124" i="3" s="1"/>
  <c r="DB124" i="3"/>
  <c r="CZ111" i="3"/>
  <c r="DA111" i="3" s="1"/>
  <c r="DB111" i="3"/>
  <c r="DM130" i="3"/>
  <c r="DZ130" i="3"/>
  <c r="DM104" i="3"/>
  <c r="DZ104" i="3"/>
  <c r="DM57" i="3"/>
  <c r="DZ57" i="3"/>
  <c r="DM134" i="3"/>
  <c r="DZ134" i="3"/>
  <c r="CZ87" i="3"/>
  <c r="DA87" i="3" s="1"/>
  <c r="DB87" i="3"/>
  <c r="CZ37" i="3"/>
  <c r="DA37" i="3" s="1"/>
  <c r="DB37" i="3"/>
  <c r="DM105" i="3"/>
  <c r="DZ105" i="3"/>
  <c r="DZ65" i="3"/>
  <c r="DM65" i="3"/>
  <c r="DB91" i="3"/>
  <c r="CZ91" i="3"/>
  <c r="DA91" i="3" s="1"/>
  <c r="DM97" i="3"/>
  <c r="DZ97" i="3"/>
  <c r="CO42" i="3"/>
  <c r="DM127" i="3"/>
  <c r="DZ127" i="3"/>
  <c r="DB105" i="3"/>
  <c r="CZ105" i="3"/>
  <c r="DA105" i="3" s="1"/>
  <c r="CZ89" i="3"/>
  <c r="DA89" i="3" s="1"/>
  <c r="DB89" i="3"/>
  <c r="CO56" i="3"/>
  <c r="DB65" i="3"/>
  <c r="CZ65" i="3"/>
  <c r="DA65" i="3" s="1"/>
  <c r="DM40" i="3"/>
  <c r="DZ40" i="3"/>
  <c r="CZ97" i="3"/>
  <c r="DA97" i="3" s="1"/>
  <c r="DB97" i="3"/>
  <c r="CZ127" i="3"/>
  <c r="DA127" i="3" s="1"/>
  <c r="DB127" i="3"/>
  <c r="DM120" i="3"/>
  <c r="DZ120" i="3"/>
  <c r="CZ40" i="3"/>
  <c r="DA40" i="3" s="1"/>
  <c r="DB40" i="3"/>
  <c r="CO58" i="3"/>
  <c r="DB120" i="3"/>
  <c r="CZ120" i="3"/>
  <c r="DA120" i="3" s="1"/>
  <c r="CZ70" i="3"/>
  <c r="DA70" i="3" s="1"/>
  <c r="DB70" i="3"/>
  <c r="CZ64" i="3"/>
  <c r="DA64" i="3" s="1"/>
  <c r="DB64" i="3"/>
  <c r="DM54" i="3"/>
  <c r="DZ54" i="3"/>
  <c r="DM46" i="3"/>
  <c r="DZ46" i="3"/>
  <c r="CO121" i="3"/>
  <c r="DZ75" i="3"/>
  <c r="DM75" i="3"/>
  <c r="CO122" i="3"/>
  <c r="CO80" i="3"/>
  <c r="N39" i="2"/>
  <c r="K40" i="2" s="1"/>
  <c r="L40" i="2" s="1"/>
  <c r="M40" i="2" s="1"/>
  <c r="O39" i="2"/>
  <c r="AQ111" i="2"/>
  <c r="AR111" i="2" s="1"/>
  <c r="AS111" i="2" s="1"/>
  <c r="AP112" i="2"/>
  <c r="AN113" i="2"/>
  <c r="AO113" i="2" s="1"/>
  <c r="DC86" i="3" l="1"/>
  <c r="DC39" i="3"/>
  <c r="DC119" i="3"/>
  <c r="DC57" i="3"/>
  <c r="DC100" i="3"/>
  <c r="DC62" i="3"/>
  <c r="DC121" i="3"/>
  <c r="DC92" i="3"/>
  <c r="DC52" i="3"/>
  <c r="DC89" i="3"/>
  <c r="DC63" i="3"/>
  <c r="DC80" i="3"/>
  <c r="DC133" i="3"/>
  <c r="DC60" i="3"/>
  <c r="DC112" i="3"/>
  <c r="DC70" i="3"/>
  <c r="DC40" i="3"/>
  <c r="DC44" i="3"/>
  <c r="DC72" i="3"/>
  <c r="DC45" i="3"/>
  <c r="DC87" i="3"/>
  <c r="DC47" i="3"/>
  <c r="DC96" i="3"/>
  <c r="DC64" i="3"/>
  <c r="DC123" i="3"/>
  <c r="DC101" i="3"/>
  <c r="DC79" i="3"/>
  <c r="DC55" i="3"/>
  <c r="DC124" i="3"/>
  <c r="DC67" i="3"/>
  <c r="DC102" i="3"/>
  <c r="DC114" i="3"/>
  <c r="DC132" i="3"/>
  <c r="DC53" i="3"/>
  <c r="DC127" i="3"/>
  <c r="DC116" i="3"/>
  <c r="DC97" i="3"/>
  <c r="DC90" i="3"/>
  <c r="DC69" i="3"/>
  <c r="DC125" i="3"/>
  <c r="DC134" i="3"/>
  <c r="DC78" i="3"/>
  <c r="DC68" i="3"/>
  <c r="DC66" i="3"/>
  <c r="DC81" i="3"/>
  <c r="DC49" i="3"/>
  <c r="DC59" i="3"/>
  <c r="DC85" i="3"/>
  <c r="DC75" i="3"/>
  <c r="DC71" i="3"/>
  <c r="DC77" i="3"/>
  <c r="DC51" i="3"/>
  <c r="DC115" i="3"/>
  <c r="DC94" i="3"/>
  <c r="DC99" i="3"/>
  <c r="DC43" i="3"/>
  <c r="DC37" i="3"/>
  <c r="DC46" i="3"/>
  <c r="DC76" i="3"/>
  <c r="DC84" i="3"/>
  <c r="DC117" i="3"/>
  <c r="DC98" i="3"/>
  <c r="DC58" i="3"/>
  <c r="DC110" i="3"/>
  <c r="DP40" i="3"/>
  <c r="DN40" i="3"/>
  <c r="DO40" i="3" s="1"/>
  <c r="DN116" i="3"/>
  <c r="DO116" i="3" s="1"/>
  <c r="DP116" i="3"/>
  <c r="EN111" i="3"/>
  <c r="EA111" i="3"/>
  <c r="DP104" i="3"/>
  <c r="DN104" i="3"/>
  <c r="DO104" i="3" s="1"/>
  <c r="DN113" i="3"/>
  <c r="DO113" i="3" s="1"/>
  <c r="DP113" i="3"/>
  <c r="DP56" i="3"/>
  <c r="DN56" i="3"/>
  <c r="DO56" i="3" s="1"/>
  <c r="DP47" i="3"/>
  <c r="DN47" i="3"/>
  <c r="DO47" i="3" s="1"/>
  <c r="EA96" i="3"/>
  <c r="EN96" i="3"/>
  <c r="DN109" i="3"/>
  <c r="DO109" i="3" s="1"/>
  <c r="DP109" i="3"/>
  <c r="EN86" i="3"/>
  <c r="EA86" i="3"/>
  <c r="DN35" i="3"/>
  <c r="DO35" i="3" s="1"/>
  <c r="DP35" i="3"/>
  <c r="DP127" i="3"/>
  <c r="DN127" i="3"/>
  <c r="DO127" i="3" s="1"/>
  <c r="DC111" i="3"/>
  <c r="DC88" i="3"/>
  <c r="DN96" i="3"/>
  <c r="DO96" i="3" s="1"/>
  <c r="DP96" i="3"/>
  <c r="DC122" i="3"/>
  <c r="DC129" i="3"/>
  <c r="EA102" i="3"/>
  <c r="EN102" i="3"/>
  <c r="DC130" i="3"/>
  <c r="DN94" i="3"/>
  <c r="DO94" i="3" s="1"/>
  <c r="DP94" i="3"/>
  <c r="DC74" i="3"/>
  <c r="DC38" i="3"/>
  <c r="EA115" i="3"/>
  <c r="EN115" i="3"/>
  <c r="DN86" i="3"/>
  <c r="DO86" i="3" s="1"/>
  <c r="DP86" i="3"/>
  <c r="EA35" i="3"/>
  <c r="EN35" i="3"/>
  <c r="DC83" i="3"/>
  <c r="EA48" i="3"/>
  <c r="EN48" i="3"/>
  <c r="EA38" i="3"/>
  <c r="EN38" i="3"/>
  <c r="EN98" i="3"/>
  <c r="EA98" i="3"/>
  <c r="EA72" i="3"/>
  <c r="EN72" i="3"/>
  <c r="EN109" i="3"/>
  <c r="EA109" i="3"/>
  <c r="DN97" i="3"/>
  <c r="DO97" i="3" s="1"/>
  <c r="DP97" i="3"/>
  <c r="EA62" i="3"/>
  <c r="EN62" i="3"/>
  <c r="EA116" i="3"/>
  <c r="EN116" i="3"/>
  <c r="DP112" i="3"/>
  <c r="DN112" i="3"/>
  <c r="DO112" i="3" s="1"/>
  <c r="EA84" i="3"/>
  <c r="EN84" i="3"/>
  <c r="DP59" i="3"/>
  <c r="DN59" i="3"/>
  <c r="DO59" i="3" s="1"/>
  <c r="DP46" i="3"/>
  <c r="DN46" i="3"/>
  <c r="DO46" i="3" s="1"/>
  <c r="EA55" i="3"/>
  <c r="EN55" i="3"/>
  <c r="DN54" i="3"/>
  <c r="DO54" i="3" s="1"/>
  <c r="DP54" i="3"/>
  <c r="EA60" i="3"/>
  <c r="EN60" i="3"/>
  <c r="EN107" i="3"/>
  <c r="EA107" i="3"/>
  <c r="EA94" i="3"/>
  <c r="EN94" i="3"/>
  <c r="EN97" i="3"/>
  <c r="EA97" i="3"/>
  <c r="DN124" i="3"/>
  <c r="DO124" i="3" s="1"/>
  <c r="DP124" i="3"/>
  <c r="DN37" i="3"/>
  <c r="DO37" i="3" s="1"/>
  <c r="DP37" i="3"/>
  <c r="DP91" i="3"/>
  <c r="DN91" i="3"/>
  <c r="DO91" i="3" s="1"/>
  <c r="EA132" i="3"/>
  <c r="EN132" i="3"/>
  <c r="EN52" i="3"/>
  <c r="EA52" i="3"/>
  <c r="DN62" i="3"/>
  <c r="DO62" i="3" s="1"/>
  <c r="DP62" i="3"/>
  <c r="DC42" i="3"/>
  <c r="DN48" i="3"/>
  <c r="DO48" i="3" s="1"/>
  <c r="DP48" i="3"/>
  <c r="EA46" i="3"/>
  <c r="EN46" i="3"/>
  <c r="DP98" i="3"/>
  <c r="DN98" i="3"/>
  <c r="DO98" i="3" s="1"/>
  <c r="DP55" i="3"/>
  <c r="DN55" i="3"/>
  <c r="DO55" i="3" s="1"/>
  <c r="EA104" i="3"/>
  <c r="EN104" i="3"/>
  <c r="EA69" i="3"/>
  <c r="EN69" i="3"/>
  <c r="DP122" i="3"/>
  <c r="DN122" i="3"/>
  <c r="DO122" i="3" s="1"/>
  <c r="DP103" i="3"/>
  <c r="DN103" i="3"/>
  <c r="DO103" i="3" s="1"/>
  <c r="EA114" i="3"/>
  <c r="EN114" i="3"/>
  <c r="DN132" i="3"/>
  <c r="DO132" i="3" s="1"/>
  <c r="DP132" i="3"/>
  <c r="DN52" i="3"/>
  <c r="DO52" i="3" s="1"/>
  <c r="DP52" i="3"/>
  <c r="EA50" i="3"/>
  <c r="EN50" i="3"/>
  <c r="EA58" i="3"/>
  <c r="EN58" i="3"/>
  <c r="EA78" i="3"/>
  <c r="EN78" i="3"/>
  <c r="EN122" i="3"/>
  <c r="EA122" i="3"/>
  <c r="DN69" i="3"/>
  <c r="DO69" i="3" s="1"/>
  <c r="DP69" i="3"/>
  <c r="DP41" i="3"/>
  <c r="DN41" i="3"/>
  <c r="DO41" i="3" s="1"/>
  <c r="DC34" i="3"/>
  <c r="DN114" i="3"/>
  <c r="DO114" i="3" s="1"/>
  <c r="DP114" i="3"/>
  <c r="EA87" i="3"/>
  <c r="EN87" i="3"/>
  <c r="EA36" i="3"/>
  <c r="EN36" i="3"/>
  <c r="EA92" i="3"/>
  <c r="EN92" i="3"/>
  <c r="DN50" i="3"/>
  <c r="DO50" i="3" s="1"/>
  <c r="DP50" i="3"/>
  <c r="DP100" i="3"/>
  <c r="DN100" i="3"/>
  <c r="DO100" i="3" s="1"/>
  <c r="EA75" i="3"/>
  <c r="EN75" i="3"/>
  <c r="DN72" i="3"/>
  <c r="DO72" i="3" s="1"/>
  <c r="DP72" i="3"/>
  <c r="DP79" i="3"/>
  <c r="DN79" i="3"/>
  <c r="DO79" i="3" s="1"/>
  <c r="DN121" i="3"/>
  <c r="DO121" i="3" s="1"/>
  <c r="DP121" i="3"/>
  <c r="EN123" i="3"/>
  <c r="EA123" i="3"/>
  <c r="EA37" i="3"/>
  <c r="EN37" i="3"/>
  <c r="EA45" i="3"/>
  <c r="EN45" i="3"/>
  <c r="EA66" i="3"/>
  <c r="EN66" i="3"/>
  <c r="DC113" i="3"/>
  <c r="EA43" i="3"/>
  <c r="EN43" i="3"/>
  <c r="DP87" i="3"/>
  <c r="DN87" i="3"/>
  <c r="DO87" i="3" s="1"/>
  <c r="DP36" i="3"/>
  <c r="DN36" i="3"/>
  <c r="DO36" i="3" s="1"/>
  <c r="EA106" i="3"/>
  <c r="EN106" i="3"/>
  <c r="DP92" i="3"/>
  <c r="DN92" i="3"/>
  <c r="DO92" i="3" s="1"/>
  <c r="EN119" i="3"/>
  <c r="EA119" i="3"/>
  <c r="DN75" i="3"/>
  <c r="DO75" i="3" s="1"/>
  <c r="DP75" i="3"/>
  <c r="EA57" i="3"/>
  <c r="EN57" i="3"/>
  <c r="DN111" i="3"/>
  <c r="DO111" i="3" s="1"/>
  <c r="DP111" i="3"/>
  <c r="EA63" i="3"/>
  <c r="EN63" i="3"/>
  <c r="EA113" i="3"/>
  <c r="EN113" i="3"/>
  <c r="DN34" i="3"/>
  <c r="DO34" i="3" s="1"/>
  <c r="DP34" i="3"/>
  <c r="EA99" i="3"/>
  <c r="EN99" i="3"/>
  <c r="DN123" i="3"/>
  <c r="DO123" i="3" s="1"/>
  <c r="DP123" i="3"/>
  <c r="DC107" i="3"/>
  <c r="DN43" i="3"/>
  <c r="DO43" i="3" s="1"/>
  <c r="DP43" i="3"/>
  <c r="DN106" i="3"/>
  <c r="DO106" i="3" s="1"/>
  <c r="DP106" i="3"/>
  <c r="DN119" i="3"/>
  <c r="DO119" i="3" s="1"/>
  <c r="DP119" i="3"/>
  <c r="EA61" i="3"/>
  <c r="EN61" i="3"/>
  <c r="DC35" i="3"/>
  <c r="DP38" i="3"/>
  <c r="DN38" i="3"/>
  <c r="DO38" i="3" s="1"/>
  <c r="DN57" i="3"/>
  <c r="DO57" i="3" s="1"/>
  <c r="DP57" i="3"/>
  <c r="EA34" i="3"/>
  <c r="EN34" i="3"/>
  <c r="DN51" i="3"/>
  <c r="DO51" i="3" s="1"/>
  <c r="DP51" i="3"/>
  <c r="EA89" i="3"/>
  <c r="EN89" i="3"/>
  <c r="EA44" i="3"/>
  <c r="EN44" i="3"/>
  <c r="DN133" i="3"/>
  <c r="DO133" i="3" s="1"/>
  <c r="DP133" i="3"/>
  <c r="EA129" i="3"/>
  <c r="EN129" i="3"/>
  <c r="DN42" i="3"/>
  <c r="DO42" i="3" s="1"/>
  <c r="DP42" i="3"/>
  <c r="EA125" i="3"/>
  <c r="EN125" i="3"/>
  <c r="DC106" i="3"/>
  <c r="DP61" i="3"/>
  <c r="DN61" i="3"/>
  <c r="DO61" i="3" s="1"/>
  <c r="DN64" i="3"/>
  <c r="DO64" i="3" s="1"/>
  <c r="DP64" i="3"/>
  <c r="EA49" i="3"/>
  <c r="EN49" i="3"/>
  <c r="DC65" i="3"/>
  <c r="DN131" i="3"/>
  <c r="DO131" i="3" s="1"/>
  <c r="DP131" i="3"/>
  <c r="DP93" i="3"/>
  <c r="DN93" i="3"/>
  <c r="DO93" i="3" s="1"/>
  <c r="EN51" i="3"/>
  <c r="EA51" i="3"/>
  <c r="DC104" i="3"/>
  <c r="DP130" i="3"/>
  <c r="DN130" i="3"/>
  <c r="DO130" i="3" s="1"/>
  <c r="DC103" i="3"/>
  <c r="DC93" i="3"/>
  <c r="EA91" i="3"/>
  <c r="EN91" i="3"/>
  <c r="DN117" i="3"/>
  <c r="DO117" i="3" s="1"/>
  <c r="DP117" i="3"/>
  <c r="EN41" i="3"/>
  <c r="EA41" i="3"/>
  <c r="EA120" i="3"/>
  <c r="EN120" i="3"/>
  <c r="DP85" i="3"/>
  <c r="DN85" i="3"/>
  <c r="DO85" i="3" s="1"/>
  <c r="DP120" i="3"/>
  <c r="DN120" i="3"/>
  <c r="DO120" i="3" s="1"/>
  <c r="EA81" i="3"/>
  <c r="EN81" i="3"/>
  <c r="EN83" i="3"/>
  <c r="EA83" i="3"/>
  <c r="DN81" i="3"/>
  <c r="DO81" i="3" s="1"/>
  <c r="DP81" i="3"/>
  <c r="DN77" i="3"/>
  <c r="DO77" i="3" s="1"/>
  <c r="DP77" i="3"/>
  <c r="DP90" i="3"/>
  <c r="DN90" i="3"/>
  <c r="DO90" i="3" s="1"/>
  <c r="DP53" i="3"/>
  <c r="DN53" i="3"/>
  <c r="DO53" i="3" s="1"/>
  <c r="DC56" i="3"/>
  <c r="DN125" i="3"/>
  <c r="DO125" i="3" s="1"/>
  <c r="DP125" i="3"/>
  <c r="EA82" i="3"/>
  <c r="EN82" i="3"/>
  <c r="EA40" i="3"/>
  <c r="EN40" i="3"/>
  <c r="EA112" i="3"/>
  <c r="EN112" i="3"/>
  <c r="EA80" i="3"/>
  <c r="EN80" i="3"/>
  <c r="EA108" i="3"/>
  <c r="EN108" i="3"/>
  <c r="EN67" i="3"/>
  <c r="EA67" i="3"/>
  <c r="EA101" i="3"/>
  <c r="EN101" i="3"/>
  <c r="EA64" i="3"/>
  <c r="EN64" i="3"/>
  <c r="EA118" i="3"/>
  <c r="EN118" i="3"/>
  <c r="DP80" i="3"/>
  <c r="DN80" i="3"/>
  <c r="DO80" i="3" s="1"/>
  <c r="DN108" i="3"/>
  <c r="DO108" i="3" s="1"/>
  <c r="DP108" i="3"/>
  <c r="DP58" i="3"/>
  <c r="DN58" i="3"/>
  <c r="DO58" i="3" s="1"/>
  <c r="EA134" i="3"/>
  <c r="EN134" i="3"/>
  <c r="DN67" i="3"/>
  <c r="DO67" i="3" s="1"/>
  <c r="DP67" i="3"/>
  <c r="DN101" i="3"/>
  <c r="DO101" i="3" s="1"/>
  <c r="DP101" i="3"/>
  <c r="EA70" i="3"/>
  <c r="EN70" i="3"/>
  <c r="EN59" i="3"/>
  <c r="EA59" i="3"/>
  <c r="DP118" i="3"/>
  <c r="DN118" i="3"/>
  <c r="DO118" i="3" s="1"/>
  <c r="EA131" i="3"/>
  <c r="EN131" i="3"/>
  <c r="EA71" i="3"/>
  <c r="EN71" i="3"/>
  <c r="DN134" i="3"/>
  <c r="DO134" i="3" s="1"/>
  <c r="DP134" i="3"/>
  <c r="DN70" i="3"/>
  <c r="DO70" i="3" s="1"/>
  <c r="DP70" i="3"/>
  <c r="EN110" i="3"/>
  <c r="EA110" i="3"/>
  <c r="EA76" i="3"/>
  <c r="EN76" i="3"/>
  <c r="DN49" i="3"/>
  <c r="DO49" i="3" s="1"/>
  <c r="DP49" i="3"/>
  <c r="DN84" i="3"/>
  <c r="DO84" i="3" s="1"/>
  <c r="DP84" i="3"/>
  <c r="DP71" i="3"/>
  <c r="DN71" i="3"/>
  <c r="DO71" i="3" s="1"/>
  <c r="DC73" i="3"/>
  <c r="DC126" i="3"/>
  <c r="DN110" i="3"/>
  <c r="DO110" i="3" s="1"/>
  <c r="DP110" i="3"/>
  <c r="DP76" i="3"/>
  <c r="DN76" i="3"/>
  <c r="DO76" i="3" s="1"/>
  <c r="EA54" i="3"/>
  <c r="EN54" i="3"/>
  <c r="EA74" i="3"/>
  <c r="EN74" i="3"/>
  <c r="EA93" i="3"/>
  <c r="EN93" i="3"/>
  <c r="DC50" i="3"/>
  <c r="DN74" i="3"/>
  <c r="DO74" i="3" s="1"/>
  <c r="DP74" i="3"/>
  <c r="DP63" i="3"/>
  <c r="DN63" i="3"/>
  <c r="DO63" i="3" s="1"/>
  <c r="DC36" i="3"/>
  <c r="EA56" i="3"/>
  <c r="EN56" i="3"/>
  <c r="EA47" i="3"/>
  <c r="EN47" i="3"/>
  <c r="DP78" i="3"/>
  <c r="DN78" i="3"/>
  <c r="DO78" i="3" s="1"/>
  <c r="DP60" i="3"/>
  <c r="DN60" i="3"/>
  <c r="DO60" i="3" s="1"/>
  <c r="DC131" i="3"/>
  <c r="DC105" i="3"/>
  <c r="EA130" i="3"/>
  <c r="EN130" i="3"/>
  <c r="EA95" i="3"/>
  <c r="EN95" i="3"/>
  <c r="EN39" i="3"/>
  <c r="EA39" i="3"/>
  <c r="EA79" i="3"/>
  <c r="EN79" i="3"/>
  <c r="EA127" i="3"/>
  <c r="EN127" i="3"/>
  <c r="DN95" i="3"/>
  <c r="DO95" i="3" s="1"/>
  <c r="DP95" i="3"/>
  <c r="DN39" i="3"/>
  <c r="DO39" i="3" s="1"/>
  <c r="DP39" i="3"/>
  <c r="DC108" i="3"/>
  <c r="DP107" i="3"/>
  <c r="DN107" i="3"/>
  <c r="DO107" i="3" s="1"/>
  <c r="EA128" i="3"/>
  <c r="EN128" i="3"/>
  <c r="DN102" i="3"/>
  <c r="DO102" i="3" s="1"/>
  <c r="DP102" i="3"/>
  <c r="DP115" i="3"/>
  <c r="DN115" i="3"/>
  <c r="DO115" i="3" s="1"/>
  <c r="EA121" i="3"/>
  <c r="EN121" i="3"/>
  <c r="EA124" i="3"/>
  <c r="EN124" i="3"/>
  <c r="DC120" i="3"/>
  <c r="DN128" i="3"/>
  <c r="DO128" i="3" s="1"/>
  <c r="DP128" i="3"/>
  <c r="DQ128" i="3" s="1"/>
  <c r="EA103" i="3"/>
  <c r="EN103" i="3"/>
  <c r="DN89" i="3"/>
  <c r="DO89" i="3" s="1"/>
  <c r="DP89" i="3"/>
  <c r="EA133" i="3"/>
  <c r="EN133" i="3"/>
  <c r="DC109" i="3"/>
  <c r="EA117" i="3"/>
  <c r="EN117" i="3"/>
  <c r="DN129" i="3"/>
  <c r="DO129" i="3" s="1"/>
  <c r="DP129" i="3"/>
  <c r="DP44" i="3"/>
  <c r="DN44" i="3"/>
  <c r="DO44" i="3" s="1"/>
  <c r="EA42" i="3"/>
  <c r="EN42" i="3"/>
  <c r="EA68" i="3"/>
  <c r="EN68" i="3"/>
  <c r="DN99" i="3"/>
  <c r="DO99" i="3" s="1"/>
  <c r="DP99" i="3"/>
  <c r="DC91" i="3"/>
  <c r="DN68" i="3"/>
  <c r="DO68" i="3" s="1"/>
  <c r="DP68" i="3"/>
  <c r="EA73" i="3"/>
  <c r="EN73" i="3"/>
  <c r="EA85" i="3"/>
  <c r="EN85" i="3"/>
  <c r="DN45" i="3"/>
  <c r="DO45" i="3" s="1"/>
  <c r="DP45" i="3"/>
  <c r="DP65" i="3"/>
  <c r="DN65" i="3"/>
  <c r="DO65" i="3" s="1"/>
  <c r="DN73" i="3"/>
  <c r="DO73" i="3" s="1"/>
  <c r="DP73" i="3"/>
  <c r="EN126" i="3"/>
  <c r="EA126" i="3"/>
  <c r="EN65" i="3"/>
  <c r="EA65" i="3"/>
  <c r="DN126" i="3"/>
  <c r="DO126" i="3" s="1"/>
  <c r="DP126" i="3"/>
  <c r="EA105" i="3"/>
  <c r="EN105" i="3"/>
  <c r="DC128" i="3"/>
  <c r="DP66" i="3"/>
  <c r="DN66" i="3"/>
  <c r="DO66" i="3" s="1"/>
  <c r="DP105" i="3"/>
  <c r="DN105" i="3"/>
  <c r="DO105" i="3" s="1"/>
  <c r="DN83" i="3"/>
  <c r="DO83" i="3" s="1"/>
  <c r="DP83" i="3"/>
  <c r="DC95" i="3"/>
  <c r="EA77" i="3"/>
  <c r="EN77" i="3"/>
  <c r="EA90" i="3"/>
  <c r="EN90" i="3"/>
  <c r="DC82" i="3"/>
  <c r="EN53" i="3"/>
  <c r="EA53" i="3"/>
  <c r="EA88" i="3"/>
  <c r="EN88" i="3"/>
  <c r="EA100" i="3"/>
  <c r="EN100" i="3"/>
  <c r="DN88" i="3"/>
  <c r="DO88" i="3" s="1"/>
  <c r="DP88" i="3"/>
  <c r="DC61" i="3"/>
  <c r="DC48" i="3"/>
  <c r="DC118" i="3"/>
  <c r="DP82" i="3"/>
  <c r="DN82" i="3"/>
  <c r="DO82" i="3" s="1"/>
  <c r="DC41" i="3"/>
  <c r="DC54" i="3"/>
  <c r="K39" i="3"/>
  <c r="L39" i="3" s="1"/>
  <c r="M39" i="3" s="1"/>
  <c r="O38" i="3"/>
  <c r="J40" i="2"/>
  <c r="N40" i="2" s="1"/>
  <c r="O40" i="2"/>
  <c r="AQ112" i="2"/>
  <c r="AR112" i="2" s="1"/>
  <c r="AS112" i="2" s="1"/>
  <c r="AP113" i="2"/>
  <c r="AN114" i="2"/>
  <c r="AO114" i="2" s="1"/>
  <c r="DQ42" i="3" l="1"/>
  <c r="DQ110" i="3"/>
  <c r="DQ133" i="3"/>
  <c r="DQ70" i="3"/>
  <c r="DQ125" i="3"/>
  <c r="DQ52" i="3"/>
  <c r="DQ86" i="3"/>
  <c r="DQ108" i="3"/>
  <c r="DQ88" i="3"/>
  <c r="DQ119" i="3"/>
  <c r="DQ124" i="3"/>
  <c r="DQ69" i="3"/>
  <c r="DQ111" i="3"/>
  <c r="DQ68" i="3"/>
  <c r="DQ89" i="3"/>
  <c r="DQ95" i="3"/>
  <c r="DQ49" i="3"/>
  <c r="DQ67" i="3"/>
  <c r="DQ132" i="3"/>
  <c r="DQ106" i="3"/>
  <c r="DQ45" i="3"/>
  <c r="DQ39" i="3"/>
  <c r="DQ84" i="3"/>
  <c r="DQ101" i="3"/>
  <c r="DQ131" i="3"/>
  <c r="DQ51" i="3"/>
  <c r="DQ34" i="3"/>
  <c r="DQ114" i="3"/>
  <c r="DQ134" i="3"/>
  <c r="DQ75" i="3"/>
  <c r="DQ48" i="3"/>
  <c r="DQ50" i="3"/>
  <c r="DQ54" i="3"/>
  <c r="DQ96" i="3"/>
  <c r="DQ116" i="3"/>
  <c r="DQ63" i="3"/>
  <c r="DQ85" i="3"/>
  <c r="DQ46" i="3"/>
  <c r="DQ127" i="3"/>
  <c r="DQ40" i="3"/>
  <c r="DQ74" i="3"/>
  <c r="DQ64" i="3"/>
  <c r="DQ35" i="3"/>
  <c r="DQ99" i="3"/>
  <c r="DQ117" i="3"/>
  <c r="DQ37" i="3"/>
  <c r="DQ109" i="3"/>
  <c r="DQ121" i="3"/>
  <c r="DQ94" i="3"/>
  <c r="DQ44" i="3"/>
  <c r="DQ130" i="3"/>
  <c r="DQ56" i="3"/>
  <c r="DQ126" i="3"/>
  <c r="DQ129" i="3"/>
  <c r="DQ81" i="3"/>
  <c r="DQ113" i="3"/>
  <c r="DQ73" i="3"/>
  <c r="DQ123" i="3"/>
  <c r="ED73" i="3"/>
  <c r="EB73" i="3"/>
  <c r="EC73" i="3" s="1"/>
  <c r="ED63" i="3"/>
  <c r="EB63" i="3"/>
  <c r="EC63" i="3" s="1"/>
  <c r="DQ38" i="3"/>
  <c r="EO39" i="3"/>
  <c r="FB39" i="3"/>
  <c r="EO61" i="3"/>
  <c r="FB61" i="3"/>
  <c r="EO105" i="3"/>
  <c r="FB105" i="3"/>
  <c r="EO68" i="3"/>
  <c r="FB68" i="3"/>
  <c r="EB119" i="3"/>
  <c r="EC119" i="3" s="1"/>
  <c r="ED119" i="3"/>
  <c r="ED104" i="3"/>
  <c r="EB104" i="3"/>
  <c r="EC104" i="3" s="1"/>
  <c r="EB42" i="3"/>
  <c r="EC42" i="3" s="1"/>
  <c r="ED42" i="3"/>
  <c r="FB131" i="3"/>
  <c r="EO131" i="3"/>
  <c r="EO64" i="3"/>
  <c r="FB64" i="3"/>
  <c r="DQ90" i="3"/>
  <c r="EO129" i="3"/>
  <c r="FB129" i="3"/>
  <c r="DQ79" i="3"/>
  <c r="EB122" i="3"/>
  <c r="EC122" i="3" s="1"/>
  <c r="ED122" i="3"/>
  <c r="EO97" i="3"/>
  <c r="FB97" i="3"/>
  <c r="EB62" i="3"/>
  <c r="EC62" i="3" s="1"/>
  <c r="ED62" i="3"/>
  <c r="DQ47" i="3"/>
  <c r="EO88" i="3"/>
  <c r="FB88" i="3"/>
  <c r="FB65" i="3"/>
  <c r="EO65" i="3"/>
  <c r="DQ102" i="3"/>
  <c r="DQ76" i="3"/>
  <c r="ED131" i="3"/>
  <c r="EB131" i="3"/>
  <c r="EC131" i="3" s="1"/>
  <c r="EB64" i="3"/>
  <c r="EC64" i="3" s="1"/>
  <c r="ED64" i="3"/>
  <c r="DQ77" i="3"/>
  <c r="ED129" i="3"/>
  <c r="EB129" i="3"/>
  <c r="EC129" i="3" s="1"/>
  <c r="DQ43" i="3"/>
  <c r="DQ92" i="3"/>
  <c r="DQ72" i="3"/>
  <c r="EO122" i="3"/>
  <c r="FB122" i="3"/>
  <c r="DQ55" i="3"/>
  <c r="EO94" i="3"/>
  <c r="FB94" i="3"/>
  <c r="DQ97" i="3"/>
  <c r="FB120" i="3"/>
  <c r="EO120" i="3"/>
  <c r="DQ61" i="3"/>
  <c r="EO115" i="3"/>
  <c r="FB115" i="3"/>
  <c r="EO121" i="3"/>
  <c r="FB121" i="3"/>
  <c r="FB100" i="3"/>
  <c r="EO100" i="3"/>
  <c r="EO53" i="3"/>
  <c r="FB53" i="3"/>
  <c r="EO67" i="3"/>
  <c r="FB67" i="3"/>
  <c r="EB83" i="3"/>
  <c r="EC83" i="3" s="1"/>
  <c r="ED83" i="3"/>
  <c r="EO51" i="3"/>
  <c r="FB51" i="3"/>
  <c r="ED44" i="3"/>
  <c r="EB44" i="3"/>
  <c r="EC44" i="3" s="1"/>
  <c r="DQ36" i="3"/>
  <c r="EB58" i="3"/>
  <c r="EC58" i="3" s="1"/>
  <c r="ED58" i="3"/>
  <c r="ED46" i="3"/>
  <c r="EB46" i="3"/>
  <c r="EC46" i="3" s="1"/>
  <c r="EO60" i="3"/>
  <c r="FB60" i="3"/>
  <c r="EO72" i="3"/>
  <c r="FB72" i="3"/>
  <c r="EO132" i="3"/>
  <c r="FB132" i="3"/>
  <c r="EB120" i="3"/>
  <c r="EC120" i="3" s="1"/>
  <c r="ED120" i="3"/>
  <c r="DQ122" i="3"/>
  <c r="EB91" i="3"/>
  <c r="EC91" i="3" s="1"/>
  <c r="ED91" i="3"/>
  <c r="EO78" i="3"/>
  <c r="FB78" i="3"/>
  <c r="ED106" i="3"/>
  <c r="EB106" i="3"/>
  <c r="EC106" i="3" s="1"/>
  <c r="EB75" i="3"/>
  <c r="EC75" i="3" s="1"/>
  <c r="ED75" i="3"/>
  <c r="EO70" i="3"/>
  <c r="FB70" i="3"/>
  <c r="EO108" i="3"/>
  <c r="FB108" i="3"/>
  <c r="EO83" i="3"/>
  <c r="FB83" i="3"/>
  <c r="EO89" i="3"/>
  <c r="FB89" i="3"/>
  <c r="EO99" i="3"/>
  <c r="FB99" i="3"/>
  <c r="DQ100" i="3"/>
  <c r="EO50" i="3"/>
  <c r="FB50" i="3"/>
  <c r="ED60" i="3"/>
  <c r="EB60" i="3"/>
  <c r="EC60" i="3" s="1"/>
  <c r="EB72" i="3"/>
  <c r="EC72" i="3" s="1"/>
  <c r="ED72" i="3"/>
  <c r="DQ104" i="3"/>
  <c r="ED103" i="3"/>
  <c r="EB103" i="3"/>
  <c r="EC103" i="3" s="1"/>
  <c r="FB87" i="3"/>
  <c r="EO87" i="3"/>
  <c r="EB45" i="3"/>
  <c r="EC45" i="3" s="1"/>
  <c r="ED45" i="3"/>
  <c r="EB79" i="3"/>
  <c r="EC79" i="3" s="1"/>
  <c r="ED79" i="3"/>
  <c r="EO37" i="3"/>
  <c r="FB37" i="3"/>
  <c r="ED37" i="3"/>
  <c r="EB37" i="3"/>
  <c r="EC37" i="3" s="1"/>
  <c r="ED57" i="3"/>
  <c r="EB57" i="3"/>
  <c r="EC57" i="3" s="1"/>
  <c r="DQ41" i="3"/>
  <c r="DQ53" i="3"/>
  <c r="ED88" i="3"/>
  <c r="EB88" i="3"/>
  <c r="EC88" i="3" s="1"/>
  <c r="EB67" i="3"/>
  <c r="EC67" i="3" s="1"/>
  <c r="ED67" i="3"/>
  <c r="EO109" i="3"/>
  <c r="FB109" i="3"/>
  <c r="ED47" i="3"/>
  <c r="EB47" i="3"/>
  <c r="EC47" i="3" s="1"/>
  <c r="EB108" i="3"/>
  <c r="EC108" i="3" s="1"/>
  <c r="ED108" i="3"/>
  <c r="EO81" i="3"/>
  <c r="FB81" i="3"/>
  <c r="DQ93" i="3"/>
  <c r="EB89" i="3"/>
  <c r="EC89" i="3" s="1"/>
  <c r="ED89" i="3"/>
  <c r="EB99" i="3"/>
  <c r="EC99" i="3" s="1"/>
  <c r="ED99" i="3"/>
  <c r="DQ87" i="3"/>
  <c r="EB50" i="3"/>
  <c r="EC50" i="3" s="1"/>
  <c r="ED50" i="3"/>
  <c r="EB98" i="3"/>
  <c r="EC98" i="3" s="1"/>
  <c r="ED98" i="3"/>
  <c r="EB111" i="3"/>
  <c r="EC111" i="3" s="1"/>
  <c r="ED111" i="3"/>
  <c r="DQ82" i="3"/>
  <c r="ED86" i="3"/>
  <c r="EB86" i="3"/>
  <c r="EC86" i="3" s="1"/>
  <c r="EO95" i="3"/>
  <c r="FB95" i="3"/>
  <c r="ED115" i="3"/>
  <c r="EB115" i="3"/>
  <c r="EC115" i="3" s="1"/>
  <c r="EO62" i="3"/>
  <c r="FB62" i="3"/>
  <c r="EB78" i="3"/>
  <c r="EC78" i="3" s="1"/>
  <c r="ED78" i="3"/>
  <c r="ED59" i="3"/>
  <c r="EB59" i="3"/>
  <c r="EC59" i="3" s="1"/>
  <c r="FB58" i="3"/>
  <c r="EO58" i="3"/>
  <c r="EO47" i="3"/>
  <c r="FB47" i="3"/>
  <c r="FB133" i="3"/>
  <c r="EO133" i="3"/>
  <c r="EO56" i="3"/>
  <c r="FB56" i="3"/>
  <c r="EO80" i="3"/>
  <c r="FB80" i="3"/>
  <c r="ED81" i="3"/>
  <c r="EB81" i="3"/>
  <c r="EC81" i="3" s="1"/>
  <c r="FB43" i="3"/>
  <c r="EO43" i="3"/>
  <c r="EO98" i="3"/>
  <c r="FB98" i="3"/>
  <c r="EO111" i="3"/>
  <c r="FB111" i="3"/>
  <c r="ED134" i="3"/>
  <c r="EB134" i="3"/>
  <c r="EC134" i="3" s="1"/>
  <c r="DQ59" i="3"/>
  <c r="ED82" i="3"/>
  <c r="EB82" i="3"/>
  <c r="EC82" i="3" s="1"/>
  <c r="DQ91" i="3"/>
  <c r="EO69" i="3"/>
  <c r="FB69" i="3"/>
  <c r="DQ80" i="3"/>
  <c r="EB54" i="3"/>
  <c r="EC54" i="3" s="1"/>
  <c r="ED54" i="3"/>
  <c r="EO119" i="3"/>
  <c r="FB119" i="3"/>
  <c r="ED128" i="3"/>
  <c r="EB128" i="3"/>
  <c r="EC128" i="3" s="1"/>
  <c r="EO46" i="3"/>
  <c r="FB46" i="3"/>
  <c r="EO90" i="3"/>
  <c r="FB90" i="3"/>
  <c r="EB77" i="3"/>
  <c r="EC77" i="3" s="1"/>
  <c r="ED77" i="3"/>
  <c r="EB43" i="3"/>
  <c r="EC43" i="3" s="1"/>
  <c r="ED43" i="3"/>
  <c r="EO92" i="3"/>
  <c r="FB92" i="3"/>
  <c r="DQ62" i="3"/>
  <c r="EO55" i="3"/>
  <c r="FB55" i="3"/>
  <c r="FB38" i="3"/>
  <c r="EO38" i="3"/>
  <c r="DQ105" i="3"/>
  <c r="EO35" i="3"/>
  <c r="FB35" i="3"/>
  <c r="EO110" i="3"/>
  <c r="FB110" i="3"/>
  <c r="EO123" i="3"/>
  <c r="FB123" i="3"/>
  <c r="EB105" i="3"/>
  <c r="EC105" i="3" s="1"/>
  <c r="ED105" i="3"/>
  <c r="EB125" i="3"/>
  <c r="EC125" i="3" s="1"/>
  <c r="ED125" i="3"/>
  <c r="EB97" i="3"/>
  <c r="EC97" i="3" s="1"/>
  <c r="ED97" i="3"/>
  <c r="EB126" i="3"/>
  <c r="EC126" i="3" s="1"/>
  <c r="ED126" i="3"/>
  <c r="EB53" i="3"/>
  <c r="EC53" i="3" s="1"/>
  <c r="ED53" i="3"/>
  <c r="EO75" i="3"/>
  <c r="FB75" i="3"/>
  <c r="ED51" i="3"/>
  <c r="EB51" i="3"/>
  <c r="EC51" i="3" s="1"/>
  <c r="EO107" i="3"/>
  <c r="FB107" i="3"/>
  <c r="EO59" i="3"/>
  <c r="FB59" i="3"/>
  <c r="DQ65" i="3"/>
  <c r="EO85" i="3"/>
  <c r="FB85" i="3"/>
  <c r="DQ120" i="3"/>
  <c r="EO34" i="3"/>
  <c r="FB34" i="3"/>
  <c r="EO113" i="3"/>
  <c r="FB113" i="3"/>
  <c r="EB92" i="3"/>
  <c r="EC92" i="3" s="1"/>
  <c r="ED92" i="3"/>
  <c r="ED55" i="3"/>
  <c r="EB55" i="3"/>
  <c r="EC55" i="3" s="1"/>
  <c r="ED38" i="3"/>
  <c r="EB38" i="3"/>
  <c r="EC38" i="3" s="1"/>
  <c r="EB127" i="3"/>
  <c r="EC127" i="3" s="1"/>
  <c r="ED127" i="3"/>
  <c r="ED76" i="3"/>
  <c r="EB76" i="3"/>
  <c r="EC76" i="3" s="1"/>
  <c r="EB40" i="3"/>
  <c r="EC40" i="3" s="1"/>
  <c r="ED40" i="3"/>
  <c r="EO45" i="3"/>
  <c r="FB45" i="3"/>
  <c r="ED114" i="3"/>
  <c r="EB114" i="3"/>
  <c r="EC114" i="3" s="1"/>
  <c r="EO79" i="3"/>
  <c r="FB79" i="3"/>
  <c r="ED110" i="3"/>
  <c r="EB110" i="3"/>
  <c r="EC110" i="3" s="1"/>
  <c r="EO82" i="3"/>
  <c r="FB82" i="3"/>
  <c r="EB132" i="3"/>
  <c r="EC132" i="3" s="1"/>
  <c r="ED132" i="3"/>
  <c r="DQ58" i="3"/>
  <c r="DQ103" i="3"/>
  <c r="EB35" i="3"/>
  <c r="EC35" i="3" s="1"/>
  <c r="ED35" i="3"/>
  <c r="DQ66" i="3"/>
  <c r="EB39" i="3"/>
  <c r="EC39" i="3" s="1"/>
  <c r="ED39" i="3"/>
  <c r="FB41" i="3"/>
  <c r="EO41" i="3"/>
  <c r="EB84" i="3"/>
  <c r="EC84" i="3" s="1"/>
  <c r="ED84" i="3"/>
  <c r="EO86" i="3"/>
  <c r="FB86" i="3"/>
  <c r="EO124" i="3"/>
  <c r="FB124" i="3"/>
  <c r="EB123" i="3"/>
  <c r="EC123" i="3" s="1"/>
  <c r="ED123" i="3"/>
  <c r="EB124" i="3"/>
  <c r="EC124" i="3" s="1"/>
  <c r="ED124" i="3"/>
  <c r="EO125" i="3"/>
  <c r="FB125" i="3"/>
  <c r="EB61" i="3"/>
  <c r="EC61" i="3" s="1"/>
  <c r="ED61" i="3"/>
  <c r="EB95" i="3"/>
  <c r="EC95" i="3" s="1"/>
  <c r="ED95" i="3"/>
  <c r="EB69" i="3"/>
  <c r="EC69" i="3" s="1"/>
  <c r="ED69" i="3"/>
  <c r="EO116" i="3"/>
  <c r="FB116" i="3"/>
  <c r="EO96" i="3"/>
  <c r="FB96" i="3"/>
  <c r="ED121" i="3"/>
  <c r="EB121" i="3"/>
  <c r="EC121" i="3" s="1"/>
  <c r="EO130" i="3"/>
  <c r="FB130" i="3"/>
  <c r="EO54" i="3"/>
  <c r="FB54" i="3"/>
  <c r="FB71" i="3"/>
  <c r="EO71" i="3"/>
  <c r="EO118" i="3"/>
  <c r="FB118" i="3"/>
  <c r="EO104" i="3"/>
  <c r="FB104" i="3"/>
  <c r="EB116" i="3"/>
  <c r="EC116" i="3" s="1"/>
  <c r="ED116" i="3"/>
  <c r="ED96" i="3"/>
  <c r="EB96" i="3"/>
  <c r="EC96" i="3" s="1"/>
  <c r="EO42" i="3"/>
  <c r="FB42" i="3"/>
  <c r="EB130" i="3"/>
  <c r="EC130" i="3" s="1"/>
  <c r="ED130" i="3"/>
  <c r="ED71" i="3"/>
  <c r="EB71" i="3"/>
  <c r="EC71" i="3" s="1"/>
  <c r="EB100" i="3"/>
  <c r="EC100" i="3" s="1"/>
  <c r="ED100" i="3"/>
  <c r="EB65" i="3"/>
  <c r="EC65" i="3" s="1"/>
  <c r="ED65" i="3"/>
  <c r="DQ115" i="3"/>
  <c r="EO101" i="3"/>
  <c r="FB101" i="3"/>
  <c r="EO106" i="3"/>
  <c r="FB106" i="3"/>
  <c r="ED94" i="3"/>
  <c r="EB94" i="3"/>
  <c r="EC94" i="3" s="1"/>
  <c r="EO126" i="3"/>
  <c r="FB126" i="3"/>
  <c r="EO128" i="3"/>
  <c r="FB128" i="3"/>
  <c r="DQ118" i="3"/>
  <c r="EB101" i="3"/>
  <c r="EC101" i="3" s="1"/>
  <c r="ED101" i="3"/>
  <c r="DQ98" i="3"/>
  <c r="ED107" i="3"/>
  <c r="EB107" i="3"/>
  <c r="EC107" i="3" s="1"/>
  <c r="EO102" i="3"/>
  <c r="FB102" i="3"/>
  <c r="EO44" i="3"/>
  <c r="FB44" i="3"/>
  <c r="EO117" i="3"/>
  <c r="FB117" i="3"/>
  <c r="DQ107" i="3"/>
  <c r="ED90" i="3"/>
  <c r="EB90" i="3"/>
  <c r="EC90" i="3" s="1"/>
  <c r="DQ71" i="3"/>
  <c r="DQ83" i="3"/>
  <c r="EB85" i="3"/>
  <c r="EC85" i="3" s="1"/>
  <c r="ED85" i="3"/>
  <c r="ED112" i="3"/>
  <c r="EB112" i="3"/>
  <c r="EC112" i="3" s="1"/>
  <c r="EO49" i="3"/>
  <c r="FB49" i="3"/>
  <c r="EB34" i="3"/>
  <c r="EC34" i="3" s="1"/>
  <c r="ED34" i="3"/>
  <c r="ED113" i="3"/>
  <c r="EB113" i="3"/>
  <c r="EC113" i="3" s="1"/>
  <c r="EO66" i="3"/>
  <c r="FB66" i="3"/>
  <c r="EO36" i="3"/>
  <c r="FB36" i="3"/>
  <c r="ED52" i="3"/>
  <c r="EB52" i="3"/>
  <c r="EC52" i="3" s="1"/>
  <c r="EO48" i="3"/>
  <c r="FB48" i="3"/>
  <c r="ED87" i="3"/>
  <c r="EB87" i="3"/>
  <c r="EC87" i="3" s="1"/>
  <c r="ED41" i="3"/>
  <c r="EB41" i="3"/>
  <c r="EC41" i="3" s="1"/>
  <c r="EO84" i="3"/>
  <c r="FB84" i="3"/>
  <c r="EO93" i="3"/>
  <c r="FB93" i="3"/>
  <c r="EO57" i="3"/>
  <c r="FB57" i="3"/>
  <c r="EB93" i="3"/>
  <c r="EC93" i="3" s="1"/>
  <c r="ED93" i="3"/>
  <c r="EO74" i="3"/>
  <c r="FB74" i="3"/>
  <c r="DQ112" i="3"/>
  <c r="ED74" i="3"/>
  <c r="EB74" i="3"/>
  <c r="EC74" i="3" s="1"/>
  <c r="EO91" i="3"/>
  <c r="FB91" i="3"/>
  <c r="EB68" i="3"/>
  <c r="EC68" i="3" s="1"/>
  <c r="ED68" i="3"/>
  <c r="EB118" i="3"/>
  <c r="EC118" i="3" s="1"/>
  <c r="ED118" i="3"/>
  <c r="DQ60" i="3"/>
  <c r="EB109" i="3"/>
  <c r="EC109" i="3" s="1"/>
  <c r="ED109" i="3"/>
  <c r="EB102" i="3"/>
  <c r="EC102" i="3" s="1"/>
  <c r="ED102" i="3"/>
  <c r="DQ78" i="3"/>
  <c r="ED117" i="3"/>
  <c r="EB117" i="3"/>
  <c r="EC117" i="3" s="1"/>
  <c r="ED70" i="3"/>
  <c r="EB70" i="3"/>
  <c r="EC70" i="3" s="1"/>
  <c r="EO77" i="3"/>
  <c r="FB77" i="3"/>
  <c r="EB133" i="3"/>
  <c r="EC133" i="3" s="1"/>
  <c r="ED133" i="3"/>
  <c r="EB56" i="3"/>
  <c r="EC56" i="3" s="1"/>
  <c r="ED56" i="3"/>
  <c r="EB80" i="3"/>
  <c r="EC80" i="3" s="1"/>
  <c r="ED80" i="3"/>
  <c r="EO112" i="3"/>
  <c r="FB112" i="3"/>
  <c r="EO73" i="3"/>
  <c r="FB73" i="3"/>
  <c r="EO103" i="3"/>
  <c r="FB103" i="3"/>
  <c r="EO127" i="3"/>
  <c r="FB127" i="3"/>
  <c r="EO76" i="3"/>
  <c r="FB76" i="3"/>
  <c r="EO134" i="3"/>
  <c r="FB134" i="3"/>
  <c r="FB40" i="3"/>
  <c r="EO40" i="3"/>
  <c r="EB49" i="3"/>
  <c r="EC49" i="3" s="1"/>
  <c r="ED49" i="3"/>
  <c r="DQ57" i="3"/>
  <c r="EO63" i="3"/>
  <c r="FB63" i="3"/>
  <c r="EB66" i="3"/>
  <c r="EC66" i="3" s="1"/>
  <c r="ED66" i="3"/>
  <c r="EB36" i="3"/>
  <c r="EC36" i="3" s="1"/>
  <c r="ED36" i="3"/>
  <c r="EO114" i="3"/>
  <c r="FB114" i="3"/>
  <c r="EO52" i="3"/>
  <c r="FB52" i="3"/>
  <c r="EB48" i="3"/>
  <c r="EC48" i="3" s="1"/>
  <c r="ED48" i="3"/>
  <c r="N39" i="3"/>
  <c r="K41" i="2"/>
  <c r="L41" i="2" s="1"/>
  <c r="M41" i="2" s="1"/>
  <c r="J41" i="2"/>
  <c r="N41" i="2"/>
  <c r="K42" i="2" s="1"/>
  <c r="L42" i="2" s="1"/>
  <c r="M42" i="2" s="1"/>
  <c r="O41" i="2"/>
  <c r="J42" i="2"/>
  <c r="N42" i="2" s="1"/>
  <c r="O42" i="2"/>
  <c r="K43" i="2"/>
  <c r="L43" i="2" s="1"/>
  <c r="M43" i="2" s="1"/>
  <c r="AQ113" i="2"/>
  <c r="AR113" i="2" s="1"/>
  <c r="AS113" i="2" s="1"/>
  <c r="AP114" i="2"/>
  <c r="AN115" i="2"/>
  <c r="AO115" i="2" s="1"/>
  <c r="EE126" i="3" l="1"/>
  <c r="EE43" i="3"/>
  <c r="EE45" i="3"/>
  <c r="EE123" i="3"/>
  <c r="EE130" i="3"/>
  <c r="EE39" i="3"/>
  <c r="EE99" i="3"/>
  <c r="EE118" i="3"/>
  <c r="EE93" i="3"/>
  <c r="EE34" i="3"/>
  <c r="EE101" i="3"/>
  <c r="EE69" i="3"/>
  <c r="EE89" i="3"/>
  <c r="EE133" i="3"/>
  <c r="EE62" i="3"/>
  <c r="EE125" i="3"/>
  <c r="EE122" i="3"/>
  <c r="EE67" i="3"/>
  <c r="EE91" i="3"/>
  <c r="EE54" i="3"/>
  <c r="EE98" i="3"/>
  <c r="EE56" i="3"/>
  <c r="EE40" i="3"/>
  <c r="EE116" i="3"/>
  <c r="EE61" i="3"/>
  <c r="EE102" i="3"/>
  <c r="EE85" i="3"/>
  <c r="EE50" i="3"/>
  <c r="EE42" i="3"/>
  <c r="EE88" i="3"/>
  <c r="EE114" i="3"/>
  <c r="EE48" i="3"/>
  <c r="EE109" i="3"/>
  <c r="EE124" i="3"/>
  <c r="EE80" i="3"/>
  <c r="EE66" i="3"/>
  <c r="EE100" i="3"/>
  <c r="EE84" i="3"/>
  <c r="EE49" i="3"/>
  <c r="EE127" i="3"/>
  <c r="EE119" i="3"/>
  <c r="EE35" i="3"/>
  <c r="EE53" i="3"/>
  <c r="EE79" i="3"/>
  <c r="EE134" i="3"/>
  <c r="EE132" i="3"/>
  <c r="EE92" i="3"/>
  <c r="EE97" i="3"/>
  <c r="EE77" i="3"/>
  <c r="EE108" i="3"/>
  <c r="EE75" i="3"/>
  <c r="EE96" i="3"/>
  <c r="EE83" i="3"/>
  <c r="EE87" i="3"/>
  <c r="EE36" i="3"/>
  <c r="EE65" i="3"/>
  <c r="EE120" i="3"/>
  <c r="EE64" i="3"/>
  <c r="FC91" i="3"/>
  <c r="FP91" i="3"/>
  <c r="FC59" i="3"/>
  <c r="FP59" i="3"/>
  <c r="EP44" i="3"/>
  <c r="EQ44" i="3" s="1"/>
  <c r="ER44" i="3"/>
  <c r="FC102" i="3"/>
  <c r="FP102" i="3"/>
  <c r="FC99" i="3"/>
  <c r="FP99" i="3"/>
  <c r="FC66" i="3"/>
  <c r="FP66" i="3"/>
  <c r="FC72" i="3"/>
  <c r="FP72" i="3"/>
  <c r="EP65" i="3"/>
  <c r="EQ65" i="3" s="1"/>
  <c r="ER65" i="3"/>
  <c r="EP55" i="3"/>
  <c r="EQ55" i="3" s="1"/>
  <c r="ER55" i="3"/>
  <c r="FC88" i="3"/>
  <c r="FP88" i="3"/>
  <c r="FC92" i="3"/>
  <c r="FP92" i="3"/>
  <c r="FC40" i="3"/>
  <c r="FP40" i="3"/>
  <c r="EE95" i="3"/>
  <c r="EE38" i="3"/>
  <c r="EP92" i="3"/>
  <c r="EQ92" i="3" s="1"/>
  <c r="ER92" i="3"/>
  <c r="EE78" i="3"/>
  <c r="ER108" i="3"/>
  <c r="EP108" i="3"/>
  <c r="EQ108" i="3" s="1"/>
  <c r="EE58" i="3"/>
  <c r="EP68" i="3"/>
  <c r="EQ68" i="3" s="1"/>
  <c r="ER68" i="3"/>
  <c r="ER117" i="3"/>
  <c r="EP117" i="3"/>
  <c r="EQ117" i="3" s="1"/>
  <c r="EE131" i="3"/>
  <c r="ER41" i="3"/>
  <c r="EP41" i="3"/>
  <c r="EQ41" i="3" s="1"/>
  <c r="FP65" i="3"/>
  <c r="FC65" i="3"/>
  <c r="EE46" i="3"/>
  <c r="FP134" i="3"/>
  <c r="FC134" i="3"/>
  <c r="FC87" i="3"/>
  <c r="FP87" i="3"/>
  <c r="EE44" i="3"/>
  <c r="FC122" i="3"/>
  <c r="FP122" i="3"/>
  <c r="EP97" i="3"/>
  <c r="EQ97" i="3" s="1"/>
  <c r="ER97" i="3"/>
  <c r="EP61" i="3"/>
  <c r="EQ61" i="3" s="1"/>
  <c r="ER61" i="3"/>
  <c r="ER53" i="3"/>
  <c r="EP53" i="3"/>
  <c r="EQ53" i="3" s="1"/>
  <c r="ER69" i="3"/>
  <c r="EP69" i="3"/>
  <c r="EQ69" i="3" s="1"/>
  <c r="EE51" i="3"/>
  <c r="FC120" i="3"/>
  <c r="FP120" i="3"/>
  <c r="ER70" i="3"/>
  <c r="EP70" i="3"/>
  <c r="EQ70" i="3" s="1"/>
  <c r="EP87" i="3"/>
  <c r="EQ87" i="3" s="1"/>
  <c r="ER87" i="3"/>
  <c r="FP82" i="3"/>
  <c r="FC82" i="3"/>
  <c r="FC51" i="3"/>
  <c r="FP51" i="3"/>
  <c r="ER122" i="3"/>
  <c r="EP122" i="3"/>
  <c r="EQ122" i="3" s="1"/>
  <c r="FC39" i="3"/>
  <c r="FP39" i="3"/>
  <c r="FC130" i="3"/>
  <c r="FP130" i="3"/>
  <c r="FC36" i="3"/>
  <c r="FP36" i="3"/>
  <c r="FC121" i="3"/>
  <c r="FP121" i="3"/>
  <c r="FC115" i="3"/>
  <c r="FP115" i="3"/>
  <c r="FC116" i="3"/>
  <c r="FP116" i="3"/>
  <c r="EE113" i="3"/>
  <c r="FC83" i="3"/>
  <c r="FP83" i="3"/>
  <c r="ER88" i="3"/>
  <c r="EP88" i="3"/>
  <c r="EQ88" i="3" s="1"/>
  <c r="EP81" i="3"/>
  <c r="EQ81" i="3" s="1"/>
  <c r="ER81" i="3"/>
  <c r="ER90" i="3"/>
  <c r="EP90" i="3"/>
  <c r="EQ90" i="3" s="1"/>
  <c r="EE47" i="3"/>
  <c r="EE103" i="3"/>
  <c r="EE106" i="3"/>
  <c r="EP51" i="3"/>
  <c r="EQ51" i="3" s="1"/>
  <c r="ER51" i="3"/>
  <c r="EP39" i="3"/>
  <c r="EQ39" i="3" s="1"/>
  <c r="ER39" i="3"/>
  <c r="FC56" i="3"/>
  <c r="FP56" i="3"/>
  <c r="ER50" i="3"/>
  <c r="EP50" i="3"/>
  <c r="EQ50" i="3" s="1"/>
  <c r="EP59" i="3"/>
  <c r="EQ59" i="3" s="1"/>
  <c r="ER59" i="3"/>
  <c r="FC133" i="3"/>
  <c r="FP133" i="3"/>
  <c r="FC89" i="3"/>
  <c r="FP89" i="3"/>
  <c r="ER58" i="3"/>
  <c r="EP58" i="3"/>
  <c r="EQ58" i="3" s="1"/>
  <c r="EP74" i="3"/>
  <c r="EQ74" i="3" s="1"/>
  <c r="ER74" i="3"/>
  <c r="FC58" i="3"/>
  <c r="FP58" i="3"/>
  <c r="FC97" i="3"/>
  <c r="FP97" i="3"/>
  <c r="FC84" i="3"/>
  <c r="FP84" i="3"/>
  <c r="EP98" i="3"/>
  <c r="EQ98" i="3" s="1"/>
  <c r="ER98" i="3"/>
  <c r="FP103" i="3"/>
  <c r="FC103" i="3"/>
  <c r="FC34" i="3"/>
  <c r="FP34" i="3"/>
  <c r="EE105" i="3"/>
  <c r="FP46" i="3"/>
  <c r="FC46" i="3"/>
  <c r="FP43" i="3"/>
  <c r="FC43" i="3"/>
  <c r="ER95" i="3"/>
  <c r="EP95" i="3"/>
  <c r="EQ95" i="3" s="1"/>
  <c r="FP109" i="3"/>
  <c r="FC109" i="3"/>
  <c r="FC78" i="3"/>
  <c r="FP78" i="3"/>
  <c r="FP63" i="3"/>
  <c r="FC63" i="3"/>
  <c r="ER99" i="3"/>
  <c r="EP99" i="3"/>
  <c r="EQ99" i="3" s="1"/>
  <c r="ER47" i="3"/>
  <c r="EP47" i="3"/>
  <c r="EQ47" i="3" s="1"/>
  <c r="EE37" i="3"/>
  <c r="EE59" i="3"/>
  <c r="ER93" i="3"/>
  <c r="EP93" i="3"/>
  <c r="EQ93" i="3" s="1"/>
  <c r="ER76" i="3"/>
  <c r="EP76" i="3"/>
  <c r="EQ76" i="3" s="1"/>
  <c r="FC104" i="3"/>
  <c r="FP104" i="3"/>
  <c r="ER82" i="3"/>
  <c r="EP82" i="3"/>
  <c r="EQ82" i="3" s="1"/>
  <c r="ER109" i="3"/>
  <c r="EP109" i="3"/>
  <c r="EQ109" i="3" s="1"/>
  <c r="EE72" i="3"/>
  <c r="ER78" i="3"/>
  <c r="EP78" i="3"/>
  <c r="EQ78" i="3" s="1"/>
  <c r="FC129" i="3"/>
  <c r="FP129" i="3"/>
  <c r="FC50" i="3"/>
  <c r="FP50" i="3"/>
  <c r="FC100" i="3"/>
  <c r="FP100" i="3"/>
  <c r="ER121" i="3"/>
  <c r="EP121" i="3"/>
  <c r="EQ121" i="3" s="1"/>
  <c r="FC41" i="3"/>
  <c r="FP41" i="3"/>
  <c r="EP89" i="3"/>
  <c r="EQ89" i="3" s="1"/>
  <c r="ER89" i="3"/>
  <c r="ER37" i="3"/>
  <c r="EP37" i="3"/>
  <c r="EQ37" i="3" s="1"/>
  <c r="ER42" i="3"/>
  <c r="EP42" i="3"/>
  <c r="EQ42" i="3" s="1"/>
  <c r="FC108" i="3"/>
  <c r="FP108" i="3"/>
  <c r="FC62" i="3"/>
  <c r="FP62" i="3"/>
  <c r="EP104" i="3"/>
  <c r="EQ104" i="3" s="1"/>
  <c r="ER104" i="3"/>
  <c r="FC118" i="3"/>
  <c r="FP118" i="3"/>
  <c r="EE81" i="3"/>
  <c r="FC67" i="3"/>
  <c r="FP67" i="3"/>
  <c r="EP129" i="3"/>
  <c r="EQ129" i="3" s="1"/>
  <c r="ER129" i="3"/>
  <c r="EE63" i="3"/>
  <c r="EP112" i="3"/>
  <c r="EQ112" i="3" s="1"/>
  <c r="ER112" i="3"/>
  <c r="FC86" i="3"/>
  <c r="FP86" i="3"/>
  <c r="ER100" i="3"/>
  <c r="EP100" i="3"/>
  <c r="EQ100" i="3" s="1"/>
  <c r="EE117" i="3"/>
  <c r="FP76" i="3"/>
  <c r="FC76" i="3"/>
  <c r="FC90" i="3"/>
  <c r="FP90" i="3"/>
  <c r="EE94" i="3"/>
  <c r="EP43" i="3"/>
  <c r="EQ43" i="3" s="1"/>
  <c r="ER43" i="3"/>
  <c r="EE41" i="3"/>
  <c r="EP118" i="3"/>
  <c r="EQ118" i="3" s="1"/>
  <c r="ER118" i="3"/>
  <c r="FC52" i="3"/>
  <c r="FP52" i="3"/>
  <c r="ER106" i="3"/>
  <c r="EP106" i="3"/>
  <c r="EQ106" i="3" s="1"/>
  <c r="FC124" i="3"/>
  <c r="FP124" i="3"/>
  <c r="FC85" i="3"/>
  <c r="FP85" i="3"/>
  <c r="EP123" i="3"/>
  <c r="EQ123" i="3" s="1"/>
  <c r="ER123" i="3"/>
  <c r="EE128" i="3"/>
  <c r="FC80" i="3"/>
  <c r="FP80" i="3"/>
  <c r="ER67" i="3"/>
  <c r="EP67" i="3"/>
  <c r="EQ67" i="3" s="1"/>
  <c r="EE129" i="3"/>
  <c r="ER110" i="3"/>
  <c r="EP110" i="3"/>
  <c r="EQ110" i="3" s="1"/>
  <c r="EP119" i="3"/>
  <c r="EQ119" i="3" s="1"/>
  <c r="ER119" i="3"/>
  <c r="EP64" i="3"/>
  <c r="EQ64" i="3" s="1"/>
  <c r="ER64" i="3"/>
  <c r="EE52" i="3"/>
  <c r="FP44" i="3"/>
  <c r="FC44" i="3"/>
  <c r="ER130" i="3"/>
  <c r="EP130" i="3"/>
  <c r="EQ130" i="3" s="1"/>
  <c r="EP86" i="3"/>
  <c r="EQ86" i="3" s="1"/>
  <c r="ER86" i="3"/>
  <c r="FC45" i="3"/>
  <c r="FP45" i="3"/>
  <c r="FP35" i="3"/>
  <c r="FC35" i="3"/>
  <c r="ER56" i="3"/>
  <c r="EP56" i="3"/>
  <c r="EQ56" i="3" s="1"/>
  <c r="EP131" i="3"/>
  <c r="EQ131" i="3" s="1"/>
  <c r="ER131" i="3"/>
  <c r="ER91" i="3"/>
  <c r="EP91" i="3"/>
  <c r="EQ91" i="3" s="1"/>
  <c r="ER45" i="3"/>
  <c r="EP45" i="3"/>
  <c r="EQ45" i="3" s="1"/>
  <c r="EP35" i="3"/>
  <c r="EQ35" i="3" s="1"/>
  <c r="ER35" i="3"/>
  <c r="ER133" i="3"/>
  <c r="EP133" i="3"/>
  <c r="EQ133" i="3" s="1"/>
  <c r="FC132" i="3"/>
  <c r="FP132" i="3"/>
  <c r="FP131" i="3"/>
  <c r="FC131" i="3"/>
  <c r="ER36" i="3"/>
  <c r="EP36" i="3"/>
  <c r="EQ36" i="3" s="1"/>
  <c r="EE121" i="3"/>
  <c r="FC107" i="3"/>
  <c r="FP107" i="3"/>
  <c r="ER132" i="3"/>
  <c r="EP132" i="3"/>
  <c r="EQ132" i="3" s="1"/>
  <c r="EE74" i="3"/>
  <c r="EP102" i="3"/>
  <c r="EQ102" i="3" s="1"/>
  <c r="ER102" i="3"/>
  <c r="FC96" i="3"/>
  <c r="FP96" i="3"/>
  <c r="ER107" i="3"/>
  <c r="EP107" i="3"/>
  <c r="EQ107" i="3" s="1"/>
  <c r="EP38" i="3"/>
  <c r="EQ38" i="3" s="1"/>
  <c r="ER38" i="3"/>
  <c r="FC69" i="3"/>
  <c r="FP69" i="3"/>
  <c r="FP47" i="3"/>
  <c r="FC47" i="3"/>
  <c r="EE57" i="3"/>
  <c r="ER63" i="3"/>
  <c r="EP63" i="3"/>
  <c r="EQ63" i="3" s="1"/>
  <c r="EP66" i="3"/>
  <c r="EQ66" i="3" s="1"/>
  <c r="ER66" i="3"/>
  <c r="EE71" i="3"/>
  <c r="ER96" i="3"/>
  <c r="EP96" i="3"/>
  <c r="EQ96" i="3" s="1"/>
  <c r="FC38" i="3"/>
  <c r="FP38" i="3"/>
  <c r="ER72" i="3"/>
  <c r="EP72" i="3"/>
  <c r="EQ72" i="3" s="1"/>
  <c r="FP74" i="3"/>
  <c r="FC74" i="3"/>
  <c r="EE107" i="3"/>
  <c r="EE76" i="3"/>
  <c r="FC55" i="3"/>
  <c r="FP55" i="3"/>
  <c r="FP60" i="3"/>
  <c r="FC60" i="3"/>
  <c r="ER115" i="3"/>
  <c r="EP115" i="3"/>
  <c r="EQ115" i="3" s="1"/>
  <c r="EE104" i="3"/>
  <c r="FC77" i="3"/>
  <c r="FP77" i="3"/>
  <c r="EP116" i="3"/>
  <c r="EQ116" i="3" s="1"/>
  <c r="ER116" i="3"/>
  <c r="FC75" i="3"/>
  <c r="FP75" i="3"/>
  <c r="FC37" i="3"/>
  <c r="FP37" i="3"/>
  <c r="EP60" i="3"/>
  <c r="EQ60" i="3" s="1"/>
  <c r="ER60" i="3"/>
  <c r="ER77" i="3"/>
  <c r="EP77" i="3"/>
  <c r="EQ77" i="3" s="1"/>
  <c r="FC42" i="3"/>
  <c r="FP42" i="3"/>
  <c r="ER75" i="3"/>
  <c r="EP75" i="3"/>
  <c r="EQ75" i="3" s="1"/>
  <c r="EE82" i="3"/>
  <c r="ER83" i="3"/>
  <c r="EP83" i="3"/>
  <c r="EQ83" i="3" s="1"/>
  <c r="ER120" i="3"/>
  <c r="EP120" i="3"/>
  <c r="EQ120" i="3" s="1"/>
  <c r="ER40" i="3"/>
  <c r="EP40" i="3"/>
  <c r="EQ40" i="3" s="1"/>
  <c r="FC68" i="3"/>
  <c r="FP68" i="3"/>
  <c r="EE70" i="3"/>
  <c r="FP57" i="3"/>
  <c r="FC57" i="3"/>
  <c r="FC49" i="3"/>
  <c r="FP49" i="3"/>
  <c r="EP57" i="3"/>
  <c r="EQ57" i="3" s="1"/>
  <c r="ER57" i="3"/>
  <c r="ER49" i="3"/>
  <c r="EP49" i="3"/>
  <c r="EQ49" i="3" s="1"/>
  <c r="FC128" i="3"/>
  <c r="FP128" i="3"/>
  <c r="FP81" i="3"/>
  <c r="FC81" i="3"/>
  <c r="FC70" i="3"/>
  <c r="FP70" i="3"/>
  <c r="FC94" i="3"/>
  <c r="FP94" i="3"/>
  <c r="FC105" i="3"/>
  <c r="FP105" i="3"/>
  <c r="EP134" i="3"/>
  <c r="EQ134" i="3" s="1"/>
  <c r="ER134" i="3"/>
  <c r="FC93" i="3"/>
  <c r="FP93" i="3"/>
  <c r="EP128" i="3"/>
  <c r="EQ128" i="3" s="1"/>
  <c r="ER128" i="3"/>
  <c r="EE55" i="3"/>
  <c r="FC111" i="3"/>
  <c r="FP111" i="3"/>
  <c r="EP94" i="3"/>
  <c r="EQ94" i="3" s="1"/>
  <c r="ER94" i="3"/>
  <c r="EP105" i="3"/>
  <c r="EQ105" i="3" s="1"/>
  <c r="ER105" i="3"/>
  <c r="EE112" i="3"/>
  <c r="FC126" i="3"/>
  <c r="FP126" i="3"/>
  <c r="EP111" i="3"/>
  <c r="EQ111" i="3" s="1"/>
  <c r="ER111" i="3"/>
  <c r="EP62" i="3"/>
  <c r="EQ62" i="3" s="1"/>
  <c r="ER62" i="3"/>
  <c r="FP61" i="3"/>
  <c r="FC61" i="3"/>
  <c r="ER126" i="3"/>
  <c r="EP126" i="3"/>
  <c r="EQ126" i="3" s="1"/>
  <c r="FC125" i="3"/>
  <c r="FP125" i="3"/>
  <c r="FC98" i="3"/>
  <c r="FP98" i="3"/>
  <c r="FC127" i="3"/>
  <c r="FP127" i="3"/>
  <c r="EP84" i="3"/>
  <c r="EQ84" i="3" s="1"/>
  <c r="ER84" i="3"/>
  <c r="EP125" i="3"/>
  <c r="EQ125" i="3" s="1"/>
  <c r="ER125" i="3"/>
  <c r="FC113" i="3"/>
  <c r="FP113" i="3"/>
  <c r="EE115" i="3"/>
  <c r="ER127" i="3"/>
  <c r="EP127" i="3"/>
  <c r="EQ127" i="3" s="1"/>
  <c r="ER113" i="3"/>
  <c r="EP113" i="3"/>
  <c r="EQ113" i="3" s="1"/>
  <c r="FC95" i="3"/>
  <c r="FP95" i="3"/>
  <c r="FC106" i="3"/>
  <c r="FP106" i="3"/>
  <c r="EP103" i="3"/>
  <c r="EQ103" i="3" s="1"/>
  <c r="ER103" i="3"/>
  <c r="EP71" i="3"/>
  <c r="EQ71" i="3" s="1"/>
  <c r="ER71" i="3"/>
  <c r="EE110" i="3"/>
  <c r="ER34" i="3"/>
  <c r="EP34" i="3"/>
  <c r="EQ34" i="3" s="1"/>
  <c r="ER46" i="3"/>
  <c r="EP46" i="3"/>
  <c r="EQ46" i="3" s="1"/>
  <c r="EP52" i="3"/>
  <c r="EQ52" i="3" s="1"/>
  <c r="ER52" i="3"/>
  <c r="FC73" i="3"/>
  <c r="FP73" i="3"/>
  <c r="EE90" i="3"/>
  <c r="FP101" i="3"/>
  <c r="FC101" i="3"/>
  <c r="FC71" i="3"/>
  <c r="FP71" i="3"/>
  <c r="FC79" i="3"/>
  <c r="FP79" i="3"/>
  <c r="FP123" i="3"/>
  <c r="FC123" i="3"/>
  <c r="EE86" i="3"/>
  <c r="FC114" i="3"/>
  <c r="FP114" i="3"/>
  <c r="ER73" i="3"/>
  <c r="EP73" i="3"/>
  <c r="EQ73" i="3" s="1"/>
  <c r="FC48" i="3"/>
  <c r="FP48" i="3"/>
  <c r="EP101" i="3"/>
  <c r="EQ101" i="3" s="1"/>
  <c r="ER101" i="3"/>
  <c r="FC54" i="3"/>
  <c r="FP54" i="3"/>
  <c r="EP79" i="3"/>
  <c r="EQ79" i="3" s="1"/>
  <c r="ER79" i="3"/>
  <c r="ER114" i="3"/>
  <c r="EP114" i="3"/>
  <c r="EQ114" i="3" s="1"/>
  <c r="FC112" i="3"/>
  <c r="FP112" i="3"/>
  <c r="EE68" i="3"/>
  <c r="ER48" i="3"/>
  <c r="EP48" i="3"/>
  <c r="EQ48" i="3" s="1"/>
  <c r="FC117" i="3"/>
  <c r="FP117" i="3"/>
  <c r="EP54" i="3"/>
  <c r="EQ54" i="3" s="1"/>
  <c r="ER54" i="3"/>
  <c r="ER124" i="3"/>
  <c r="EP124" i="3"/>
  <c r="EQ124" i="3" s="1"/>
  <c r="EP85" i="3"/>
  <c r="EQ85" i="3" s="1"/>
  <c r="ER85" i="3"/>
  <c r="FC110" i="3"/>
  <c r="FP110" i="3"/>
  <c r="FC119" i="3"/>
  <c r="FP119" i="3"/>
  <c r="ER80" i="3"/>
  <c r="EP80" i="3"/>
  <c r="EQ80" i="3" s="1"/>
  <c r="EE111" i="3"/>
  <c r="EE60" i="3"/>
  <c r="FC53" i="3"/>
  <c r="FP53" i="3"/>
  <c r="FC64" i="3"/>
  <c r="FP64" i="3"/>
  <c r="EE73" i="3"/>
  <c r="J40" i="3"/>
  <c r="K40" i="3"/>
  <c r="L40" i="3" s="1"/>
  <c r="M40" i="3" s="1"/>
  <c r="O39" i="3"/>
  <c r="J43" i="2"/>
  <c r="N43" i="2" s="1"/>
  <c r="AQ114" i="2"/>
  <c r="AR114" i="2" s="1"/>
  <c r="AS114" i="2" s="1"/>
  <c r="AP115" i="2"/>
  <c r="AN116" i="2"/>
  <c r="AO116" i="2" s="1"/>
  <c r="ES134" i="3" l="1"/>
  <c r="ES94" i="3"/>
  <c r="ES52" i="3"/>
  <c r="ES125" i="3"/>
  <c r="ES102" i="3"/>
  <c r="ES131" i="3"/>
  <c r="ES85" i="3"/>
  <c r="ES116" i="3"/>
  <c r="ES66" i="3"/>
  <c r="ES111" i="3"/>
  <c r="ES64" i="3"/>
  <c r="ES119" i="3"/>
  <c r="ES128" i="3"/>
  <c r="ES98" i="3"/>
  <c r="ES92" i="3"/>
  <c r="ES44" i="3"/>
  <c r="ES43" i="3"/>
  <c r="ES104" i="3"/>
  <c r="ES123" i="3"/>
  <c r="ES129" i="3"/>
  <c r="ES51" i="3"/>
  <c r="ES118" i="3"/>
  <c r="ES74" i="3"/>
  <c r="ES59" i="3"/>
  <c r="ES65" i="3"/>
  <c r="ES71" i="3"/>
  <c r="ES89" i="3"/>
  <c r="ES61" i="3"/>
  <c r="ES38" i="3"/>
  <c r="ES35" i="3"/>
  <c r="ES36" i="3"/>
  <c r="ES105" i="3"/>
  <c r="ES87" i="3"/>
  <c r="ES55" i="3"/>
  <c r="ES110" i="3"/>
  <c r="ES101" i="3"/>
  <c r="ES84" i="3"/>
  <c r="ES57" i="3"/>
  <c r="ES60" i="3"/>
  <c r="ES122" i="3"/>
  <c r="ES39" i="3"/>
  <c r="ES114" i="3"/>
  <c r="ES62" i="3"/>
  <c r="ES97" i="3"/>
  <c r="FF113" i="3"/>
  <c r="FD113" i="3"/>
  <c r="FE113" i="3" s="1"/>
  <c r="FQ62" i="3"/>
  <c r="GD62" i="3"/>
  <c r="FQ54" i="3"/>
  <c r="GD54" i="3"/>
  <c r="FF90" i="3"/>
  <c r="FD90" i="3"/>
  <c r="FE90" i="3" s="1"/>
  <c r="FD119" i="3"/>
  <c r="FE119" i="3" s="1"/>
  <c r="FF119" i="3"/>
  <c r="FF43" i="3"/>
  <c r="FD43" i="3"/>
  <c r="FE43" i="3" s="1"/>
  <c r="FQ80" i="3"/>
  <c r="GD80" i="3"/>
  <c r="FD110" i="3"/>
  <c r="FE110" i="3" s="1"/>
  <c r="FF110" i="3"/>
  <c r="FD133" i="3"/>
  <c r="FE133" i="3" s="1"/>
  <c r="FF133" i="3"/>
  <c r="ES37" i="3"/>
  <c r="FQ115" i="3"/>
  <c r="GD115" i="3"/>
  <c r="FD72" i="3"/>
  <c r="FE72" i="3" s="1"/>
  <c r="FF72" i="3"/>
  <c r="ES54" i="3"/>
  <c r="FD114" i="3"/>
  <c r="FE114" i="3" s="1"/>
  <c r="FF114" i="3"/>
  <c r="ES103" i="3"/>
  <c r="FD125" i="3"/>
  <c r="FE125" i="3" s="1"/>
  <c r="FF125" i="3"/>
  <c r="FD93" i="3"/>
  <c r="FE93" i="3" s="1"/>
  <c r="FF93" i="3"/>
  <c r="FQ68" i="3"/>
  <c r="GD68" i="3"/>
  <c r="ES86" i="3"/>
  <c r="FF85" i="3"/>
  <c r="FD85" i="3"/>
  <c r="FE85" i="3" s="1"/>
  <c r="ES112" i="3"/>
  <c r="FQ41" i="3"/>
  <c r="GD41" i="3"/>
  <c r="ES93" i="3"/>
  <c r="FD103" i="3"/>
  <c r="FE103" i="3" s="1"/>
  <c r="FF103" i="3"/>
  <c r="FQ56" i="3"/>
  <c r="GD56" i="3"/>
  <c r="FQ121" i="3"/>
  <c r="GD121" i="3"/>
  <c r="ES69" i="3"/>
  <c r="ES68" i="3"/>
  <c r="FQ66" i="3"/>
  <c r="GD66" i="3"/>
  <c r="ES91" i="3"/>
  <c r="ES95" i="3"/>
  <c r="ES42" i="3"/>
  <c r="FD104" i="3"/>
  <c r="FE104" i="3" s="1"/>
  <c r="FF104" i="3"/>
  <c r="FQ107" i="3"/>
  <c r="GD107" i="3"/>
  <c r="FQ114" i="3"/>
  <c r="GD114" i="3"/>
  <c r="FF77" i="3"/>
  <c r="FD77" i="3"/>
  <c r="FE77" i="3" s="1"/>
  <c r="FQ105" i="3"/>
  <c r="GD105" i="3"/>
  <c r="ES121" i="3"/>
  <c r="FF36" i="3"/>
  <c r="FD36" i="3"/>
  <c r="FE36" i="3" s="1"/>
  <c r="FD99" i="3"/>
  <c r="FE99" i="3" s="1"/>
  <c r="FF99" i="3"/>
  <c r="GD65" i="3"/>
  <c r="FQ65" i="3"/>
  <c r="GD127" i="3"/>
  <c r="FQ127" i="3"/>
  <c r="ES41" i="3"/>
  <c r="FQ75" i="3"/>
  <c r="GD75" i="3"/>
  <c r="FQ85" i="3"/>
  <c r="GD85" i="3"/>
  <c r="GD124" i="3"/>
  <c r="FQ124" i="3"/>
  <c r="FD47" i="3"/>
  <c r="FE47" i="3" s="1"/>
  <c r="FF47" i="3"/>
  <c r="ES106" i="3"/>
  <c r="FQ100" i="3"/>
  <c r="GD100" i="3"/>
  <c r="ES47" i="3"/>
  <c r="FQ84" i="3"/>
  <c r="GD84" i="3"/>
  <c r="GD130" i="3"/>
  <c r="FQ130" i="3"/>
  <c r="ES108" i="3"/>
  <c r="GD102" i="3"/>
  <c r="FQ102" i="3"/>
  <c r="FF42" i="3"/>
  <c r="FD42" i="3"/>
  <c r="FE42" i="3" s="1"/>
  <c r="FQ134" i="3"/>
  <c r="GD134" i="3"/>
  <c r="FD116" i="3"/>
  <c r="FE116" i="3" s="1"/>
  <c r="FF116" i="3"/>
  <c r="FD75" i="3"/>
  <c r="FE75" i="3" s="1"/>
  <c r="FF75" i="3"/>
  <c r="FF115" i="3"/>
  <c r="FD115" i="3"/>
  <c r="FE115" i="3" s="1"/>
  <c r="FQ106" i="3"/>
  <c r="GD106" i="3"/>
  <c r="FQ99" i="3"/>
  <c r="GD99" i="3"/>
  <c r="ES120" i="3"/>
  <c r="FQ52" i="3"/>
  <c r="GD52" i="3"/>
  <c r="FQ67" i="3"/>
  <c r="GD67" i="3"/>
  <c r="FF100" i="3"/>
  <c r="FD100" i="3"/>
  <c r="FE100" i="3" s="1"/>
  <c r="FF84" i="3"/>
  <c r="FD84" i="3"/>
  <c r="FE84" i="3" s="1"/>
  <c r="FD130" i="3"/>
  <c r="FE130" i="3" s="1"/>
  <c r="FF130" i="3"/>
  <c r="FD102" i="3"/>
  <c r="FE102" i="3" s="1"/>
  <c r="FF102" i="3"/>
  <c r="FF134" i="3"/>
  <c r="FD134" i="3"/>
  <c r="FE134" i="3" s="1"/>
  <c r="FD96" i="3"/>
  <c r="FE96" i="3" s="1"/>
  <c r="FF96" i="3"/>
  <c r="FF38" i="3"/>
  <c r="FD38" i="3"/>
  <c r="FE38" i="3" s="1"/>
  <c r="FD48" i="3"/>
  <c r="FE48" i="3" s="1"/>
  <c r="FF48" i="3"/>
  <c r="FQ120" i="3"/>
  <c r="GD120" i="3"/>
  <c r="FQ35" i="3"/>
  <c r="GD35" i="3"/>
  <c r="FD41" i="3"/>
  <c r="FE41" i="3" s="1"/>
  <c r="FF41" i="3"/>
  <c r="ES130" i="3"/>
  <c r="FD105" i="3"/>
  <c r="FE105" i="3" s="1"/>
  <c r="FF105" i="3"/>
  <c r="FQ64" i="3"/>
  <c r="GD64" i="3"/>
  <c r="FD60" i="3"/>
  <c r="FE60" i="3" s="1"/>
  <c r="FF60" i="3"/>
  <c r="FD52" i="3"/>
  <c r="FE52" i="3" s="1"/>
  <c r="FF52" i="3"/>
  <c r="FD67" i="3"/>
  <c r="FE67" i="3" s="1"/>
  <c r="FF67" i="3"/>
  <c r="FQ50" i="3"/>
  <c r="GD50" i="3"/>
  <c r="ES99" i="3"/>
  <c r="FQ97" i="3"/>
  <c r="GD97" i="3"/>
  <c r="FQ39" i="3"/>
  <c r="GD39" i="3"/>
  <c r="ES49" i="3"/>
  <c r="FD65" i="3"/>
  <c r="FE65" i="3" s="1"/>
  <c r="FF65" i="3"/>
  <c r="FD37" i="3"/>
  <c r="FE37" i="3" s="1"/>
  <c r="FF37" i="3"/>
  <c r="ES73" i="3"/>
  <c r="FQ117" i="3"/>
  <c r="GD117" i="3"/>
  <c r="ES53" i="3"/>
  <c r="FQ123" i="3"/>
  <c r="GD123" i="3"/>
  <c r="GD132" i="3"/>
  <c r="FQ132" i="3"/>
  <c r="FD95" i="3"/>
  <c r="FE95" i="3" s="1"/>
  <c r="FF95" i="3"/>
  <c r="FD69" i="3"/>
  <c r="FE69" i="3" s="1"/>
  <c r="FF69" i="3"/>
  <c r="FD50" i="3"/>
  <c r="FE50" i="3" s="1"/>
  <c r="FF50" i="3"/>
  <c r="FD63" i="3"/>
  <c r="FE63" i="3" s="1"/>
  <c r="FF63" i="3"/>
  <c r="FD97" i="3"/>
  <c r="FE97" i="3" s="1"/>
  <c r="FF97" i="3"/>
  <c r="FD39" i="3"/>
  <c r="FE39" i="3" s="1"/>
  <c r="FF39" i="3"/>
  <c r="FQ122" i="3"/>
  <c r="GD122" i="3"/>
  <c r="FQ108" i="3"/>
  <c r="GD108" i="3"/>
  <c r="FF108" i="3"/>
  <c r="FD108" i="3"/>
  <c r="FE108" i="3" s="1"/>
  <c r="ES46" i="3"/>
  <c r="FQ38" i="3"/>
  <c r="GD38" i="3"/>
  <c r="FF46" i="3"/>
  <c r="FD46" i="3"/>
  <c r="FE46" i="3" s="1"/>
  <c r="ES132" i="3"/>
  <c r="FQ86" i="3"/>
  <c r="GD86" i="3"/>
  <c r="FQ103" i="3"/>
  <c r="GD103" i="3"/>
  <c r="FF132" i="3"/>
  <c r="FD132" i="3"/>
  <c r="FE132" i="3" s="1"/>
  <c r="GD53" i="3"/>
  <c r="FQ53" i="3"/>
  <c r="FQ55" i="3"/>
  <c r="GD55" i="3"/>
  <c r="FQ118" i="3"/>
  <c r="GD118" i="3"/>
  <c r="FQ129" i="3"/>
  <c r="GD129" i="3"/>
  <c r="FQ63" i="3"/>
  <c r="GD63" i="3"/>
  <c r="GD58" i="3"/>
  <c r="FQ58" i="3"/>
  <c r="FD122" i="3"/>
  <c r="FE122" i="3" s="1"/>
  <c r="FF122" i="3"/>
  <c r="FQ59" i="3"/>
  <c r="GD59" i="3"/>
  <c r="FQ109" i="3"/>
  <c r="GD109" i="3"/>
  <c r="FF62" i="3"/>
  <c r="FD62" i="3"/>
  <c r="FE62" i="3" s="1"/>
  <c r="FQ89" i="3"/>
  <c r="GD89" i="3"/>
  <c r="ES82" i="3"/>
  <c r="ES56" i="3"/>
  <c r="FQ46" i="3"/>
  <c r="GD46" i="3"/>
  <c r="FQ98" i="3"/>
  <c r="GD98" i="3"/>
  <c r="FF107" i="3"/>
  <c r="FD107" i="3"/>
  <c r="FE107" i="3" s="1"/>
  <c r="ES50" i="3"/>
  <c r="ES126" i="3"/>
  <c r="ES115" i="3"/>
  <c r="FF81" i="3"/>
  <c r="FD81" i="3"/>
  <c r="FE81" i="3" s="1"/>
  <c r="FF129" i="3"/>
  <c r="FD129" i="3"/>
  <c r="FE129" i="3" s="1"/>
  <c r="FQ78" i="3"/>
  <c r="GD78" i="3"/>
  <c r="FF58" i="3"/>
  <c r="FD58" i="3"/>
  <c r="FE58" i="3" s="1"/>
  <c r="FD59" i="3"/>
  <c r="FE59" i="3" s="1"/>
  <c r="FF59" i="3"/>
  <c r="FQ82" i="3"/>
  <c r="GD82" i="3"/>
  <c r="FQ119" i="3"/>
  <c r="GD119" i="3"/>
  <c r="ES70" i="3"/>
  <c r="FF127" i="3"/>
  <c r="FD127" i="3"/>
  <c r="FE127" i="3" s="1"/>
  <c r="FD120" i="3"/>
  <c r="FE120" i="3" s="1"/>
  <c r="FF120" i="3"/>
  <c r="ES76" i="3"/>
  <c r="ES124" i="3"/>
  <c r="ES63" i="3"/>
  <c r="FQ36" i="3"/>
  <c r="GD36" i="3"/>
  <c r="FD106" i="3"/>
  <c r="FE106" i="3" s="1"/>
  <c r="FF106" i="3"/>
  <c r="GD131" i="3"/>
  <c r="FQ131" i="3"/>
  <c r="ES48" i="3"/>
  <c r="FQ47" i="3"/>
  <c r="GD47" i="3"/>
  <c r="FD71" i="3"/>
  <c r="FE71" i="3" s="1"/>
  <c r="FF71" i="3"/>
  <c r="FD101" i="3"/>
  <c r="FE101" i="3" s="1"/>
  <c r="FF101" i="3"/>
  <c r="FD78" i="3"/>
  <c r="FE78" i="3" s="1"/>
  <c r="FF78" i="3"/>
  <c r="ES90" i="3"/>
  <c r="FQ51" i="3"/>
  <c r="GD51" i="3"/>
  <c r="FQ87" i="3"/>
  <c r="GD87" i="3"/>
  <c r="FQ40" i="3"/>
  <c r="GD40" i="3"/>
  <c r="FQ91" i="3"/>
  <c r="GD91" i="3"/>
  <c r="FD73" i="3"/>
  <c r="FE73" i="3" s="1"/>
  <c r="FF73" i="3"/>
  <c r="FD128" i="3"/>
  <c r="FE128" i="3" s="1"/>
  <c r="FF128" i="3"/>
  <c r="FD74" i="3"/>
  <c r="FE74" i="3" s="1"/>
  <c r="FF74" i="3"/>
  <c r="FQ96" i="3"/>
  <c r="GD96" i="3"/>
  <c r="FF82" i="3"/>
  <c r="FD82" i="3"/>
  <c r="FE82" i="3" s="1"/>
  <c r="FQ92" i="3"/>
  <c r="GD92" i="3"/>
  <c r="ES80" i="3"/>
  <c r="FQ74" i="3"/>
  <c r="GD74" i="3"/>
  <c r="FQ90" i="3"/>
  <c r="GD90" i="3"/>
  <c r="ES58" i="3"/>
  <c r="FD92" i="3"/>
  <c r="FE92" i="3" s="1"/>
  <c r="FF92" i="3"/>
  <c r="FF54" i="3"/>
  <c r="FD54" i="3"/>
  <c r="FE54" i="3" s="1"/>
  <c r="ES77" i="3"/>
  <c r="ES109" i="3"/>
  <c r="ES88" i="3"/>
  <c r="FQ88" i="3"/>
  <c r="GD88" i="3"/>
  <c r="ES72" i="3"/>
  <c r="ES67" i="3"/>
  <c r="FD76" i="3"/>
  <c r="FE76" i="3" s="1"/>
  <c r="FF76" i="3"/>
  <c r="FD89" i="3"/>
  <c r="FE89" i="3" s="1"/>
  <c r="FF89" i="3"/>
  <c r="FQ83" i="3"/>
  <c r="GD83" i="3"/>
  <c r="FF88" i="3"/>
  <c r="FD88" i="3"/>
  <c r="FE88" i="3" s="1"/>
  <c r="FQ110" i="3"/>
  <c r="GD110" i="3"/>
  <c r="FQ111" i="3"/>
  <c r="GD111" i="3"/>
  <c r="FQ76" i="3"/>
  <c r="GD76" i="3"/>
  <c r="GD43" i="3"/>
  <c r="FQ43" i="3"/>
  <c r="FQ133" i="3"/>
  <c r="GD133" i="3"/>
  <c r="FF83" i="3"/>
  <c r="FD83" i="3"/>
  <c r="FE83" i="3" s="1"/>
  <c r="FQ48" i="3"/>
  <c r="GD48" i="3"/>
  <c r="FF111" i="3"/>
  <c r="FD111" i="3"/>
  <c r="FE111" i="3" s="1"/>
  <c r="FQ49" i="3"/>
  <c r="GD49" i="3"/>
  <c r="GD37" i="3"/>
  <c r="FQ37" i="3"/>
  <c r="FF80" i="3"/>
  <c r="FD80" i="3"/>
  <c r="FE80" i="3" s="1"/>
  <c r="GD104" i="3"/>
  <c r="FQ104" i="3"/>
  <c r="ES34" i="3"/>
  <c r="FF49" i="3"/>
  <c r="FD49" i="3"/>
  <c r="FE49" i="3" s="1"/>
  <c r="FF35" i="3"/>
  <c r="FD35" i="3"/>
  <c r="FE35" i="3" s="1"/>
  <c r="FQ116" i="3"/>
  <c r="GD116" i="3"/>
  <c r="FD57" i="3"/>
  <c r="FE57" i="3" s="1"/>
  <c r="FF57" i="3"/>
  <c r="ES96" i="3"/>
  <c r="ES100" i="3"/>
  <c r="FF98" i="3"/>
  <c r="FD98" i="3"/>
  <c r="FE98" i="3" s="1"/>
  <c r="FQ57" i="3"/>
  <c r="GD57" i="3"/>
  <c r="FQ45" i="3"/>
  <c r="GD45" i="3"/>
  <c r="FQ34" i="3"/>
  <c r="GD34" i="3"/>
  <c r="FQ72" i="3"/>
  <c r="GD72" i="3"/>
  <c r="FQ125" i="3"/>
  <c r="GD125" i="3"/>
  <c r="GD93" i="3"/>
  <c r="FQ93" i="3"/>
  <c r="FD45" i="3"/>
  <c r="FE45" i="3" s="1"/>
  <c r="FF45" i="3"/>
  <c r="FF86" i="3"/>
  <c r="FD86" i="3"/>
  <c r="FE86" i="3" s="1"/>
  <c r="FF34" i="3"/>
  <c r="FD34" i="3"/>
  <c r="FE34" i="3" s="1"/>
  <c r="ES117" i="3"/>
  <c r="FD68" i="3"/>
  <c r="FE68" i="3" s="1"/>
  <c r="FF68" i="3"/>
  <c r="FQ77" i="3"/>
  <c r="GD77" i="3"/>
  <c r="FD56" i="3"/>
  <c r="FE56" i="3" s="1"/>
  <c r="FF56" i="3"/>
  <c r="FD121" i="3"/>
  <c r="FE121" i="3" s="1"/>
  <c r="FF121" i="3"/>
  <c r="FD66" i="3"/>
  <c r="FE66" i="3" s="1"/>
  <c r="FF66" i="3"/>
  <c r="FD123" i="3"/>
  <c r="FE123" i="3" s="1"/>
  <c r="FF123" i="3"/>
  <c r="FF131" i="3"/>
  <c r="FD131" i="3"/>
  <c r="FE131" i="3" s="1"/>
  <c r="FD124" i="3"/>
  <c r="FE124" i="3" s="1"/>
  <c r="FF124" i="3"/>
  <c r="FD117" i="3"/>
  <c r="FE117" i="3" s="1"/>
  <c r="FF117" i="3"/>
  <c r="FD61" i="3"/>
  <c r="FE61" i="3" s="1"/>
  <c r="FF61" i="3"/>
  <c r="ES40" i="3"/>
  <c r="GD79" i="3"/>
  <c r="FQ79" i="3"/>
  <c r="FQ95" i="3"/>
  <c r="GD95" i="3"/>
  <c r="FQ61" i="3"/>
  <c r="GD61" i="3"/>
  <c r="FD44" i="3"/>
  <c r="FE44" i="3" s="1"/>
  <c r="FF44" i="3"/>
  <c r="FF79" i="3"/>
  <c r="FD79" i="3"/>
  <c r="FE79" i="3" s="1"/>
  <c r="FQ94" i="3"/>
  <c r="GD94" i="3"/>
  <c r="FQ44" i="3"/>
  <c r="GD44" i="3"/>
  <c r="FQ71" i="3"/>
  <c r="GD71" i="3"/>
  <c r="FD94" i="3"/>
  <c r="FE94" i="3" s="1"/>
  <c r="FF94" i="3"/>
  <c r="GD69" i="3"/>
  <c r="FQ69" i="3"/>
  <c r="FD64" i="3"/>
  <c r="FE64" i="3" s="1"/>
  <c r="FF64" i="3"/>
  <c r="FQ112" i="3"/>
  <c r="GD112" i="3"/>
  <c r="ES113" i="3"/>
  <c r="FQ70" i="3"/>
  <c r="GD70" i="3"/>
  <c r="ES83" i="3"/>
  <c r="FQ60" i="3"/>
  <c r="GD60" i="3"/>
  <c r="ES133" i="3"/>
  <c r="FF112" i="3"/>
  <c r="FD112" i="3"/>
  <c r="FE112" i="3" s="1"/>
  <c r="FD70" i="3"/>
  <c r="FE70" i="3" s="1"/>
  <c r="FF70" i="3"/>
  <c r="FD53" i="3"/>
  <c r="FE53" i="3" s="1"/>
  <c r="FF53" i="3"/>
  <c r="GD101" i="3"/>
  <c r="FQ101" i="3"/>
  <c r="ES127" i="3"/>
  <c r="FQ126" i="3"/>
  <c r="GD126" i="3"/>
  <c r="FF55" i="3"/>
  <c r="FD55" i="3"/>
  <c r="FE55" i="3" s="1"/>
  <c r="FF118" i="3"/>
  <c r="FD118" i="3"/>
  <c r="FE118" i="3" s="1"/>
  <c r="FD126" i="3"/>
  <c r="FE126" i="3" s="1"/>
  <c r="FF126" i="3"/>
  <c r="FQ81" i="3"/>
  <c r="GD81" i="3"/>
  <c r="ES75" i="3"/>
  <c r="ES79" i="3"/>
  <c r="FQ73" i="3"/>
  <c r="GD73" i="3"/>
  <c r="FQ113" i="3"/>
  <c r="GD113" i="3"/>
  <c r="FQ128" i="3"/>
  <c r="GD128" i="3"/>
  <c r="FQ42" i="3"/>
  <c r="GD42" i="3"/>
  <c r="ES107" i="3"/>
  <c r="ES45" i="3"/>
  <c r="ES78" i="3"/>
  <c r="FD109" i="3"/>
  <c r="FE109" i="3" s="1"/>
  <c r="FF109" i="3"/>
  <c r="ES81" i="3"/>
  <c r="FF51" i="3"/>
  <c r="FD51" i="3"/>
  <c r="FE51" i="3" s="1"/>
  <c r="FD87" i="3"/>
  <c r="FE87" i="3" s="1"/>
  <c r="FF87" i="3"/>
  <c r="FF40" i="3"/>
  <c r="FD40" i="3"/>
  <c r="FE40" i="3" s="1"/>
  <c r="FF91" i="3"/>
  <c r="FD91" i="3"/>
  <c r="FE91" i="3" s="1"/>
  <c r="N40" i="3"/>
  <c r="J41" i="3" s="1"/>
  <c r="O43" i="2"/>
  <c r="K44" i="2"/>
  <c r="L44" i="2" s="1"/>
  <c r="M44" i="2" s="1"/>
  <c r="J44" i="2"/>
  <c r="AQ115" i="2"/>
  <c r="AR115" i="2" s="1"/>
  <c r="AS115" i="2" s="1"/>
  <c r="AP116" i="2"/>
  <c r="AN117" i="2"/>
  <c r="AO117" i="2" s="1"/>
  <c r="FG87" i="3" l="1"/>
  <c r="FG126" i="3"/>
  <c r="FG109" i="3"/>
  <c r="FG61" i="3"/>
  <c r="FG95" i="3"/>
  <c r="FG67" i="3"/>
  <c r="FG75" i="3"/>
  <c r="FG60" i="3"/>
  <c r="FG48" i="3"/>
  <c r="FG124" i="3"/>
  <c r="FG94" i="3"/>
  <c r="FG45" i="3"/>
  <c r="FG102" i="3"/>
  <c r="FG93" i="3"/>
  <c r="FG92" i="3"/>
  <c r="FG130" i="3"/>
  <c r="FG125" i="3"/>
  <c r="FG44" i="3"/>
  <c r="FG76" i="3"/>
  <c r="FG71" i="3"/>
  <c r="FG133" i="3"/>
  <c r="FG68" i="3"/>
  <c r="FG50" i="3"/>
  <c r="FG110" i="3"/>
  <c r="FG74" i="3"/>
  <c r="FG47" i="3"/>
  <c r="FG73" i="3"/>
  <c r="FG106" i="3"/>
  <c r="FG66" i="3"/>
  <c r="FG103" i="3"/>
  <c r="FG104" i="3"/>
  <c r="FG37" i="3"/>
  <c r="FG99" i="3"/>
  <c r="FG107" i="3"/>
  <c r="FG89" i="3"/>
  <c r="FG101" i="3"/>
  <c r="FG97" i="3"/>
  <c r="FG53" i="3"/>
  <c r="FG70" i="3"/>
  <c r="FG123" i="3"/>
  <c r="FG120" i="3"/>
  <c r="FG105" i="3"/>
  <c r="FG79" i="3"/>
  <c r="FG121" i="3"/>
  <c r="FG78" i="3"/>
  <c r="FG39" i="3"/>
  <c r="FG65" i="3"/>
  <c r="FG56" i="3"/>
  <c r="FG63" i="3"/>
  <c r="FG59" i="3"/>
  <c r="FG69" i="3"/>
  <c r="FG64" i="3"/>
  <c r="FG57" i="3"/>
  <c r="FG128" i="3"/>
  <c r="FG96" i="3"/>
  <c r="FR73" i="3"/>
  <c r="FS73" i="3" s="1"/>
  <c r="FT73" i="3"/>
  <c r="GR83" i="3"/>
  <c r="GE83" i="3"/>
  <c r="GR46" i="3"/>
  <c r="GE46" i="3"/>
  <c r="GE45" i="3"/>
  <c r="GR45" i="3"/>
  <c r="FR46" i="3"/>
  <c r="FS46" i="3" s="1"/>
  <c r="FT46" i="3"/>
  <c r="FT55" i="3"/>
  <c r="FR55" i="3"/>
  <c r="FS55" i="3" s="1"/>
  <c r="GR35" i="3"/>
  <c r="GE35" i="3"/>
  <c r="GE52" i="3"/>
  <c r="GR52" i="3"/>
  <c r="GE115" i="3"/>
  <c r="GR115" i="3"/>
  <c r="FG91" i="3"/>
  <c r="FR45" i="3"/>
  <c r="FS45" i="3" s="1"/>
  <c r="FT45" i="3"/>
  <c r="GR49" i="3"/>
  <c r="GE49" i="3"/>
  <c r="FR53" i="3"/>
  <c r="FS53" i="3" s="1"/>
  <c r="FT53" i="3"/>
  <c r="FR52" i="3"/>
  <c r="FS52" i="3" s="1"/>
  <c r="FT52" i="3"/>
  <c r="FT115" i="3"/>
  <c r="FR115" i="3"/>
  <c r="FS115" i="3" s="1"/>
  <c r="GE82" i="3"/>
  <c r="GR82" i="3"/>
  <c r="GE39" i="3"/>
  <c r="GR39" i="3"/>
  <c r="GE120" i="3"/>
  <c r="GR120" i="3"/>
  <c r="FT81" i="3"/>
  <c r="FR81" i="3"/>
  <c r="FS81" i="3" s="1"/>
  <c r="FT61" i="3"/>
  <c r="FR61" i="3"/>
  <c r="FS61" i="3" s="1"/>
  <c r="GE77" i="3"/>
  <c r="GR77" i="3"/>
  <c r="FR39" i="3"/>
  <c r="FS39" i="3" s="1"/>
  <c r="FT39" i="3"/>
  <c r="GE99" i="3"/>
  <c r="GR99" i="3"/>
  <c r="FT77" i="3"/>
  <c r="FR77" i="3"/>
  <c r="FS77" i="3" s="1"/>
  <c r="FG111" i="3"/>
  <c r="GE96" i="3"/>
  <c r="GR96" i="3"/>
  <c r="FG132" i="3"/>
  <c r="FT99" i="3"/>
  <c r="FR99" i="3"/>
  <c r="FS99" i="3" s="1"/>
  <c r="GE41" i="3"/>
  <c r="GR41" i="3"/>
  <c r="GE48" i="3"/>
  <c r="GR48" i="3"/>
  <c r="FR96" i="3"/>
  <c r="FS96" i="3" s="1"/>
  <c r="FT96" i="3"/>
  <c r="GR47" i="3"/>
  <c r="GE47" i="3"/>
  <c r="FR97" i="3"/>
  <c r="FS97" i="3" s="1"/>
  <c r="FT97" i="3"/>
  <c r="FT47" i="3"/>
  <c r="FR47" i="3"/>
  <c r="FS47" i="3" s="1"/>
  <c r="FT103" i="3"/>
  <c r="FR103" i="3"/>
  <c r="FS103" i="3" s="1"/>
  <c r="FR106" i="3"/>
  <c r="FS106" i="3" s="1"/>
  <c r="FT106" i="3"/>
  <c r="GE114" i="3"/>
  <c r="GR114" i="3"/>
  <c r="FT112" i="3"/>
  <c r="FR112" i="3"/>
  <c r="FS112" i="3" s="1"/>
  <c r="GE79" i="3"/>
  <c r="GR79" i="3"/>
  <c r="GE88" i="3"/>
  <c r="GR88" i="3"/>
  <c r="GE109" i="3"/>
  <c r="GR109" i="3"/>
  <c r="GE50" i="3"/>
  <c r="GR50" i="3"/>
  <c r="GE80" i="3"/>
  <c r="GR80" i="3"/>
  <c r="FG83" i="3"/>
  <c r="FR131" i="3"/>
  <c r="FS131" i="3" s="1"/>
  <c r="FT131" i="3"/>
  <c r="FR109" i="3"/>
  <c r="FS109" i="3" s="1"/>
  <c r="FT109" i="3"/>
  <c r="FT86" i="3"/>
  <c r="FR86" i="3"/>
  <c r="FS86" i="3" s="1"/>
  <c r="FR124" i="3"/>
  <c r="FS124" i="3" s="1"/>
  <c r="FT124" i="3"/>
  <c r="FG55" i="3"/>
  <c r="FG34" i="3"/>
  <c r="GE133" i="3"/>
  <c r="GR133" i="3"/>
  <c r="GE131" i="3"/>
  <c r="GR131" i="3"/>
  <c r="FT78" i="3"/>
  <c r="FR78" i="3"/>
  <c r="FS78" i="3" s="1"/>
  <c r="GR59" i="3"/>
  <c r="GE59" i="3"/>
  <c r="GR124" i="3"/>
  <c r="GE124" i="3"/>
  <c r="FR107" i="3"/>
  <c r="FS107" i="3" s="1"/>
  <c r="FT107" i="3"/>
  <c r="GE126" i="3"/>
  <c r="GR126" i="3"/>
  <c r="FR69" i="3"/>
  <c r="FS69" i="3" s="1"/>
  <c r="FT69" i="3"/>
  <c r="GR116" i="3"/>
  <c r="GE116" i="3"/>
  <c r="FR133" i="3"/>
  <c r="FS133" i="3" s="1"/>
  <c r="FT133" i="3"/>
  <c r="FT59" i="3"/>
  <c r="FR59" i="3"/>
  <c r="FS59" i="3" s="1"/>
  <c r="GR85" i="3"/>
  <c r="GE85" i="3"/>
  <c r="GE68" i="3"/>
  <c r="GR68" i="3"/>
  <c r="FG43" i="3"/>
  <c r="FT126" i="3"/>
  <c r="FR126" i="3"/>
  <c r="FS126" i="3" s="1"/>
  <c r="GE69" i="3"/>
  <c r="GR69" i="3"/>
  <c r="FG117" i="3"/>
  <c r="FG86" i="3"/>
  <c r="FR116" i="3"/>
  <c r="FS116" i="3" s="1"/>
  <c r="FT116" i="3"/>
  <c r="FT43" i="3"/>
  <c r="FR43" i="3"/>
  <c r="FS43" i="3" s="1"/>
  <c r="FG129" i="3"/>
  <c r="FG122" i="3"/>
  <c r="FG46" i="3"/>
  <c r="FT132" i="3"/>
  <c r="FR132" i="3"/>
  <c r="FS132" i="3" s="1"/>
  <c r="FG52" i="3"/>
  <c r="FG134" i="3"/>
  <c r="FG116" i="3"/>
  <c r="FT85" i="3"/>
  <c r="FR85" i="3"/>
  <c r="FS85" i="3" s="1"/>
  <c r="FR68" i="3"/>
  <c r="FS68" i="3" s="1"/>
  <c r="FT68" i="3"/>
  <c r="FG119" i="3"/>
  <c r="GE130" i="3"/>
  <c r="GR130" i="3"/>
  <c r="FT83" i="3"/>
  <c r="FR83" i="3"/>
  <c r="FS83" i="3" s="1"/>
  <c r="FR84" i="3"/>
  <c r="FS84" i="3" s="1"/>
  <c r="FT84" i="3"/>
  <c r="GR57" i="3"/>
  <c r="GE57" i="3"/>
  <c r="FR105" i="3"/>
  <c r="FS105" i="3" s="1"/>
  <c r="FT105" i="3"/>
  <c r="FR41" i="3"/>
  <c r="FS41" i="3" s="1"/>
  <c r="FT41" i="3"/>
  <c r="FR48" i="3"/>
  <c r="FS48" i="3" s="1"/>
  <c r="FT48" i="3"/>
  <c r="FR50" i="3"/>
  <c r="FS50" i="3" s="1"/>
  <c r="FT50" i="3"/>
  <c r="GE132" i="3"/>
  <c r="GR132" i="3"/>
  <c r="FR101" i="3"/>
  <c r="FS101" i="3" s="1"/>
  <c r="FT101" i="3"/>
  <c r="FG35" i="3"/>
  <c r="GE76" i="3"/>
  <c r="GR76" i="3"/>
  <c r="FG54" i="3"/>
  <c r="FT91" i="3"/>
  <c r="FR91" i="3"/>
  <c r="FS91" i="3" s="1"/>
  <c r="FT36" i="3"/>
  <c r="FR36" i="3"/>
  <c r="FS36" i="3" s="1"/>
  <c r="FG81" i="3"/>
  <c r="FR58" i="3"/>
  <c r="FS58" i="3" s="1"/>
  <c r="FT58" i="3"/>
  <c r="FR38" i="3"/>
  <c r="FS38" i="3" s="1"/>
  <c r="FT38" i="3"/>
  <c r="GR123" i="3"/>
  <c r="GE123" i="3"/>
  <c r="GE134" i="3"/>
  <c r="GR134" i="3"/>
  <c r="FR75" i="3"/>
  <c r="FS75" i="3" s="1"/>
  <c r="FT75" i="3"/>
  <c r="FT34" i="3"/>
  <c r="FR34" i="3"/>
  <c r="FS34" i="3" s="1"/>
  <c r="FR67" i="3"/>
  <c r="FS67" i="3" s="1"/>
  <c r="FT67" i="3"/>
  <c r="GE119" i="3"/>
  <c r="GR119" i="3"/>
  <c r="FR35" i="3"/>
  <c r="FS35" i="3" s="1"/>
  <c r="FT35" i="3"/>
  <c r="FG40" i="3"/>
  <c r="GE100" i="3"/>
  <c r="GR100" i="3"/>
  <c r="FG77" i="3"/>
  <c r="GR112" i="3"/>
  <c r="GE112" i="3"/>
  <c r="GE78" i="3"/>
  <c r="GR78" i="3"/>
  <c r="GE101" i="3"/>
  <c r="GR101" i="3"/>
  <c r="GE71" i="3"/>
  <c r="GR71" i="3"/>
  <c r="FT93" i="3"/>
  <c r="FR93" i="3"/>
  <c r="FS93" i="3" s="1"/>
  <c r="FT76" i="3"/>
  <c r="FR76" i="3"/>
  <c r="FS76" i="3" s="1"/>
  <c r="GE40" i="3"/>
  <c r="GR40" i="3"/>
  <c r="GE58" i="3"/>
  <c r="GR58" i="3"/>
  <c r="FR123" i="3"/>
  <c r="FS123" i="3" s="1"/>
  <c r="FT123" i="3"/>
  <c r="FT134" i="3"/>
  <c r="FR134" i="3"/>
  <c r="FS134" i="3" s="1"/>
  <c r="FG90" i="3"/>
  <c r="GE37" i="3"/>
  <c r="GR37" i="3"/>
  <c r="FT49" i="3"/>
  <c r="FR49" i="3"/>
  <c r="FS49" i="3" s="1"/>
  <c r="FR89" i="3"/>
  <c r="FS89" i="3" s="1"/>
  <c r="FT89" i="3"/>
  <c r="FR95" i="3"/>
  <c r="FS95" i="3" s="1"/>
  <c r="FT95" i="3"/>
  <c r="GE106" i="3"/>
  <c r="GR106" i="3"/>
  <c r="FG62" i="3"/>
  <c r="FG118" i="3"/>
  <c r="GE86" i="3"/>
  <c r="GR86" i="3"/>
  <c r="FG115" i="3"/>
  <c r="GE38" i="3"/>
  <c r="GR38" i="3"/>
  <c r="GE75" i="3"/>
  <c r="GR75" i="3"/>
  <c r="FR42" i="3"/>
  <c r="FS42" i="3" s="1"/>
  <c r="FT42" i="3"/>
  <c r="FU42" i="3" s="1"/>
  <c r="FR71" i="3"/>
  <c r="FS71" i="3" s="1"/>
  <c r="FT71" i="3"/>
  <c r="GE93" i="3"/>
  <c r="GR93" i="3"/>
  <c r="FG49" i="3"/>
  <c r="GE111" i="3"/>
  <c r="GR111" i="3"/>
  <c r="FR40" i="3"/>
  <c r="FS40" i="3" s="1"/>
  <c r="FT40" i="3"/>
  <c r="GE63" i="3"/>
  <c r="GR63" i="3"/>
  <c r="GR64" i="3"/>
  <c r="GE64" i="3"/>
  <c r="FR127" i="3"/>
  <c r="FS127" i="3" s="1"/>
  <c r="FT127" i="3"/>
  <c r="GE66" i="3"/>
  <c r="GR66" i="3"/>
  <c r="GE54" i="3"/>
  <c r="GR54" i="3"/>
  <c r="FT60" i="3"/>
  <c r="FR60" i="3"/>
  <c r="FS60" i="3" s="1"/>
  <c r="GE105" i="3"/>
  <c r="GR105" i="3"/>
  <c r="FG82" i="3"/>
  <c r="FR100" i="3"/>
  <c r="FS100" i="3" s="1"/>
  <c r="FT100" i="3"/>
  <c r="FG51" i="3"/>
  <c r="FR80" i="3"/>
  <c r="FS80" i="3" s="1"/>
  <c r="FT80" i="3"/>
  <c r="GE91" i="3"/>
  <c r="GR91" i="3"/>
  <c r="GR44" i="3"/>
  <c r="GE44" i="3"/>
  <c r="FG131" i="3"/>
  <c r="GE125" i="3"/>
  <c r="GR125" i="3"/>
  <c r="FR111" i="3"/>
  <c r="FS111" i="3" s="1"/>
  <c r="FT111" i="3"/>
  <c r="GE87" i="3"/>
  <c r="GR87" i="3"/>
  <c r="FR63" i="3"/>
  <c r="FS63" i="3" s="1"/>
  <c r="FT63" i="3"/>
  <c r="FG108" i="3"/>
  <c r="GE117" i="3"/>
  <c r="GR117" i="3"/>
  <c r="FR64" i="3"/>
  <c r="FS64" i="3" s="1"/>
  <c r="FT64" i="3"/>
  <c r="FG42" i="3"/>
  <c r="GE127" i="3"/>
  <c r="GR127" i="3"/>
  <c r="FR66" i="3"/>
  <c r="FS66" i="3" s="1"/>
  <c r="FT66" i="3"/>
  <c r="FR54" i="3"/>
  <c r="FS54" i="3" s="1"/>
  <c r="FT54" i="3"/>
  <c r="GE60" i="3"/>
  <c r="GR60" i="3"/>
  <c r="GR84" i="3"/>
  <c r="GE84" i="3"/>
  <c r="GE70" i="3"/>
  <c r="GR70" i="3"/>
  <c r="FR82" i="3"/>
  <c r="FS82" i="3" s="1"/>
  <c r="FT82" i="3"/>
  <c r="GE103" i="3"/>
  <c r="GR103" i="3"/>
  <c r="FG58" i="3"/>
  <c r="GR107" i="3"/>
  <c r="GE107" i="3"/>
  <c r="GR43" i="3"/>
  <c r="GE43" i="3"/>
  <c r="FR44" i="3"/>
  <c r="FS44" i="3" s="1"/>
  <c r="FT44" i="3"/>
  <c r="FT125" i="3"/>
  <c r="FR125" i="3"/>
  <c r="FS125" i="3" s="1"/>
  <c r="FR104" i="3"/>
  <c r="FS104" i="3" s="1"/>
  <c r="FT104" i="3"/>
  <c r="GE110" i="3"/>
  <c r="GR110" i="3"/>
  <c r="GE90" i="3"/>
  <c r="GR90" i="3"/>
  <c r="FT87" i="3"/>
  <c r="FR87" i="3"/>
  <c r="FS87" i="3" s="1"/>
  <c r="GE129" i="3"/>
  <c r="GR129" i="3"/>
  <c r="GE108" i="3"/>
  <c r="GR108" i="3"/>
  <c r="FT117" i="3"/>
  <c r="FR117" i="3"/>
  <c r="FS117" i="3" s="1"/>
  <c r="FG84" i="3"/>
  <c r="FR102" i="3"/>
  <c r="FS102" i="3" s="1"/>
  <c r="FT102" i="3"/>
  <c r="FR65" i="3"/>
  <c r="FS65" i="3" s="1"/>
  <c r="FT65" i="3"/>
  <c r="FG114" i="3"/>
  <c r="GR62" i="3"/>
  <c r="GE62" i="3"/>
  <c r="FR37" i="3"/>
  <c r="FS37" i="3" s="1"/>
  <c r="FT37" i="3"/>
  <c r="FR56" i="3"/>
  <c r="FS56" i="3" s="1"/>
  <c r="FT56" i="3"/>
  <c r="FR119" i="3"/>
  <c r="FS119" i="3" s="1"/>
  <c r="FT119" i="3"/>
  <c r="FG38" i="3"/>
  <c r="GR94" i="3"/>
  <c r="GE94" i="3"/>
  <c r="GE72" i="3"/>
  <c r="GR72" i="3"/>
  <c r="GE104" i="3"/>
  <c r="GR104" i="3"/>
  <c r="FT110" i="3"/>
  <c r="FR110" i="3"/>
  <c r="FS110" i="3" s="1"/>
  <c r="FR90" i="3"/>
  <c r="FS90" i="3" s="1"/>
  <c r="FT90" i="3"/>
  <c r="GE51" i="3"/>
  <c r="GR51" i="3"/>
  <c r="FT129" i="3"/>
  <c r="FR129" i="3"/>
  <c r="FS129" i="3" s="1"/>
  <c r="FR108" i="3"/>
  <c r="FS108" i="3" s="1"/>
  <c r="FT108" i="3"/>
  <c r="GE102" i="3"/>
  <c r="GR102" i="3"/>
  <c r="GE65" i="3"/>
  <c r="GR65" i="3"/>
  <c r="FT62" i="3"/>
  <c r="FR62" i="3"/>
  <c r="FS62" i="3" s="1"/>
  <c r="GE56" i="3"/>
  <c r="GR56" i="3"/>
  <c r="GE92" i="3"/>
  <c r="GR92" i="3"/>
  <c r="GE81" i="3"/>
  <c r="GR81" i="3"/>
  <c r="GE53" i="3"/>
  <c r="GR53" i="3"/>
  <c r="FT120" i="3"/>
  <c r="FR120" i="3"/>
  <c r="FS120" i="3" s="1"/>
  <c r="GE95" i="3"/>
  <c r="GR95" i="3"/>
  <c r="GE97" i="3"/>
  <c r="GR97" i="3"/>
  <c r="FG85" i="3"/>
  <c r="GE36" i="3"/>
  <c r="GR36" i="3"/>
  <c r="FR94" i="3"/>
  <c r="FS94" i="3" s="1"/>
  <c r="FT94" i="3"/>
  <c r="FR72" i="3"/>
  <c r="FS72" i="3" s="1"/>
  <c r="FT72" i="3"/>
  <c r="GE74" i="3"/>
  <c r="GR74" i="3"/>
  <c r="FR51" i="3"/>
  <c r="FS51" i="3" s="1"/>
  <c r="FT51" i="3"/>
  <c r="GE98" i="3"/>
  <c r="GR98" i="3"/>
  <c r="GE118" i="3"/>
  <c r="GR118" i="3"/>
  <c r="GE122" i="3"/>
  <c r="GR122" i="3"/>
  <c r="FG100" i="3"/>
  <c r="GE121" i="3"/>
  <c r="GR121" i="3"/>
  <c r="GE55" i="3"/>
  <c r="GR55" i="3"/>
  <c r="FG36" i="3"/>
  <c r="FR92" i="3"/>
  <c r="FS92" i="3" s="1"/>
  <c r="FT92" i="3"/>
  <c r="GE61" i="3"/>
  <c r="GR61" i="3"/>
  <c r="FR57" i="3"/>
  <c r="FS57" i="3" s="1"/>
  <c r="FT57" i="3"/>
  <c r="GE89" i="3"/>
  <c r="GR89" i="3"/>
  <c r="FR70" i="3"/>
  <c r="FS70" i="3" s="1"/>
  <c r="FT70" i="3"/>
  <c r="FG98" i="3"/>
  <c r="FR79" i="3"/>
  <c r="FS79" i="3" s="1"/>
  <c r="FT79" i="3"/>
  <c r="FR114" i="3"/>
  <c r="FS114" i="3" s="1"/>
  <c r="FT114" i="3"/>
  <c r="FU114" i="3" s="1"/>
  <c r="FR88" i="3"/>
  <c r="FS88" i="3" s="1"/>
  <c r="FT88" i="3"/>
  <c r="GE42" i="3"/>
  <c r="GR42" i="3"/>
  <c r="GE128" i="3"/>
  <c r="GR128" i="3"/>
  <c r="FT128" i="3"/>
  <c r="FR128" i="3"/>
  <c r="FS128" i="3" s="1"/>
  <c r="GR113" i="3"/>
  <c r="GE113" i="3"/>
  <c r="FT113" i="3"/>
  <c r="FR113" i="3"/>
  <c r="FS113" i="3" s="1"/>
  <c r="GR73" i="3"/>
  <c r="GE73" i="3"/>
  <c r="FG112" i="3"/>
  <c r="GE34" i="3"/>
  <c r="GR34" i="3"/>
  <c r="FG80" i="3"/>
  <c r="FG88" i="3"/>
  <c r="FR74" i="3"/>
  <c r="FS74" i="3" s="1"/>
  <c r="FT74" i="3"/>
  <c r="FG127" i="3"/>
  <c r="FT98" i="3"/>
  <c r="FR98" i="3"/>
  <c r="FS98" i="3" s="1"/>
  <c r="FT118" i="3"/>
  <c r="FR118" i="3"/>
  <c r="FS118" i="3" s="1"/>
  <c r="FT122" i="3"/>
  <c r="FR122" i="3"/>
  <c r="FS122" i="3" s="1"/>
  <c r="FG41" i="3"/>
  <c r="GE67" i="3"/>
  <c r="GR67" i="3"/>
  <c r="FR130" i="3"/>
  <c r="FS130" i="3" s="1"/>
  <c r="FT130" i="3"/>
  <c r="FR121" i="3"/>
  <c r="FS121" i="3" s="1"/>
  <c r="FT121" i="3"/>
  <c r="FG72" i="3"/>
  <c r="FG113" i="3"/>
  <c r="K41" i="3"/>
  <c r="L41" i="3" s="1"/>
  <c r="M41" i="3" s="1"/>
  <c r="O40" i="3"/>
  <c r="N44" i="2"/>
  <c r="K45" i="2" s="1"/>
  <c r="L45" i="2" s="1"/>
  <c r="M45" i="2" s="1"/>
  <c r="O44" i="2"/>
  <c r="AQ116" i="2"/>
  <c r="AR116" i="2" s="1"/>
  <c r="AS116" i="2" s="1"/>
  <c r="AP117" i="2"/>
  <c r="AN118" i="2"/>
  <c r="AO118" i="2" s="1"/>
  <c r="FU74" i="3" l="1"/>
  <c r="FU80" i="3"/>
  <c r="FU89" i="3"/>
  <c r="FU41" i="3"/>
  <c r="FU73" i="3"/>
  <c r="FU84" i="3"/>
  <c r="FU107" i="3"/>
  <c r="FU65" i="3"/>
  <c r="FU100" i="3"/>
  <c r="FU58" i="3"/>
  <c r="FU39" i="3"/>
  <c r="FU45" i="3"/>
  <c r="FU130" i="3"/>
  <c r="FU94" i="3"/>
  <c r="FU56" i="3"/>
  <c r="FU50" i="3"/>
  <c r="FU44" i="3"/>
  <c r="FU105" i="3"/>
  <c r="FU127" i="3"/>
  <c r="FU101" i="3"/>
  <c r="FU46" i="3"/>
  <c r="FU54" i="3"/>
  <c r="FU52" i="3"/>
  <c r="FU69" i="3"/>
  <c r="FU109" i="3"/>
  <c r="FU79" i="3"/>
  <c r="FU63" i="3"/>
  <c r="FU123" i="3"/>
  <c r="FU35" i="3"/>
  <c r="FU96" i="3"/>
  <c r="GS119" i="3"/>
  <c r="GV119" i="3" s="1"/>
  <c r="HF119" i="3"/>
  <c r="GS109" i="3"/>
  <c r="GT109" i="3" s="1"/>
  <c r="GU109" i="3" s="1"/>
  <c r="HF109" i="3"/>
  <c r="GS48" i="3"/>
  <c r="GT48" i="3" s="1"/>
  <c r="GU48" i="3" s="1"/>
  <c r="HF48" i="3"/>
  <c r="GS120" i="3"/>
  <c r="GV120" i="3" s="1"/>
  <c r="HF120" i="3"/>
  <c r="GS35" i="3"/>
  <c r="GV35" i="3" s="1"/>
  <c r="HF35" i="3"/>
  <c r="GS117" i="3"/>
  <c r="GV117" i="3" s="1"/>
  <c r="HF117" i="3"/>
  <c r="GS34" i="3"/>
  <c r="GV34" i="3" s="1"/>
  <c r="HF34" i="3"/>
  <c r="GS56" i="3"/>
  <c r="GV56" i="3" s="1"/>
  <c r="HF56" i="3"/>
  <c r="GS70" i="3"/>
  <c r="GT70" i="3" s="1"/>
  <c r="GU70" i="3" s="1"/>
  <c r="HF70" i="3"/>
  <c r="GS40" i="3"/>
  <c r="GT40" i="3" s="1"/>
  <c r="GU40" i="3" s="1"/>
  <c r="HF40" i="3"/>
  <c r="FU67" i="3"/>
  <c r="FU68" i="3"/>
  <c r="GS88" i="3"/>
  <c r="GT88" i="3" s="1"/>
  <c r="GU88" i="3" s="1"/>
  <c r="HF88" i="3"/>
  <c r="GS41" i="3"/>
  <c r="GT41" i="3" s="1"/>
  <c r="GU41" i="3" s="1"/>
  <c r="HF41" i="3"/>
  <c r="GS39" i="3"/>
  <c r="GV39" i="3" s="1"/>
  <c r="HF39" i="3"/>
  <c r="GS72" i="3"/>
  <c r="GT72" i="3" s="1"/>
  <c r="GU72" i="3" s="1"/>
  <c r="HF72" i="3"/>
  <c r="GS125" i="3"/>
  <c r="GT125" i="3" s="1"/>
  <c r="GU125" i="3" s="1"/>
  <c r="HF125" i="3"/>
  <c r="GS79" i="3"/>
  <c r="GT79" i="3" s="1"/>
  <c r="GU79" i="3" s="1"/>
  <c r="HF79" i="3"/>
  <c r="GS82" i="3"/>
  <c r="GV82" i="3" s="1"/>
  <c r="HF82" i="3"/>
  <c r="GS43" i="3"/>
  <c r="GV43" i="3" s="1"/>
  <c r="HF43" i="3"/>
  <c r="GS47" i="3"/>
  <c r="GT47" i="3" s="1"/>
  <c r="GU47" i="3" s="1"/>
  <c r="HF47" i="3"/>
  <c r="GS104" i="3"/>
  <c r="GV104" i="3" s="1"/>
  <c r="HF104" i="3"/>
  <c r="GS124" i="3"/>
  <c r="GV124" i="3" s="1"/>
  <c r="HF124" i="3"/>
  <c r="GS76" i="3"/>
  <c r="GT76" i="3" s="1"/>
  <c r="GU76" i="3" s="1"/>
  <c r="HF76" i="3"/>
  <c r="GS84" i="3"/>
  <c r="GT84" i="3" s="1"/>
  <c r="GU84" i="3" s="1"/>
  <c r="HF84" i="3"/>
  <c r="GS132" i="3"/>
  <c r="GT132" i="3" s="1"/>
  <c r="GU132" i="3" s="1"/>
  <c r="HF132" i="3"/>
  <c r="GS133" i="3"/>
  <c r="GT133" i="3" s="1"/>
  <c r="GU133" i="3" s="1"/>
  <c r="HF133" i="3"/>
  <c r="GS45" i="3"/>
  <c r="GV45" i="3" s="1"/>
  <c r="HF45" i="3"/>
  <c r="GS107" i="3"/>
  <c r="GV107" i="3" s="1"/>
  <c r="HF107" i="3"/>
  <c r="GS69" i="3"/>
  <c r="GT69" i="3" s="1"/>
  <c r="GU69" i="3" s="1"/>
  <c r="HF69" i="3"/>
  <c r="GS108" i="3"/>
  <c r="GT108" i="3" s="1"/>
  <c r="GU108" i="3" s="1"/>
  <c r="HF108" i="3"/>
  <c r="GS94" i="3"/>
  <c r="GT94" i="3" s="1"/>
  <c r="GU94" i="3" s="1"/>
  <c r="HF94" i="3"/>
  <c r="GS86" i="3"/>
  <c r="GV86" i="3" s="1"/>
  <c r="HF86" i="3"/>
  <c r="GS68" i="3"/>
  <c r="GT68" i="3" s="1"/>
  <c r="GU68" i="3" s="1"/>
  <c r="HF68" i="3"/>
  <c r="GS50" i="3"/>
  <c r="GT50" i="3" s="1"/>
  <c r="GU50" i="3" s="1"/>
  <c r="HF50" i="3"/>
  <c r="GS98" i="3"/>
  <c r="GV98" i="3" s="1"/>
  <c r="HF98" i="3"/>
  <c r="GS96" i="3"/>
  <c r="GT96" i="3" s="1"/>
  <c r="GU96" i="3" s="1"/>
  <c r="HF96" i="3"/>
  <c r="GS105" i="3"/>
  <c r="GV105" i="3" s="1"/>
  <c r="HF105" i="3"/>
  <c r="GS100" i="3"/>
  <c r="GV100" i="3" s="1"/>
  <c r="HF100" i="3"/>
  <c r="GS129" i="3"/>
  <c r="GV129" i="3" s="1"/>
  <c r="HF129" i="3"/>
  <c r="GS74" i="3"/>
  <c r="GT74" i="3" s="1"/>
  <c r="GU74" i="3" s="1"/>
  <c r="HF74" i="3"/>
  <c r="GS90" i="3"/>
  <c r="GT90" i="3" s="1"/>
  <c r="GU90" i="3" s="1"/>
  <c r="HF90" i="3"/>
  <c r="GS65" i="3"/>
  <c r="GV65" i="3" s="1"/>
  <c r="HF65" i="3"/>
  <c r="GS61" i="3"/>
  <c r="GT61" i="3" s="1"/>
  <c r="GU61" i="3" s="1"/>
  <c r="HF61" i="3"/>
  <c r="GS44" i="3"/>
  <c r="GT44" i="3" s="1"/>
  <c r="GU44" i="3" s="1"/>
  <c r="HF44" i="3"/>
  <c r="GS67" i="3"/>
  <c r="GV67" i="3" s="1"/>
  <c r="HF67" i="3"/>
  <c r="GS36" i="3"/>
  <c r="GV36" i="3" s="1"/>
  <c r="HF36" i="3"/>
  <c r="GS91" i="3"/>
  <c r="GV91" i="3" s="1"/>
  <c r="HF91" i="3"/>
  <c r="FU108" i="3"/>
  <c r="GS101" i="3"/>
  <c r="GV101" i="3" s="1"/>
  <c r="HF101" i="3"/>
  <c r="FU106" i="3"/>
  <c r="FU53" i="3"/>
  <c r="GS83" i="3"/>
  <c r="GT83" i="3" s="1"/>
  <c r="GU83" i="3" s="1"/>
  <c r="HF83" i="3"/>
  <c r="GS38" i="3"/>
  <c r="GT38" i="3" s="1"/>
  <c r="GU38" i="3" s="1"/>
  <c r="HF38" i="3"/>
  <c r="GS66" i="3"/>
  <c r="GT66" i="3" s="1"/>
  <c r="GU66" i="3" s="1"/>
  <c r="HF66" i="3"/>
  <c r="GS115" i="3"/>
  <c r="GV115" i="3" s="1"/>
  <c r="HF115" i="3"/>
  <c r="GS53" i="3"/>
  <c r="GT53" i="3" s="1"/>
  <c r="GU53" i="3" s="1"/>
  <c r="HF53" i="3"/>
  <c r="GS52" i="3"/>
  <c r="GV52" i="3" s="1"/>
  <c r="HF52" i="3"/>
  <c r="GS81" i="3"/>
  <c r="GV81" i="3" s="1"/>
  <c r="HF81" i="3"/>
  <c r="GS92" i="3"/>
  <c r="GV92" i="3" s="1"/>
  <c r="HF92" i="3"/>
  <c r="GS73" i="3"/>
  <c r="GT73" i="3" s="1"/>
  <c r="GU73" i="3" s="1"/>
  <c r="HF73" i="3"/>
  <c r="GS64" i="3"/>
  <c r="GT64" i="3" s="1"/>
  <c r="GU64" i="3" s="1"/>
  <c r="HF64" i="3"/>
  <c r="GS77" i="3"/>
  <c r="GT77" i="3" s="1"/>
  <c r="GU77" i="3" s="1"/>
  <c r="HF77" i="3"/>
  <c r="GS122" i="3"/>
  <c r="GT122" i="3" s="1"/>
  <c r="GU122" i="3" s="1"/>
  <c r="HF122" i="3"/>
  <c r="GS118" i="3"/>
  <c r="GT118" i="3" s="1"/>
  <c r="GU118" i="3" s="1"/>
  <c r="HF118" i="3"/>
  <c r="GS103" i="3"/>
  <c r="GV103" i="3" s="1"/>
  <c r="HF103" i="3"/>
  <c r="GS130" i="3"/>
  <c r="GT130" i="3" s="1"/>
  <c r="GU130" i="3" s="1"/>
  <c r="HF130" i="3"/>
  <c r="GS60" i="3"/>
  <c r="GT60" i="3" s="1"/>
  <c r="GU60" i="3" s="1"/>
  <c r="HF60" i="3"/>
  <c r="GS106" i="3"/>
  <c r="GV106" i="3" s="1"/>
  <c r="HF106" i="3"/>
  <c r="GS102" i="3"/>
  <c r="GT102" i="3" s="1"/>
  <c r="GU102" i="3" s="1"/>
  <c r="HF102" i="3"/>
  <c r="GS71" i="3"/>
  <c r="GT71" i="3" s="1"/>
  <c r="GU71" i="3" s="1"/>
  <c r="HF71" i="3"/>
  <c r="GS114" i="3"/>
  <c r="GT114" i="3" s="1"/>
  <c r="GU114" i="3" s="1"/>
  <c r="HF114" i="3"/>
  <c r="GS128" i="3"/>
  <c r="GV128" i="3" s="1"/>
  <c r="HF128" i="3"/>
  <c r="GS97" i="3"/>
  <c r="GT97" i="3" s="1"/>
  <c r="GU97" i="3" s="1"/>
  <c r="HF97" i="3"/>
  <c r="GS62" i="3"/>
  <c r="GT62" i="3" s="1"/>
  <c r="GU62" i="3" s="1"/>
  <c r="HF62" i="3"/>
  <c r="GS127" i="3"/>
  <c r="GV127" i="3" s="1"/>
  <c r="HF127" i="3"/>
  <c r="GS78" i="3"/>
  <c r="GV78" i="3" s="1"/>
  <c r="HF78" i="3"/>
  <c r="GS116" i="3"/>
  <c r="GT116" i="3" s="1"/>
  <c r="GU116" i="3" s="1"/>
  <c r="HF116" i="3"/>
  <c r="GS49" i="3"/>
  <c r="GT49" i="3" s="1"/>
  <c r="GU49" i="3" s="1"/>
  <c r="HF49" i="3"/>
  <c r="GS57" i="3"/>
  <c r="GV57" i="3" s="1"/>
  <c r="HF57" i="3"/>
  <c r="GS80" i="3"/>
  <c r="GT80" i="3" s="1"/>
  <c r="GU80" i="3" s="1"/>
  <c r="HF80" i="3"/>
  <c r="GS75" i="3"/>
  <c r="GT75" i="3" s="1"/>
  <c r="GU75" i="3" s="1"/>
  <c r="HF75" i="3"/>
  <c r="GS54" i="3"/>
  <c r="GT54" i="3" s="1"/>
  <c r="GU54" i="3" s="1"/>
  <c r="HF54" i="3"/>
  <c r="GS87" i="3"/>
  <c r="GV87" i="3" s="1"/>
  <c r="HF87" i="3"/>
  <c r="GS59" i="3"/>
  <c r="GT59" i="3" s="1"/>
  <c r="GU59" i="3" s="1"/>
  <c r="HF59" i="3"/>
  <c r="GS110" i="3"/>
  <c r="GT110" i="3" s="1"/>
  <c r="GU110" i="3" s="1"/>
  <c r="HF110" i="3"/>
  <c r="GS46" i="3"/>
  <c r="GV46" i="3" s="1"/>
  <c r="HF46" i="3"/>
  <c r="GS113" i="3"/>
  <c r="GV113" i="3" s="1"/>
  <c r="HF113" i="3"/>
  <c r="GS111" i="3"/>
  <c r="GV111" i="3" s="1"/>
  <c r="HF111" i="3"/>
  <c r="GS123" i="3"/>
  <c r="GV123" i="3" s="1"/>
  <c r="HF123" i="3"/>
  <c r="GS55" i="3"/>
  <c r="GT55" i="3" s="1"/>
  <c r="GU55" i="3" s="1"/>
  <c r="HF55" i="3"/>
  <c r="GS99" i="3"/>
  <c r="GT99" i="3" s="1"/>
  <c r="GU99" i="3" s="1"/>
  <c r="HF99" i="3"/>
  <c r="GS42" i="3"/>
  <c r="GT42" i="3" s="1"/>
  <c r="GU42" i="3" s="1"/>
  <c r="HF42" i="3"/>
  <c r="GS121" i="3"/>
  <c r="GV121" i="3" s="1"/>
  <c r="HF121" i="3"/>
  <c r="GS95" i="3"/>
  <c r="GT95" i="3" s="1"/>
  <c r="GU95" i="3" s="1"/>
  <c r="HF95" i="3"/>
  <c r="GS51" i="3"/>
  <c r="GT51" i="3" s="1"/>
  <c r="GU51" i="3" s="1"/>
  <c r="HF51" i="3"/>
  <c r="GS93" i="3"/>
  <c r="GT93" i="3" s="1"/>
  <c r="GU93" i="3" s="1"/>
  <c r="HF93" i="3"/>
  <c r="GS58" i="3"/>
  <c r="GV58" i="3" s="1"/>
  <c r="HF58" i="3"/>
  <c r="GS89" i="3"/>
  <c r="GT89" i="3" s="1"/>
  <c r="GU89" i="3" s="1"/>
  <c r="HF89" i="3"/>
  <c r="GS131" i="3"/>
  <c r="GV131" i="3" s="1"/>
  <c r="HF131" i="3"/>
  <c r="GS85" i="3"/>
  <c r="GV85" i="3" s="1"/>
  <c r="HF85" i="3"/>
  <c r="GS63" i="3"/>
  <c r="GV63" i="3" s="1"/>
  <c r="HF63" i="3"/>
  <c r="GS134" i="3"/>
  <c r="GT134" i="3" s="1"/>
  <c r="GU134" i="3" s="1"/>
  <c r="HF134" i="3"/>
  <c r="FU64" i="3"/>
  <c r="GS37" i="3"/>
  <c r="GV37" i="3" s="1"/>
  <c r="HF37" i="3"/>
  <c r="GS112" i="3"/>
  <c r="GV112" i="3" s="1"/>
  <c r="HF112" i="3"/>
  <c r="GS126" i="3"/>
  <c r="GV126" i="3" s="1"/>
  <c r="HF126" i="3"/>
  <c r="FU131" i="3"/>
  <c r="FU82" i="3"/>
  <c r="FU121" i="3"/>
  <c r="FU57" i="3"/>
  <c r="FU72" i="3"/>
  <c r="FU119" i="3"/>
  <c r="FU92" i="3"/>
  <c r="FU37" i="3"/>
  <c r="FU104" i="3"/>
  <c r="FU40" i="3"/>
  <c r="FU95" i="3"/>
  <c r="FU48" i="3"/>
  <c r="FU66" i="3"/>
  <c r="FU122" i="3"/>
  <c r="FU129" i="3"/>
  <c r="FU103" i="3"/>
  <c r="FU88" i="3"/>
  <c r="FU90" i="3"/>
  <c r="FU102" i="3"/>
  <c r="FU71" i="3"/>
  <c r="FU116" i="3"/>
  <c r="FU97" i="3"/>
  <c r="FU132" i="3"/>
  <c r="FU111" i="3"/>
  <c r="FU78" i="3"/>
  <c r="FU55" i="3"/>
  <c r="FU75" i="3"/>
  <c r="GH121" i="3"/>
  <c r="GF121" i="3"/>
  <c r="GG121" i="3" s="1"/>
  <c r="GH47" i="3"/>
  <c r="GF47" i="3"/>
  <c r="GG47" i="3" s="1"/>
  <c r="GF53" i="3"/>
  <c r="GG53" i="3" s="1"/>
  <c r="GH53" i="3"/>
  <c r="GF54" i="3"/>
  <c r="GG54" i="3" s="1"/>
  <c r="GH54" i="3"/>
  <c r="GF130" i="3"/>
  <c r="GG130" i="3" s="1"/>
  <c r="GH130" i="3"/>
  <c r="FU70" i="3"/>
  <c r="FU51" i="3"/>
  <c r="GF92" i="3"/>
  <c r="GG92" i="3" s="1"/>
  <c r="GH92" i="3"/>
  <c r="GF72" i="3"/>
  <c r="GG72" i="3" s="1"/>
  <c r="GH72" i="3"/>
  <c r="GF87" i="3"/>
  <c r="GG87" i="3" s="1"/>
  <c r="GH87" i="3"/>
  <c r="GH38" i="3"/>
  <c r="GF38" i="3"/>
  <c r="GG38" i="3" s="1"/>
  <c r="GF58" i="3"/>
  <c r="GG58" i="3" s="1"/>
  <c r="GH58" i="3"/>
  <c r="GH119" i="3"/>
  <c r="GF119" i="3"/>
  <c r="GG119" i="3" s="1"/>
  <c r="GF76" i="3"/>
  <c r="GG76" i="3" s="1"/>
  <c r="GH76" i="3"/>
  <c r="FU126" i="3"/>
  <c r="GH109" i="3"/>
  <c r="GF109" i="3"/>
  <c r="GG109" i="3" s="1"/>
  <c r="GH48" i="3"/>
  <c r="GF48" i="3"/>
  <c r="GG48" i="3" s="1"/>
  <c r="GF120" i="3"/>
  <c r="GG120" i="3" s="1"/>
  <c r="GH120" i="3"/>
  <c r="GH97" i="3"/>
  <c r="GF97" i="3"/>
  <c r="GG97" i="3" s="1"/>
  <c r="GH95" i="3"/>
  <c r="GF95" i="3"/>
  <c r="GG95" i="3" s="1"/>
  <c r="GF57" i="3"/>
  <c r="GG57" i="3" s="1"/>
  <c r="GH57" i="3"/>
  <c r="GF50" i="3"/>
  <c r="GG50" i="3" s="1"/>
  <c r="GH50" i="3"/>
  <c r="GF84" i="3"/>
  <c r="GG84" i="3" s="1"/>
  <c r="GH84" i="3"/>
  <c r="GF68" i="3"/>
  <c r="GG68" i="3" s="1"/>
  <c r="GH68" i="3"/>
  <c r="GH131" i="3"/>
  <c r="GF131" i="3"/>
  <c r="GG131" i="3" s="1"/>
  <c r="GF55" i="3"/>
  <c r="GG55" i="3" s="1"/>
  <c r="GH55" i="3"/>
  <c r="FU98" i="3"/>
  <c r="GH75" i="3"/>
  <c r="GF75" i="3"/>
  <c r="GG75" i="3" s="1"/>
  <c r="GF41" i="3"/>
  <c r="GG41" i="3" s="1"/>
  <c r="GH41" i="3"/>
  <c r="FU62" i="3"/>
  <c r="GH125" i="3"/>
  <c r="GF125" i="3"/>
  <c r="GG125" i="3" s="1"/>
  <c r="GF64" i="3"/>
  <c r="GG64" i="3" s="1"/>
  <c r="GH64" i="3"/>
  <c r="FU76" i="3"/>
  <c r="FU34" i="3"/>
  <c r="FU85" i="3"/>
  <c r="GF85" i="3"/>
  <c r="GG85" i="3" s="1"/>
  <c r="GH85" i="3"/>
  <c r="GH79" i="3"/>
  <c r="GF79" i="3"/>
  <c r="GG79" i="3" s="1"/>
  <c r="FU99" i="3"/>
  <c r="GF82" i="3"/>
  <c r="GG82" i="3" s="1"/>
  <c r="GH82" i="3"/>
  <c r="FU49" i="3"/>
  <c r="GF37" i="3"/>
  <c r="GG37" i="3" s="1"/>
  <c r="GH37" i="3"/>
  <c r="FU36" i="3"/>
  <c r="FU110" i="3"/>
  <c r="FU83" i="3"/>
  <c r="GF39" i="3"/>
  <c r="GG39" i="3" s="1"/>
  <c r="GH39" i="3"/>
  <c r="GH132" i="3"/>
  <c r="GF132" i="3"/>
  <c r="GG132" i="3" s="1"/>
  <c r="GF133" i="3"/>
  <c r="GG133" i="3" s="1"/>
  <c r="GH133" i="3"/>
  <c r="GF45" i="3"/>
  <c r="GG45" i="3" s="1"/>
  <c r="GH45" i="3"/>
  <c r="GH112" i="3"/>
  <c r="GF112" i="3"/>
  <c r="GG112" i="3" s="1"/>
  <c r="GH88" i="3"/>
  <c r="GF88" i="3"/>
  <c r="GG88" i="3" s="1"/>
  <c r="FU113" i="3"/>
  <c r="FU112" i="3"/>
  <c r="FU115" i="3"/>
  <c r="GF46" i="3"/>
  <c r="GG46" i="3" s="1"/>
  <c r="GH46" i="3"/>
  <c r="FU61" i="3"/>
  <c r="GH34" i="3"/>
  <c r="GF34" i="3"/>
  <c r="GG34" i="3" s="1"/>
  <c r="GF90" i="3"/>
  <c r="GG90" i="3" s="1"/>
  <c r="GH90" i="3"/>
  <c r="GH65" i="3"/>
  <c r="GF65" i="3"/>
  <c r="GG65" i="3" s="1"/>
  <c r="GH110" i="3"/>
  <c r="GF110" i="3"/>
  <c r="GG110" i="3" s="1"/>
  <c r="GF63" i="3"/>
  <c r="GG63" i="3" s="1"/>
  <c r="GH63" i="3"/>
  <c r="GF106" i="3"/>
  <c r="GG106" i="3" s="1"/>
  <c r="GH106" i="3"/>
  <c r="FU59" i="3"/>
  <c r="GH96" i="3"/>
  <c r="GF96" i="3"/>
  <c r="GG96" i="3" s="1"/>
  <c r="GH99" i="3"/>
  <c r="GF99" i="3"/>
  <c r="GG99" i="3" s="1"/>
  <c r="FU118" i="3"/>
  <c r="FU47" i="3"/>
  <c r="GH77" i="3"/>
  <c r="GF77" i="3"/>
  <c r="GG77" i="3" s="1"/>
  <c r="GH105" i="3"/>
  <c r="GF105" i="3"/>
  <c r="GG105" i="3" s="1"/>
  <c r="GH124" i="3"/>
  <c r="GF124" i="3"/>
  <c r="GG124" i="3" s="1"/>
  <c r="FU60" i="3"/>
  <c r="GF59" i="3"/>
  <c r="GG59" i="3" s="1"/>
  <c r="GH59" i="3"/>
  <c r="GF98" i="3"/>
  <c r="GG98" i="3" s="1"/>
  <c r="GH98" i="3"/>
  <c r="GH73" i="3"/>
  <c r="GF73" i="3"/>
  <c r="GG73" i="3" s="1"/>
  <c r="GF44" i="3"/>
  <c r="GG44" i="3" s="1"/>
  <c r="GH44" i="3"/>
  <c r="GF71" i="3"/>
  <c r="GG71" i="3" s="1"/>
  <c r="GH71" i="3"/>
  <c r="GH134" i="3"/>
  <c r="GF134" i="3"/>
  <c r="GG134" i="3" s="1"/>
  <c r="FU133" i="3"/>
  <c r="FU124" i="3"/>
  <c r="GF114" i="3"/>
  <c r="GG114" i="3" s="1"/>
  <c r="GH114" i="3"/>
  <c r="GH83" i="3"/>
  <c r="GF83" i="3"/>
  <c r="GG83" i="3" s="1"/>
  <c r="GH78" i="3"/>
  <c r="GF78" i="3"/>
  <c r="GG78" i="3" s="1"/>
  <c r="GF126" i="3"/>
  <c r="GG126" i="3" s="1"/>
  <c r="GH126" i="3"/>
  <c r="GH122" i="3"/>
  <c r="GF122" i="3"/>
  <c r="GG122" i="3" s="1"/>
  <c r="FU91" i="3"/>
  <c r="GF69" i="3"/>
  <c r="GG69" i="3" s="1"/>
  <c r="GH69" i="3"/>
  <c r="GH60" i="3"/>
  <c r="GF60" i="3"/>
  <c r="GG60" i="3" s="1"/>
  <c r="GF123" i="3"/>
  <c r="GG123" i="3" s="1"/>
  <c r="GH123" i="3"/>
  <c r="GH128" i="3"/>
  <c r="GF128" i="3"/>
  <c r="GG128" i="3" s="1"/>
  <c r="GF51" i="3"/>
  <c r="GG51" i="3" s="1"/>
  <c r="GH51" i="3"/>
  <c r="GH93" i="3"/>
  <c r="GF93" i="3"/>
  <c r="GG93" i="3" s="1"/>
  <c r="FU120" i="3"/>
  <c r="GF80" i="3"/>
  <c r="GG80" i="3" s="1"/>
  <c r="GH80" i="3"/>
  <c r="GF118" i="3"/>
  <c r="GG118" i="3" s="1"/>
  <c r="GH118" i="3"/>
  <c r="GH104" i="3"/>
  <c r="GF104" i="3"/>
  <c r="GG104" i="3" s="1"/>
  <c r="FU81" i="3"/>
  <c r="GH74" i="3"/>
  <c r="GF74" i="3"/>
  <c r="GG74" i="3" s="1"/>
  <c r="GF86" i="3"/>
  <c r="GG86" i="3" s="1"/>
  <c r="GH86" i="3"/>
  <c r="GH61" i="3"/>
  <c r="GF61" i="3"/>
  <c r="GG61" i="3" s="1"/>
  <c r="GF101" i="3"/>
  <c r="GG101" i="3" s="1"/>
  <c r="GH101" i="3"/>
  <c r="GF116" i="3"/>
  <c r="GG116" i="3" s="1"/>
  <c r="GH116" i="3"/>
  <c r="FU77" i="3"/>
  <c r="GH127" i="3"/>
  <c r="GF127" i="3"/>
  <c r="GG127" i="3" s="1"/>
  <c r="GF42" i="3"/>
  <c r="GG42" i="3" s="1"/>
  <c r="GH42" i="3"/>
  <c r="GF43" i="3"/>
  <c r="GG43" i="3" s="1"/>
  <c r="GH43" i="3"/>
  <c r="FU43" i="3"/>
  <c r="GF107" i="3"/>
  <c r="GG107" i="3" s="1"/>
  <c r="GH107" i="3"/>
  <c r="GF117" i="3"/>
  <c r="GG117" i="3" s="1"/>
  <c r="GH117" i="3"/>
  <c r="GF100" i="3"/>
  <c r="GG100" i="3" s="1"/>
  <c r="GH100" i="3"/>
  <c r="GF115" i="3"/>
  <c r="GG115" i="3" s="1"/>
  <c r="GH115" i="3"/>
  <c r="FU134" i="3"/>
  <c r="FU117" i="3"/>
  <c r="GF52" i="3"/>
  <c r="GG52" i="3" s="1"/>
  <c r="GH52" i="3"/>
  <c r="GF81" i="3"/>
  <c r="GG81" i="3" s="1"/>
  <c r="GH81" i="3"/>
  <c r="GH103" i="3"/>
  <c r="GF103" i="3"/>
  <c r="GG103" i="3" s="1"/>
  <c r="GF35" i="3"/>
  <c r="GG35" i="3" s="1"/>
  <c r="GH35" i="3"/>
  <c r="GF108" i="3"/>
  <c r="GG108" i="3" s="1"/>
  <c r="GH108" i="3"/>
  <c r="GF94" i="3"/>
  <c r="GG94" i="3" s="1"/>
  <c r="GH94" i="3"/>
  <c r="GF129" i="3"/>
  <c r="GG129" i="3" s="1"/>
  <c r="GH129" i="3"/>
  <c r="GH66" i="3"/>
  <c r="GF66" i="3"/>
  <c r="GG66" i="3" s="1"/>
  <c r="GH56" i="3"/>
  <c r="GF56" i="3"/>
  <c r="GG56" i="3" s="1"/>
  <c r="GF70" i="3"/>
  <c r="GG70" i="3" s="1"/>
  <c r="GH70" i="3"/>
  <c r="GF40" i="3"/>
  <c r="GG40" i="3" s="1"/>
  <c r="GH40" i="3"/>
  <c r="GF89" i="3"/>
  <c r="GG89" i="3" s="1"/>
  <c r="GH89" i="3"/>
  <c r="FU87" i="3"/>
  <c r="FU93" i="3"/>
  <c r="GH113" i="3"/>
  <c r="GF113" i="3"/>
  <c r="GG113" i="3" s="1"/>
  <c r="GF102" i="3"/>
  <c r="GG102" i="3" s="1"/>
  <c r="GH102" i="3"/>
  <c r="GF67" i="3"/>
  <c r="GG67" i="3" s="1"/>
  <c r="GH67" i="3"/>
  <c r="GF36" i="3"/>
  <c r="GG36" i="3" s="1"/>
  <c r="GH36" i="3"/>
  <c r="GH91" i="3"/>
  <c r="GF91" i="3"/>
  <c r="GG91" i="3" s="1"/>
  <c r="FU128" i="3"/>
  <c r="GF62" i="3"/>
  <c r="GG62" i="3" s="1"/>
  <c r="GH62" i="3"/>
  <c r="FU125" i="3"/>
  <c r="GF111" i="3"/>
  <c r="GG111" i="3" s="1"/>
  <c r="GH111" i="3"/>
  <c r="FU38" i="3"/>
  <c r="FU86" i="3"/>
  <c r="GH49" i="3"/>
  <c r="GF49" i="3"/>
  <c r="GG49" i="3" s="1"/>
  <c r="N41" i="3"/>
  <c r="J42" i="3" s="1"/>
  <c r="J45" i="2"/>
  <c r="N45" i="2" s="1"/>
  <c r="AQ117" i="2"/>
  <c r="AR117" i="2" s="1"/>
  <c r="AS117" i="2" s="1"/>
  <c r="AP118" i="2"/>
  <c r="AN119" i="2"/>
  <c r="AO119" i="2" s="1"/>
  <c r="GV41" i="3" l="1"/>
  <c r="GW41" i="3" s="1"/>
  <c r="GV109" i="3"/>
  <c r="GW109" i="3" s="1"/>
  <c r="GV50" i="3"/>
  <c r="GW50" i="3" s="1"/>
  <c r="GV84" i="3"/>
  <c r="GV42" i="3"/>
  <c r="GW42" i="3" s="1"/>
  <c r="GV72" i="3"/>
  <c r="GW72" i="3" s="1"/>
  <c r="GT120" i="3"/>
  <c r="GU120" i="3" s="1"/>
  <c r="GT67" i="3"/>
  <c r="GU67" i="3" s="1"/>
  <c r="GV102" i="3"/>
  <c r="GV76" i="3"/>
  <c r="GV99" i="3"/>
  <c r="GW99" i="3" s="1"/>
  <c r="GI55" i="3"/>
  <c r="GT92" i="3"/>
  <c r="GU92" i="3" s="1"/>
  <c r="GV122" i="3"/>
  <c r="GW122" i="3" s="1"/>
  <c r="GV75" i="3"/>
  <c r="GW75" i="3" s="1"/>
  <c r="GI118" i="3"/>
  <c r="GT101" i="3"/>
  <c r="GU101" i="3" s="1"/>
  <c r="GV134" i="3"/>
  <c r="GW134" i="3" s="1"/>
  <c r="GV80" i="3"/>
  <c r="GT46" i="3"/>
  <c r="GU46" i="3" s="1"/>
  <c r="GV38" i="3"/>
  <c r="GW38" i="3" s="1"/>
  <c r="GT34" i="3"/>
  <c r="GU34" i="3" s="1"/>
  <c r="GT82" i="3"/>
  <c r="GU82" i="3" s="1"/>
  <c r="GT107" i="3"/>
  <c r="GU107" i="3" s="1"/>
  <c r="GT117" i="3"/>
  <c r="GU117" i="3" s="1"/>
  <c r="GV79" i="3"/>
  <c r="GW79" i="3" s="1"/>
  <c r="GT43" i="3"/>
  <c r="GU43" i="3" s="1"/>
  <c r="GT112" i="3"/>
  <c r="GU112" i="3" s="1"/>
  <c r="GI53" i="3"/>
  <c r="GV62" i="3"/>
  <c r="GW62" i="3" s="1"/>
  <c r="GT128" i="3"/>
  <c r="GU128" i="3" s="1"/>
  <c r="GI90" i="3"/>
  <c r="GV90" i="3"/>
  <c r="GW90" i="3" s="1"/>
  <c r="GI120" i="3"/>
  <c r="GV74" i="3"/>
  <c r="GW74" i="3" s="1"/>
  <c r="GI40" i="3"/>
  <c r="GI42" i="3"/>
  <c r="GT81" i="3"/>
  <c r="GU81" i="3" s="1"/>
  <c r="GT129" i="3"/>
  <c r="GU129" i="3" s="1"/>
  <c r="GV40" i="3"/>
  <c r="GW40" i="3" s="1"/>
  <c r="GW84" i="3"/>
  <c r="GV69" i="3"/>
  <c r="GW69" i="3" s="1"/>
  <c r="GI102" i="3"/>
  <c r="GI89" i="3"/>
  <c r="GI82" i="3"/>
  <c r="GI68" i="3"/>
  <c r="GI133" i="3"/>
  <c r="GT98" i="3"/>
  <c r="GU98" i="3" s="1"/>
  <c r="GV66" i="3"/>
  <c r="GW66" i="3" s="1"/>
  <c r="GT104" i="3"/>
  <c r="GU104" i="3" s="1"/>
  <c r="GT56" i="3"/>
  <c r="GU56" i="3" s="1"/>
  <c r="GT113" i="3"/>
  <c r="GU113" i="3" s="1"/>
  <c r="GT123" i="3"/>
  <c r="GU123" i="3" s="1"/>
  <c r="GV97" i="3"/>
  <c r="GW97" i="3" s="1"/>
  <c r="GT45" i="3"/>
  <c r="GU45" i="3" s="1"/>
  <c r="GI71" i="3"/>
  <c r="GT126" i="3"/>
  <c r="GU126" i="3" s="1"/>
  <c r="GV73" i="3"/>
  <c r="GW73" i="3" s="1"/>
  <c r="GV95" i="3"/>
  <c r="GW95" i="3" s="1"/>
  <c r="GV51" i="3"/>
  <c r="GW51" i="3" s="1"/>
  <c r="GT87" i="3"/>
  <c r="GU87" i="3" s="1"/>
  <c r="GV125" i="3"/>
  <c r="GW125" i="3" s="1"/>
  <c r="GT100" i="3"/>
  <c r="GU100" i="3" s="1"/>
  <c r="GI126" i="3"/>
  <c r="GI76" i="3"/>
  <c r="GT35" i="3"/>
  <c r="GU35" i="3" s="1"/>
  <c r="GV77" i="3"/>
  <c r="GW77" i="3" s="1"/>
  <c r="GV114" i="3"/>
  <c r="GW114" i="3" s="1"/>
  <c r="GV132" i="3"/>
  <c r="GW132" i="3" s="1"/>
  <c r="GI117" i="3"/>
  <c r="GT37" i="3"/>
  <c r="GU37" i="3" s="1"/>
  <c r="GI46" i="3"/>
  <c r="GI39" i="3"/>
  <c r="GI101" i="3"/>
  <c r="GI50" i="3"/>
  <c r="GV59" i="3"/>
  <c r="GW59" i="3" s="1"/>
  <c r="GT91" i="3"/>
  <c r="GU91" i="3" s="1"/>
  <c r="GV54" i="3"/>
  <c r="GW54" i="3" s="1"/>
  <c r="GT121" i="3"/>
  <c r="GU121" i="3" s="1"/>
  <c r="GV71" i="3"/>
  <c r="GW71" i="3" s="1"/>
  <c r="GT106" i="3"/>
  <c r="GU106" i="3" s="1"/>
  <c r="GT36" i="3"/>
  <c r="GU36" i="3" s="1"/>
  <c r="GT39" i="3"/>
  <c r="GU39" i="3" s="1"/>
  <c r="GV88" i="3"/>
  <c r="GW88" i="3" s="1"/>
  <c r="GI81" i="3"/>
  <c r="GT119" i="3"/>
  <c r="GU119" i="3" s="1"/>
  <c r="GV130" i="3"/>
  <c r="GW130" i="3" s="1"/>
  <c r="GT57" i="3"/>
  <c r="GU57" i="3" s="1"/>
  <c r="GV44" i="3"/>
  <c r="GW44" i="3" s="1"/>
  <c r="GI69" i="3"/>
  <c r="GI130" i="3"/>
  <c r="HT131" i="3"/>
  <c r="HG131" i="3"/>
  <c r="HG111" i="3"/>
  <c r="HT111" i="3"/>
  <c r="HG116" i="3"/>
  <c r="HT116" i="3"/>
  <c r="HG130" i="3"/>
  <c r="HT130" i="3"/>
  <c r="HG115" i="3"/>
  <c r="HT115" i="3"/>
  <c r="HG78" i="3"/>
  <c r="HT78" i="3"/>
  <c r="HG58" i="3"/>
  <c r="HT58" i="3"/>
  <c r="HG46" i="3"/>
  <c r="HT46" i="3"/>
  <c r="HG127" i="3"/>
  <c r="HT127" i="3"/>
  <c r="HG118" i="3"/>
  <c r="HT118" i="3"/>
  <c r="HG38" i="3"/>
  <c r="HT38" i="3"/>
  <c r="HG85" i="3"/>
  <c r="HT85" i="3"/>
  <c r="HG74" i="3"/>
  <c r="HT74" i="3"/>
  <c r="HG69" i="3"/>
  <c r="HT69" i="3"/>
  <c r="HG82" i="3"/>
  <c r="HT82" i="3"/>
  <c r="HG34" i="3"/>
  <c r="HT34" i="3"/>
  <c r="HG47" i="3"/>
  <c r="HT47" i="3"/>
  <c r="GT63" i="3"/>
  <c r="GU63" i="3" s="1"/>
  <c r="GT111" i="3"/>
  <c r="GU111" i="3" s="1"/>
  <c r="GW102" i="3"/>
  <c r="GI35" i="3"/>
  <c r="GW80" i="3"/>
  <c r="GI51" i="3"/>
  <c r="GI37" i="3"/>
  <c r="GI92" i="3"/>
  <c r="HG93" i="3"/>
  <c r="HT93" i="3"/>
  <c r="HG110" i="3"/>
  <c r="HT110" i="3"/>
  <c r="HT62" i="3"/>
  <c r="HG62" i="3"/>
  <c r="HG122" i="3"/>
  <c r="HT122" i="3"/>
  <c r="HG83" i="3"/>
  <c r="HT83" i="3"/>
  <c r="HG49" i="3"/>
  <c r="HT49" i="3"/>
  <c r="HG117" i="3"/>
  <c r="HT117" i="3"/>
  <c r="GV89" i="3"/>
  <c r="GW89" i="3" s="1"/>
  <c r="GV93" i="3"/>
  <c r="GW93" i="3" s="1"/>
  <c r="GI41" i="3"/>
  <c r="GV108" i="3"/>
  <c r="GW108" i="3" s="1"/>
  <c r="HG51" i="3"/>
  <c r="HT51" i="3"/>
  <c r="HG59" i="3"/>
  <c r="HT59" i="3"/>
  <c r="HG97" i="3"/>
  <c r="HT97" i="3"/>
  <c r="HG77" i="3"/>
  <c r="HT77" i="3"/>
  <c r="HG61" i="3"/>
  <c r="HT61" i="3"/>
  <c r="GT52" i="3"/>
  <c r="GU52" i="3" s="1"/>
  <c r="GI59" i="3"/>
  <c r="GI45" i="3"/>
  <c r="GT86" i="3"/>
  <c r="GU86" i="3" s="1"/>
  <c r="HG126" i="3"/>
  <c r="HT126" i="3"/>
  <c r="HT100" i="3"/>
  <c r="HG100" i="3"/>
  <c r="HG45" i="3"/>
  <c r="HT45" i="3"/>
  <c r="HG125" i="3"/>
  <c r="HT125" i="3"/>
  <c r="HG35" i="3"/>
  <c r="HT35" i="3"/>
  <c r="HG123" i="3"/>
  <c r="HT123" i="3"/>
  <c r="HG65" i="3"/>
  <c r="HT65" i="3"/>
  <c r="HG95" i="3"/>
  <c r="HT95" i="3"/>
  <c r="HT87" i="3"/>
  <c r="HG87" i="3"/>
  <c r="HG128" i="3"/>
  <c r="HT128" i="3"/>
  <c r="HT64" i="3"/>
  <c r="HG64" i="3"/>
  <c r="HG101" i="3"/>
  <c r="HT101" i="3"/>
  <c r="HG103" i="3"/>
  <c r="HT103" i="3"/>
  <c r="GV116" i="3"/>
  <c r="GW116" i="3" s="1"/>
  <c r="HT121" i="3"/>
  <c r="HG121" i="3"/>
  <c r="HG114" i="3"/>
  <c r="HT114" i="3"/>
  <c r="HG73" i="3"/>
  <c r="HT73" i="3"/>
  <c r="HT124" i="3"/>
  <c r="HG124" i="3"/>
  <c r="HG60" i="3"/>
  <c r="HT60" i="3"/>
  <c r="HG40" i="3"/>
  <c r="HT40" i="3"/>
  <c r="HG113" i="3"/>
  <c r="HT113" i="3"/>
  <c r="HG56" i="3"/>
  <c r="HT56" i="3"/>
  <c r="HG79" i="3"/>
  <c r="HT79" i="3"/>
  <c r="GV110" i="3"/>
  <c r="GW110" i="3" s="1"/>
  <c r="GV94" i="3"/>
  <c r="GW94" i="3" s="1"/>
  <c r="HG112" i="3"/>
  <c r="HT112" i="3"/>
  <c r="HG105" i="3"/>
  <c r="HT105" i="3"/>
  <c r="HG133" i="3"/>
  <c r="HT133" i="3"/>
  <c r="HG72" i="3"/>
  <c r="HT72" i="3"/>
  <c r="HT120" i="3"/>
  <c r="HG120" i="3"/>
  <c r="GT78" i="3"/>
  <c r="GU78" i="3" s="1"/>
  <c r="GV53" i="3"/>
  <c r="GW53" i="3" s="1"/>
  <c r="GV49" i="3"/>
  <c r="GW49" i="3" s="1"/>
  <c r="GT131" i="3"/>
  <c r="GU131" i="3" s="1"/>
  <c r="GV83" i="3"/>
  <c r="GW83" i="3" s="1"/>
  <c r="GV70" i="3"/>
  <c r="GW70" i="3" s="1"/>
  <c r="HG54" i="3"/>
  <c r="HT54" i="3"/>
  <c r="GV61" i="3"/>
  <c r="GW61" i="3" s="1"/>
  <c r="GT85" i="3"/>
  <c r="GU85" i="3" s="1"/>
  <c r="HG37" i="3"/>
  <c r="HT37" i="3"/>
  <c r="HG91" i="3"/>
  <c r="HT91" i="3"/>
  <c r="HG96" i="3"/>
  <c r="HT96" i="3"/>
  <c r="HG132" i="3"/>
  <c r="HT132" i="3"/>
  <c r="HG39" i="3"/>
  <c r="HT39" i="3"/>
  <c r="HG48" i="3"/>
  <c r="HT48" i="3"/>
  <c r="HG42" i="3"/>
  <c r="HT42" i="3"/>
  <c r="HG36" i="3"/>
  <c r="HT36" i="3"/>
  <c r="HG84" i="3"/>
  <c r="HT84" i="3"/>
  <c r="HG44" i="3"/>
  <c r="HT44" i="3"/>
  <c r="HG70" i="3"/>
  <c r="HT70" i="3"/>
  <c r="GV55" i="3"/>
  <c r="GW55" i="3" s="1"/>
  <c r="HT89" i="3"/>
  <c r="HG89" i="3"/>
  <c r="HG66" i="3"/>
  <c r="HT66" i="3"/>
  <c r="HT43" i="3"/>
  <c r="HG43" i="3"/>
  <c r="GT58" i="3"/>
  <c r="GU58" i="3" s="1"/>
  <c r="HG75" i="3"/>
  <c r="HT75" i="3"/>
  <c r="GV118" i="3"/>
  <c r="GW118" i="3" s="1"/>
  <c r="GV96" i="3"/>
  <c r="GW96" i="3" s="1"/>
  <c r="HG109" i="3"/>
  <c r="HT109" i="3"/>
  <c r="GT127" i="3"/>
  <c r="GU127" i="3" s="1"/>
  <c r="GV60" i="3"/>
  <c r="GW60" i="3" s="1"/>
  <c r="GT124" i="3"/>
  <c r="GU124" i="3" s="1"/>
  <c r="GV133" i="3"/>
  <c r="GW133" i="3" s="1"/>
  <c r="GT103" i="3"/>
  <c r="GU103" i="3" s="1"/>
  <c r="GV48" i="3"/>
  <c r="GW48" i="3" s="1"/>
  <c r="GT105" i="3"/>
  <c r="GU105" i="3" s="1"/>
  <c r="HG134" i="3"/>
  <c r="HT134" i="3"/>
  <c r="HG99" i="3"/>
  <c r="HT99" i="3"/>
  <c r="HG80" i="3"/>
  <c r="HT80" i="3"/>
  <c r="HG102" i="3"/>
  <c r="HT102" i="3"/>
  <c r="HG81" i="3"/>
  <c r="HT81" i="3"/>
  <c r="HG53" i="3"/>
  <c r="HT53" i="3"/>
  <c r="HG104" i="3"/>
  <c r="HT104" i="3"/>
  <c r="HG94" i="3"/>
  <c r="HT94" i="3"/>
  <c r="HG108" i="3"/>
  <c r="HT108" i="3"/>
  <c r="HT107" i="3"/>
  <c r="HG107" i="3"/>
  <c r="GT115" i="3"/>
  <c r="GU115" i="3" s="1"/>
  <c r="HG92" i="3"/>
  <c r="HT92" i="3"/>
  <c r="HG98" i="3"/>
  <c r="HT98" i="3"/>
  <c r="GV64" i="3"/>
  <c r="GW64" i="3" s="1"/>
  <c r="GV47" i="3"/>
  <c r="GW47" i="3" s="1"/>
  <c r="HG67" i="3"/>
  <c r="HT67" i="3"/>
  <c r="HT50" i="3"/>
  <c r="HG50" i="3"/>
  <c r="HT76" i="3"/>
  <c r="HG76" i="3"/>
  <c r="HT88" i="3"/>
  <c r="HG88" i="3"/>
  <c r="HG119" i="3"/>
  <c r="HT119" i="3"/>
  <c r="HG68" i="3"/>
  <c r="HT68" i="3"/>
  <c r="HG86" i="3"/>
  <c r="HT86" i="3"/>
  <c r="GV68" i="3"/>
  <c r="GW68" i="3" s="1"/>
  <c r="HG90" i="3"/>
  <c r="HT90" i="3"/>
  <c r="HG129" i="3"/>
  <c r="HT129" i="3"/>
  <c r="HG71" i="3"/>
  <c r="HT71" i="3"/>
  <c r="HG41" i="3"/>
  <c r="HT41" i="3"/>
  <c r="GT65" i="3"/>
  <c r="GU65" i="3" s="1"/>
  <c r="GI94" i="3"/>
  <c r="GI107" i="3"/>
  <c r="GI85" i="3"/>
  <c r="HT63" i="3"/>
  <c r="HG63" i="3"/>
  <c r="HG55" i="3"/>
  <c r="HT55" i="3"/>
  <c r="HG57" i="3"/>
  <c r="HT57" i="3"/>
  <c r="HG106" i="3"/>
  <c r="HT106" i="3"/>
  <c r="HG52" i="3"/>
  <c r="HT52" i="3"/>
  <c r="GI106" i="3"/>
  <c r="GI80" i="3"/>
  <c r="GI44" i="3"/>
  <c r="GI57" i="3"/>
  <c r="GI62" i="3"/>
  <c r="GI98" i="3"/>
  <c r="GI84" i="3"/>
  <c r="GI70" i="3"/>
  <c r="GI108" i="3"/>
  <c r="GI115" i="3"/>
  <c r="GI122" i="3"/>
  <c r="GI131" i="3"/>
  <c r="GI97" i="3"/>
  <c r="GI72" i="3"/>
  <c r="GI54" i="3"/>
  <c r="GI100" i="3"/>
  <c r="GI86" i="3"/>
  <c r="GI114" i="3"/>
  <c r="GI79" i="3"/>
  <c r="GI119" i="3"/>
  <c r="GI47" i="3"/>
  <c r="GI66" i="3"/>
  <c r="GI67" i="3"/>
  <c r="GI129" i="3"/>
  <c r="GI116" i="3"/>
  <c r="GI58" i="3"/>
  <c r="GI63" i="3"/>
  <c r="GI111" i="3"/>
  <c r="GI36" i="3"/>
  <c r="GI52" i="3"/>
  <c r="GI127" i="3"/>
  <c r="GI123" i="3"/>
  <c r="GI105" i="3"/>
  <c r="GI75" i="3"/>
  <c r="GI125" i="3"/>
  <c r="GI134" i="3"/>
  <c r="GI49" i="3"/>
  <c r="GI83" i="3"/>
  <c r="GI91" i="3"/>
  <c r="GI77" i="3"/>
  <c r="GI38" i="3"/>
  <c r="GI104" i="3"/>
  <c r="GI110" i="3"/>
  <c r="GI74" i="3"/>
  <c r="GI124" i="3"/>
  <c r="GI65" i="3"/>
  <c r="GI88" i="3"/>
  <c r="GI87" i="3"/>
  <c r="GI56" i="3"/>
  <c r="GI132" i="3"/>
  <c r="GI121" i="3"/>
  <c r="GI96" i="3"/>
  <c r="GI48" i="3"/>
  <c r="GI103" i="3"/>
  <c r="GI95" i="3"/>
  <c r="GI93" i="3"/>
  <c r="GI73" i="3"/>
  <c r="GI34" i="3"/>
  <c r="GI112" i="3"/>
  <c r="GI113" i="3"/>
  <c r="GI78" i="3"/>
  <c r="GI109" i="3"/>
  <c r="GI128" i="3"/>
  <c r="GI60" i="3"/>
  <c r="GW76" i="3"/>
  <c r="GI43" i="3"/>
  <c r="GI61" i="3"/>
  <c r="GI99" i="3"/>
  <c r="GI64" i="3"/>
  <c r="K42" i="3"/>
  <c r="O41" i="3"/>
  <c r="O45" i="2"/>
  <c r="K46" i="2"/>
  <c r="L46" i="2" s="1"/>
  <c r="M46" i="2" s="1"/>
  <c r="J46" i="2"/>
  <c r="N46" i="2" s="1"/>
  <c r="AQ118" i="2"/>
  <c r="AR118" i="2" s="1"/>
  <c r="AS118" i="2" s="1"/>
  <c r="AP119" i="2"/>
  <c r="AN120" i="2"/>
  <c r="AO120" i="2" s="1"/>
  <c r="GW67" i="3" l="1"/>
  <c r="GW120" i="3"/>
  <c r="GW34" i="3"/>
  <c r="GW119" i="3"/>
  <c r="GW46" i="3"/>
  <c r="GW101" i="3"/>
  <c r="GW92" i="3"/>
  <c r="GW43" i="3"/>
  <c r="GW107" i="3"/>
  <c r="GW112" i="3"/>
  <c r="GW82" i="3"/>
  <c r="GW128" i="3"/>
  <c r="GW57" i="3"/>
  <c r="GW117" i="3"/>
  <c r="GW45" i="3"/>
  <c r="GW81" i="3"/>
  <c r="GW121" i="3"/>
  <c r="GW126" i="3"/>
  <c r="GW129" i="3"/>
  <c r="GW113" i="3"/>
  <c r="GW104" i="3"/>
  <c r="GW87" i="3"/>
  <c r="GW123" i="3"/>
  <c r="GW78" i="3"/>
  <c r="GW103" i="3"/>
  <c r="GW58" i="3"/>
  <c r="GW98" i="3"/>
  <c r="GW56" i="3"/>
  <c r="GW37" i="3"/>
  <c r="GW106" i="3"/>
  <c r="GW35" i="3"/>
  <c r="GW100" i="3"/>
  <c r="GW91" i="3"/>
  <c r="GW36" i="3"/>
  <c r="GW65" i="3"/>
  <c r="GW39" i="3"/>
  <c r="IH46" i="3"/>
  <c r="HU46" i="3"/>
  <c r="HU92" i="3"/>
  <c r="IH92" i="3"/>
  <c r="HH34" i="3"/>
  <c r="HI34" i="3" s="1"/>
  <c r="HJ34" i="3"/>
  <c r="HH115" i="3"/>
  <c r="HI115" i="3" s="1"/>
  <c r="HJ115" i="3"/>
  <c r="HU117" i="3"/>
  <c r="IH117" i="3"/>
  <c r="HH78" i="3"/>
  <c r="HI78" i="3" s="1"/>
  <c r="HJ78" i="3"/>
  <c r="HH113" i="3"/>
  <c r="HI113" i="3" s="1"/>
  <c r="HJ113" i="3"/>
  <c r="GW86" i="3"/>
  <c r="HH106" i="3"/>
  <c r="HI106" i="3" s="1"/>
  <c r="HJ106" i="3"/>
  <c r="HU68" i="3"/>
  <c r="IH68" i="3"/>
  <c r="HH108" i="3"/>
  <c r="HI108" i="3" s="1"/>
  <c r="HJ108" i="3"/>
  <c r="HU36" i="3"/>
  <c r="IH36" i="3"/>
  <c r="HU40" i="3"/>
  <c r="IH40" i="3"/>
  <c r="IH87" i="3"/>
  <c r="HU87" i="3"/>
  <c r="HH83" i="3"/>
  <c r="HI83" i="3" s="1"/>
  <c r="HJ83" i="3"/>
  <c r="HU82" i="3"/>
  <c r="IH82" i="3"/>
  <c r="HU130" i="3"/>
  <c r="IH130" i="3"/>
  <c r="HU37" i="3"/>
  <c r="IH37" i="3"/>
  <c r="HU134" i="3"/>
  <c r="IH134" i="3"/>
  <c r="HU70" i="3"/>
  <c r="IH70" i="3"/>
  <c r="HH64" i="3"/>
  <c r="HI64" i="3" s="1"/>
  <c r="HJ64" i="3"/>
  <c r="HH54" i="3"/>
  <c r="HI54" i="3" s="1"/>
  <c r="HJ54" i="3"/>
  <c r="HU95" i="3"/>
  <c r="IH95" i="3"/>
  <c r="GW105" i="3"/>
  <c r="HH57" i="3"/>
  <c r="HI57" i="3" s="1"/>
  <c r="HJ57" i="3"/>
  <c r="HU119" i="3"/>
  <c r="IH119" i="3"/>
  <c r="HJ94" i="3"/>
  <c r="HH94" i="3"/>
  <c r="HI94" i="3" s="1"/>
  <c r="IH109" i="3"/>
  <c r="HU109" i="3"/>
  <c r="HU42" i="3"/>
  <c r="IH42" i="3"/>
  <c r="HU60" i="3"/>
  <c r="IH60" i="3"/>
  <c r="HJ95" i="3"/>
  <c r="HH95" i="3"/>
  <c r="HI95" i="3" s="1"/>
  <c r="HH61" i="3"/>
  <c r="HI61" i="3" s="1"/>
  <c r="HJ61" i="3"/>
  <c r="HH122" i="3"/>
  <c r="HI122" i="3" s="1"/>
  <c r="HJ122" i="3"/>
  <c r="HU69" i="3"/>
  <c r="IH69" i="3"/>
  <c r="HU116" i="3"/>
  <c r="IH116" i="3"/>
  <c r="HH99" i="3"/>
  <c r="HI99" i="3" s="1"/>
  <c r="HJ99" i="3"/>
  <c r="HU126" i="3"/>
  <c r="IH126" i="3"/>
  <c r="HH70" i="3"/>
  <c r="HI70" i="3" s="1"/>
  <c r="HJ70" i="3"/>
  <c r="HH117" i="3"/>
  <c r="HI117" i="3" s="1"/>
  <c r="HJ117" i="3"/>
  <c r="HU52" i="3"/>
  <c r="IH52" i="3"/>
  <c r="HU115" i="3"/>
  <c r="IH115" i="3"/>
  <c r="HH119" i="3"/>
  <c r="HI119" i="3" s="1"/>
  <c r="HJ119" i="3"/>
  <c r="HU101" i="3"/>
  <c r="IH101" i="3"/>
  <c r="HH129" i="3"/>
  <c r="HI129" i="3" s="1"/>
  <c r="HJ129" i="3"/>
  <c r="HU79" i="3"/>
  <c r="IH79" i="3"/>
  <c r="IH56" i="3"/>
  <c r="HU56" i="3"/>
  <c r="HU34" i="3"/>
  <c r="IH34" i="3"/>
  <c r="HH98" i="3"/>
  <c r="HI98" i="3" s="1"/>
  <c r="HJ98" i="3"/>
  <c r="HU78" i="3"/>
  <c r="IH78" i="3"/>
  <c r="IH107" i="3"/>
  <c r="HU107" i="3"/>
  <c r="HU88" i="3"/>
  <c r="IH88" i="3"/>
  <c r="HJ111" i="3"/>
  <c r="HH111" i="3"/>
  <c r="HI111" i="3" s="1"/>
  <c r="HH101" i="3"/>
  <c r="HI101" i="3" s="1"/>
  <c r="HJ101" i="3"/>
  <c r="HU83" i="3"/>
  <c r="IH83" i="3"/>
  <c r="HH72" i="3"/>
  <c r="HI72" i="3" s="1"/>
  <c r="HJ72" i="3"/>
  <c r="HH85" i="3"/>
  <c r="HI85" i="3" s="1"/>
  <c r="HJ85" i="3"/>
  <c r="HU131" i="3"/>
  <c r="IH131" i="3"/>
  <c r="HH37" i="3"/>
  <c r="HI37" i="3" s="1"/>
  <c r="HJ37" i="3"/>
  <c r="HU90" i="3"/>
  <c r="IH90" i="3"/>
  <c r="HH79" i="3"/>
  <c r="HI79" i="3" s="1"/>
  <c r="HJ79" i="3"/>
  <c r="HU64" i="3"/>
  <c r="IH64" i="3"/>
  <c r="HH107" i="3"/>
  <c r="HI107" i="3" s="1"/>
  <c r="HJ107" i="3"/>
  <c r="HU86" i="3"/>
  <c r="IH86" i="3"/>
  <c r="HU113" i="3"/>
  <c r="IH113" i="3"/>
  <c r="HH84" i="3"/>
  <c r="HI84" i="3" s="1"/>
  <c r="HJ84" i="3"/>
  <c r="HH68" i="3"/>
  <c r="HI68" i="3" s="1"/>
  <c r="HJ68" i="3"/>
  <c r="HH82" i="3"/>
  <c r="HI82" i="3" s="1"/>
  <c r="HJ82" i="3"/>
  <c r="GW124" i="3"/>
  <c r="HU104" i="3"/>
  <c r="IH104" i="3"/>
  <c r="HJ60" i="3"/>
  <c r="HH60" i="3"/>
  <c r="HI60" i="3" s="1"/>
  <c r="HU77" i="3"/>
  <c r="IH77" i="3"/>
  <c r="HH55" i="3"/>
  <c r="HI55" i="3" s="1"/>
  <c r="HJ55" i="3"/>
  <c r="HU48" i="3"/>
  <c r="IH48" i="3"/>
  <c r="HU74" i="3"/>
  <c r="IH74" i="3"/>
  <c r="HJ48" i="3"/>
  <c r="HH48" i="3"/>
  <c r="HI48" i="3" s="1"/>
  <c r="HH65" i="3"/>
  <c r="HI65" i="3" s="1"/>
  <c r="HJ65" i="3"/>
  <c r="HH76" i="3"/>
  <c r="HI76" i="3" s="1"/>
  <c r="HJ76" i="3"/>
  <c r="HJ131" i="3"/>
  <c r="HH131" i="3"/>
  <c r="HI131" i="3" s="1"/>
  <c r="HH39" i="3"/>
  <c r="HI39" i="3" s="1"/>
  <c r="HJ39" i="3"/>
  <c r="HU93" i="3"/>
  <c r="IH93" i="3"/>
  <c r="GW85" i="3"/>
  <c r="HH50" i="3"/>
  <c r="HI50" i="3" s="1"/>
  <c r="HJ50" i="3"/>
  <c r="HJ81" i="3"/>
  <c r="HH81" i="3"/>
  <c r="HI81" i="3" s="1"/>
  <c r="HU132" i="3"/>
  <c r="IH132" i="3"/>
  <c r="HU133" i="3"/>
  <c r="IH133" i="3"/>
  <c r="HU114" i="3"/>
  <c r="IH114" i="3"/>
  <c r="HU35" i="3"/>
  <c r="IH35" i="3"/>
  <c r="HJ59" i="3"/>
  <c r="HH59" i="3"/>
  <c r="HI59" i="3" s="1"/>
  <c r="HH93" i="3"/>
  <c r="HI93" i="3" s="1"/>
  <c r="HJ93" i="3"/>
  <c r="HU38" i="3"/>
  <c r="IH38" i="3"/>
  <c r="HH46" i="3"/>
  <c r="HI46" i="3" s="1"/>
  <c r="HJ46" i="3"/>
  <c r="HH126" i="3"/>
  <c r="HI126" i="3" s="1"/>
  <c r="HJ126" i="3"/>
  <c r="HH56" i="3"/>
  <c r="HI56" i="3" s="1"/>
  <c r="HJ56" i="3"/>
  <c r="HU106" i="3"/>
  <c r="IH106" i="3"/>
  <c r="HH103" i="3"/>
  <c r="HI103" i="3" s="1"/>
  <c r="HJ103" i="3"/>
  <c r="HU47" i="3"/>
  <c r="IH47" i="3"/>
  <c r="HH49" i="3"/>
  <c r="HI49" i="3" s="1"/>
  <c r="HJ49" i="3"/>
  <c r="HJ36" i="3"/>
  <c r="HH36" i="3"/>
  <c r="HI36" i="3" s="1"/>
  <c r="HU89" i="3"/>
  <c r="IH89" i="3"/>
  <c r="HH134" i="3"/>
  <c r="HI134" i="3" s="1"/>
  <c r="HJ134" i="3"/>
  <c r="HH58" i="3"/>
  <c r="HI58" i="3" s="1"/>
  <c r="HJ58" i="3"/>
  <c r="HU54" i="3"/>
  <c r="IH54" i="3"/>
  <c r="HU128" i="3"/>
  <c r="IH128" i="3"/>
  <c r="HH52" i="3"/>
  <c r="HI52" i="3" s="1"/>
  <c r="HJ52" i="3"/>
  <c r="HU84" i="3"/>
  <c r="IH84" i="3"/>
  <c r="HU122" i="3"/>
  <c r="IH122" i="3"/>
  <c r="HH109" i="3"/>
  <c r="HI109" i="3" s="1"/>
  <c r="HJ109" i="3"/>
  <c r="HH69" i="3"/>
  <c r="HI69" i="3" s="1"/>
  <c r="HJ69" i="3"/>
  <c r="HH104" i="3"/>
  <c r="HI104" i="3" s="1"/>
  <c r="HJ104" i="3"/>
  <c r="HH124" i="3"/>
  <c r="HI124" i="3" s="1"/>
  <c r="HJ124" i="3"/>
  <c r="HJ77" i="3"/>
  <c r="HH77" i="3"/>
  <c r="HI77" i="3" s="1"/>
  <c r="HH63" i="3"/>
  <c r="HI63" i="3" s="1"/>
  <c r="HJ63" i="3"/>
  <c r="HU120" i="3"/>
  <c r="IH120" i="3"/>
  <c r="HU110" i="3"/>
  <c r="IH110" i="3"/>
  <c r="GW52" i="3"/>
  <c r="HU75" i="3"/>
  <c r="IH75" i="3"/>
  <c r="HU39" i="3"/>
  <c r="IH39" i="3"/>
  <c r="IH123" i="3"/>
  <c r="HU123" i="3"/>
  <c r="HH97" i="3"/>
  <c r="HI97" i="3" s="1"/>
  <c r="HJ97" i="3"/>
  <c r="HU81" i="3"/>
  <c r="IH81" i="3"/>
  <c r="HJ73" i="3"/>
  <c r="HH73" i="3"/>
  <c r="HI73" i="3" s="1"/>
  <c r="HU50" i="3"/>
  <c r="IH50" i="3"/>
  <c r="HH132" i="3"/>
  <c r="HI132" i="3" s="1"/>
  <c r="HJ132" i="3"/>
  <c r="GW131" i="3"/>
  <c r="HU41" i="3"/>
  <c r="IH41" i="3"/>
  <c r="HU80" i="3"/>
  <c r="IH80" i="3"/>
  <c r="HU66" i="3"/>
  <c r="IH66" i="3"/>
  <c r="HH105" i="3"/>
  <c r="HI105" i="3" s="1"/>
  <c r="HJ105" i="3"/>
  <c r="HU121" i="3"/>
  <c r="IH121" i="3"/>
  <c r="HH125" i="3"/>
  <c r="HI125" i="3" s="1"/>
  <c r="HJ125" i="3"/>
  <c r="HJ118" i="3"/>
  <c r="HH118" i="3"/>
  <c r="HI118" i="3" s="1"/>
  <c r="HU98" i="3"/>
  <c r="IH98" i="3"/>
  <c r="HU100" i="3"/>
  <c r="IH100" i="3"/>
  <c r="HH90" i="3"/>
  <c r="HI90" i="3" s="1"/>
  <c r="HJ90" i="3"/>
  <c r="HU44" i="3"/>
  <c r="IH44" i="3"/>
  <c r="HH47" i="3"/>
  <c r="HI47" i="3" s="1"/>
  <c r="HJ47" i="3"/>
  <c r="HH86" i="3"/>
  <c r="HI86" i="3" s="1"/>
  <c r="HJ86" i="3"/>
  <c r="GW63" i="3"/>
  <c r="HU94" i="3"/>
  <c r="IH94" i="3"/>
  <c r="HU61" i="3"/>
  <c r="IH61" i="3"/>
  <c r="HU55" i="3"/>
  <c r="IH55" i="3"/>
  <c r="HJ62" i="3"/>
  <c r="HH62" i="3"/>
  <c r="HI62" i="3" s="1"/>
  <c r="HU111" i="3"/>
  <c r="IH111" i="3"/>
  <c r="HU124" i="3"/>
  <c r="IH124" i="3"/>
  <c r="HU97" i="3"/>
  <c r="IH97" i="3"/>
  <c r="HH53" i="3"/>
  <c r="HI53" i="3" s="1"/>
  <c r="HJ53" i="3"/>
  <c r="HU73" i="3"/>
  <c r="IH73" i="3"/>
  <c r="HU85" i="3"/>
  <c r="IH85" i="3"/>
  <c r="HU76" i="3"/>
  <c r="IH76" i="3"/>
  <c r="HU59" i="3"/>
  <c r="IH59" i="3"/>
  <c r="HU102" i="3"/>
  <c r="IH102" i="3"/>
  <c r="HH133" i="3"/>
  <c r="HI133" i="3" s="1"/>
  <c r="HJ133" i="3"/>
  <c r="HH35" i="3"/>
  <c r="HI35" i="3" s="1"/>
  <c r="HJ35" i="3"/>
  <c r="HH38" i="3"/>
  <c r="HI38" i="3" s="1"/>
  <c r="HJ38" i="3"/>
  <c r="HJ102" i="3"/>
  <c r="HH102" i="3"/>
  <c r="HI102" i="3" s="1"/>
  <c r="IH96" i="3"/>
  <c r="HU96" i="3"/>
  <c r="HH121" i="3"/>
  <c r="HI121" i="3" s="1"/>
  <c r="HJ121" i="3"/>
  <c r="HH51" i="3"/>
  <c r="HI51" i="3" s="1"/>
  <c r="HJ51" i="3"/>
  <c r="HU118" i="3"/>
  <c r="IH118" i="3"/>
  <c r="HH67" i="3"/>
  <c r="HI67" i="3" s="1"/>
  <c r="HJ67" i="3"/>
  <c r="HH96" i="3"/>
  <c r="HI96" i="3" s="1"/>
  <c r="HJ96" i="3"/>
  <c r="HJ41" i="3"/>
  <c r="HH41" i="3"/>
  <c r="HI41" i="3" s="1"/>
  <c r="HH80" i="3"/>
  <c r="HI80" i="3" s="1"/>
  <c r="HJ80" i="3"/>
  <c r="HH66" i="3"/>
  <c r="HI66" i="3" s="1"/>
  <c r="HJ66" i="3"/>
  <c r="HU91" i="3"/>
  <c r="IH91" i="3"/>
  <c r="HU112" i="3"/>
  <c r="IH112" i="3"/>
  <c r="HU45" i="3"/>
  <c r="IH45" i="3"/>
  <c r="HU127" i="3"/>
  <c r="IH127" i="3"/>
  <c r="HH71" i="3"/>
  <c r="HI71" i="3" s="1"/>
  <c r="HJ71" i="3"/>
  <c r="HH100" i="3"/>
  <c r="HI100" i="3" s="1"/>
  <c r="HJ100" i="3"/>
  <c r="HU129" i="3"/>
  <c r="IH129" i="3"/>
  <c r="HU58" i="3"/>
  <c r="IH58" i="3"/>
  <c r="HH92" i="3"/>
  <c r="HI92" i="3" s="1"/>
  <c r="HJ92" i="3"/>
  <c r="HH44" i="3"/>
  <c r="HI44" i="3" s="1"/>
  <c r="HJ44" i="3"/>
  <c r="HU49" i="3"/>
  <c r="IH49" i="3"/>
  <c r="HH128" i="3"/>
  <c r="HI128" i="3" s="1"/>
  <c r="HJ128" i="3"/>
  <c r="HU108" i="3"/>
  <c r="IH108" i="3"/>
  <c r="HH87" i="3"/>
  <c r="HI87" i="3" s="1"/>
  <c r="HJ87" i="3"/>
  <c r="HU57" i="3"/>
  <c r="IH57" i="3"/>
  <c r="HJ40" i="3"/>
  <c r="HH40" i="3"/>
  <c r="HI40" i="3" s="1"/>
  <c r="HH130" i="3"/>
  <c r="HI130" i="3" s="1"/>
  <c r="HJ130" i="3"/>
  <c r="HH42" i="3"/>
  <c r="HI42" i="3" s="1"/>
  <c r="HJ42" i="3"/>
  <c r="HH116" i="3"/>
  <c r="HI116" i="3" s="1"/>
  <c r="HJ116" i="3"/>
  <c r="HH88" i="3"/>
  <c r="HI88" i="3" s="1"/>
  <c r="HJ88" i="3"/>
  <c r="HH120" i="3"/>
  <c r="HI120" i="3" s="1"/>
  <c r="HJ120" i="3"/>
  <c r="IH65" i="3"/>
  <c r="HU65" i="3"/>
  <c r="HU62" i="3"/>
  <c r="IH62" i="3"/>
  <c r="GW127" i="3"/>
  <c r="HU53" i="3"/>
  <c r="IH53" i="3"/>
  <c r="HJ74" i="3"/>
  <c r="HH74" i="3"/>
  <c r="HI74" i="3" s="1"/>
  <c r="HU63" i="3"/>
  <c r="IH63" i="3"/>
  <c r="HU72" i="3"/>
  <c r="IH72" i="3"/>
  <c r="HJ110" i="3"/>
  <c r="HH110" i="3"/>
  <c r="HI110" i="3" s="1"/>
  <c r="HH75" i="3"/>
  <c r="HI75" i="3" s="1"/>
  <c r="HJ75" i="3"/>
  <c r="HH123" i="3"/>
  <c r="HI123" i="3" s="1"/>
  <c r="HJ123" i="3"/>
  <c r="HH43" i="3"/>
  <c r="HI43" i="3" s="1"/>
  <c r="HJ43" i="3"/>
  <c r="HH114" i="3"/>
  <c r="HI114" i="3" s="1"/>
  <c r="HJ114" i="3"/>
  <c r="HU51" i="3"/>
  <c r="IH51" i="3"/>
  <c r="IH67" i="3"/>
  <c r="HU67" i="3"/>
  <c r="HU43" i="3"/>
  <c r="IH43" i="3"/>
  <c r="HU105" i="3"/>
  <c r="IH105" i="3"/>
  <c r="IH125" i="3"/>
  <c r="HU125" i="3"/>
  <c r="GW115" i="3"/>
  <c r="HU71" i="3"/>
  <c r="IH71" i="3"/>
  <c r="HU99" i="3"/>
  <c r="IH99" i="3"/>
  <c r="HH89" i="3"/>
  <c r="HI89" i="3" s="1"/>
  <c r="HJ89" i="3"/>
  <c r="HH91" i="3"/>
  <c r="HI91" i="3" s="1"/>
  <c r="HJ91" i="3"/>
  <c r="HJ112" i="3"/>
  <c r="HH112" i="3"/>
  <c r="HI112" i="3" s="1"/>
  <c r="HU103" i="3"/>
  <c r="IH103" i="3"/>
  <c r="HJ45" i="3"/>
  <c r="HH45" i="3"/>
  <c r="HI45" i="3" s="1"/>
  <c r="HH127" i="3"/>
  <c r="HI127" i="3" s="1"/>
  <c r="HJ127" i="3"/>
  <c r="GW111" i="3"/>
  <c r="L42" i="3"/>
  <c r="M42" i="3" s="1"/>
  <c r="N42" i="3" s="1"/>
  <c r="J43" i="3" s="1"/>
  <c r="O46" i="2"/>
  <c r="K47" i="2"/>
  <c r="L47" i="2" s="1"/>
  <c r="M47" i="2" s="1"/>
  <c r="J47" i="2"/>
  <c r="AQ119" i="2"/>
  <c r="AR119" i="2" s="1"/>
  <c r="AS119" i="2" s="1"/>
  <c r="AP120" i="2"/>
  <c r="AN121" i="2"/>
  <c r="AO121" i="2" s="1"/>
  <c r="AP121" i="2" s="1"/>
  <c r="HK89" i="3" l="1"/>
  <c r="HK58" i="3"/>
  <c r="HK82" i="3"/>
  <c r="HK66" i="3"/>
  <c r="HK97" i="3"/>
  <c r="HK124" i="3"/>
  <c r="HK61" i="3"/>
  <c r="HK104" i="3"/>
  <c r="HK101" i="3"/>
  <c r="HK119" i="3"/>
  <c r="HK44" i="3"/>
  <c r="HK80" i="3"/>
  <c r="HK133" i="3"/>
  <c r="HK63" i="3"/>
  <c r="HK85" i="3"/>
  <c r="HK121" i="3"/>
  <c r="HK53" i="3"/>
  <c r="HK132" i="3"/>
  <c r="HK54" i="3"/>
  <c r="HK108" i="3"/>
  <c r="HK87" i="3"/>
  <c r="HK84" i="3"/>
  <c r="HK69" i="3"/>
  <c r="HK103" i="3"/>
  <c r="HK117" i="3"/>
  <c r="HK116" i="3"/>
  <c r="HK96" i="3"/>
  <c r="HK83" i="3"/>
  <c r="HK130" i="3"/>
  <c r="HK100" i="3"/>
  <c r="HK76" i="3"/>
  <c r="HK113" i="3"/>
  <c r="HK35" i="3"/>
  <c r="HK120" i="3"/>
  <c r="HK75" i="3"/>
  <c r="HK52" i="3"/>
  <c r="HK56" i="3"/>
  <c r="HK50" i="3"/>
  <c r="HK98" i="3"/>
  <c r="HK34" i="3"/>
  <c r="HK86" i="3"/>
  <c r="HK126" i="3"/>
  <c r="HK37" i="3"/>
  <c r="HK99" i="3"/>
  <c r="HK57" i="3"/>
  <c r="HK127" i="3"/>
  <c r="HK65" i="3"/>
  <c r="HK49" i="3"/>
  <c r="HK123" i="3"/>
  <c r="HK105" i="3"/>
  <c r="HK79" i="3"/>
  <c r="HK70" i="3"/>
  <c r="HK115" i="3"/>
  <c r="HK47" i="3"/>
  <c r="HK46" i="3"/>
  <c r="HK41" i="3"/>
  <c r="HK90" i="3"/>
  <c r="HK134" i="3"/>
  <c r="HK93" i="3"/>
  <c r="HK68" i="3"/>
  <c r="HK72" i="3"/>
  <c r="HK122" i="3"/>
  <c r="HK60" i="3"/>
  <c r="HK40" i="3"/>
  <c r="HK64" i="3"/>
  <c r="HK43" i="3"/>
  <c r="HK106" i="3"/>
  <c r="HK128" i="3"/>
  <c r="HK38" i="3"/>
  <c r="II43" i="3"/>
  <c r="IV43" i="3"/>
  <c r="HK95" i="3"/>
  <c r="II134" i="3"/>
  <c r="IV134" i="3"/>
  <c r="HV125" i="3"/>
  <c r="HW125" i="3" s="1"/>
  <c r="HX125" i="3"/>
  <c r="HV44" i="3"/>
  <c r="HW44" i="3" s="1"/>
  <c r="HX44" i="3"/>
  <c r="HK59" i="3"/>
  <c r="HX81" i="3"/>
  <c r="HV81" i="3"/>
  <c r="HW81" i="3" s="1"/>
  <c r="II115" i="3"/>
  <c r="IV115" i="3"/>
  <c r="IV60" i="3"/>
  <c r="II60" i="3"/>
  <c r="HX134" i="3"/>
  <c r="HV134" i="3"/>
  <c r="HW134" i="3" s="1"/>
  <c r="II44" i="3"/>
  <c r="IV44" i="3"/>
  <c r="HX63" i="3"/>
  <c r="HV63" i="3"/>
  <c r="HW63" i="3" s="1"/>
  <c r="HK73" i="3"/>
  <c r="HX114" i="3"/>
  <c r="HV114" i="3"/>
  <c r="HW114" i="3" s="1"/>
  <c r="HK111" i="3"/>
  <c r="HV115" i="3"/>
  <c r="HW115" i="3" s="1"/>
  <c r="HX115" i="3"/>
  <c r="HV60" i="3"/>
  <c r="HW60" i="3" s="1"/>
  <c r="HX60" i="3"/>
  <c r="II37" i="3"/>
  <c r="IV37" i="3"/>
  <c r="HK74" i="3"/>
  <c r="IV100" i="3"/>
  <c r="II100" i="3"/>
  <c r="HV111" i="3"/>
  <c r="HW111" i="3" s="1"/>
  <c r="HX111" i="3"/>
  <c r="IV74" i="3"/>
  <c r="II74" i="3"/>
  <c r="HV86" i="3"/>
  <c r="HW86" i="3" s="1"/>
  <c r="HX86" i="3"/>
  <c r="HV103" i="3"/>
  <c r="HW103" i="3" s="1"/>
  <c r="HX103" i="3"/>
  <c r="HK114" i="3"/>
  <c r="IV65" i="3"/>
  <c r="II65" i="3"/>
  <c r="HX49" i="3"/>
  <c r="HV49" i="3"/>
  <c r="HW49" i="3" s="1"/>
  <c r="HK62" i="3"/>
  <c r="HK125" i="3"/>
  <c r="HK109" i="3"/>
  <c r="II47" i="3"/>
  <c r="IV47" i="3"/>
  <c r="II133" i="3"/>
  <c r="IV133" i="3"/>
  <c r="HV74" i="3"/>
  <c r="HW74" i="3" s="1"/>
  <c r="HX74" i="3"/>
  <c r="HK107" i="3"/>
  <c r="II88" i="3"/>
  <c r="IV88" i="3"/>
  <c r="II52" i="3"/>
  <c r="IV52" i="3"/>
  <c r="IV42" i="3"/>
  <c r="II42" i="3"/>
  <c r="HV37" i="3"/>
  <c r="HW37" i="3" s="1"/>
  <c r="HX37" i="3"/>
  <c r="HK78" i="3"/>
  <c r="II63" i="3"/>
  <c r="IV63" i="3"/>
  <c r="HV95" i="3"/>
  <c r="HW95" i="3" s="1"/>
  <c r="HX95" i="3"/>
  <c r="II127" i="3"/>
  <c r="IV127" i="3"/>
  <c r="HV69" i="3"/>
  <c r="HW69" i="3" s="1"/>
  <c r="HX69" i="3"/>
  <c r="HV105" i="3"/>
  <c r="HW105" i="3" s="1"/>
  <c r="HX105" i="3"/>
  <c r="II45" i="3"/>
  <c r="IV45" i="3"/>
  <c r="II50" i="3"/>
  <c r="IV50" i="3"/>
  <c r="II68" i="3"/>
  <c r="IV68" i="3"/>
  <c r="HV43" i="3"/>
  <c r="HW43" i="3" s="1"/>
  <c r="HX43" i="3"/>
  <c r="HV100" i="3"/>
  <c r="HW100" i="3" s="1"/>
  <c r="HX100" i="3"/>
  <c r="II67" i="3"/>
  <c r="IV67" i="3"/>
  <c r="II111" i="3"/>
  <c r="IV111" i="3"/>
  <c r="HV35" i="3"/>
  <c r="HW35" i="3" s="1"/>
  <c r="HX35" i="3"/>
  <c r="HK45" i="3"/>
  <c r="II114" i="3"/>
  <c r="IV114" i="3"/>
  <c r="II49" i="3"/>
  <c r="IV49" i="3"/>
  <c r="HV47" i="3"/>
  <c r="HW47" i="3" s="1"/>
  <c r="HX47" i="3"/>
  <c r="HV55" i="3"/>
  <c r="HW55" i="3" s="1"/>
  <c r="HX55" i="3"/>
  <c r="II123" i="3"/>
  <c r="IV123" i="3"/>
  <c r="II122" i="3"/>
  <c r="IV122" i="3"/>
  <c r="II132" i="3"/>
  <c r="IV132" i="3"/>
  <c r="HX48" i="3"/>
  <c r="HV48" i="3"/>
  <c r="HW48" i="3" s="1"/>
  <c r="II64" i="3"/>
  <c r="IV64" i="3"/>
  <c r="HX107" i="3"/>
  <c r="HV107" i="3"/>
  <c r="HW107" i="3" s="1"/>
  <c r="HX109" i="3"/>
  <c r="HV109" i="3"/>
  <c r="HW109" i="3" s="1"/>
  <c r="HV130" i="3"/>
  <c r="HW130" i="3" s="1"/>
  <c r="HX130" i="3"/>
  <c r="IV117" i="3"/>
  <c r="II117" i="3"/>
  <c r="II125" i="3"/>
  <c r="IV125" i="3"/>
  <c r="HV127" i="3"/>
  <c r="HW127" i="3" s="1"/>
  <c r="HX127" i="3"/>
  <c r="II53" i="3"/>
  <c r="IV53" i="3"/>
  <c r="II112" i="3"/>
  <c r="IV112" i="3"/>
  <c r="HV67" i="3"/>
  <c r="HW67" i="3" s="1"/>
  <c r="HX67" i="3"/>
  <c r="II98" i="3"/>
  <c r="IV98" i="3"/>
  <c r="II113" i="3"/>
  <c r="IV113" i="3"/>
  <c r="II51" i="3"/>
  <c r="IV51" i="3"/>
  <c r="II86" i="3"/>
  <c r="IV86" i="3"/>
  <c r="HV88" i="3"/>
  <c r="HW88" i="3" s="1"/>
  <c r="HX88" i="3"/>
  <c r="II121" i="3"/>
  <c r="IV121" i="3"/>
  <c r="HK91" i="3"/>
  <c r="HK88" i="3"/>
  <c r="HK92" i="3"/>
  <c r="II102" i="3"/>
  <c r="IV102" i="3"/>
  <c r="II61" i="3"/>
  <c r="IV61" i="3"/>
  <c r="HV121" i="3"/>
  <c r="HW121" i="3" s="1"/>
  <c r="HX121" i="3"/>
  <c r="II39" i="3"/>
  <c r="IV39" i="3"/>
  <c r="HV122" i="3"/>
  <c r="HW122" i="3" s="1"/>
  <c r="HX122" i="3"/>
  <c r="HV132" i="3"/>
  <c r="HW132" i="3" s="1"/>
  <c r="HX132" i="3"/>
  <c r="HK55" i="3"/>
  <c r="HV64" i="3"/>
  <c r="HW64" i="3" s="1"/>
  <c r="HX64" i="3"/>
  <c r="II107" i="3"/>
  <c r="IV107" i="3"/>
  <c r="IV109" i="3"/>
  <c r="II109" i="3"/>
  <c r="II82" i="3"/>
  <c r="IV82" i="3"/>
  <c r="HV117" i="3"/>
  <c r="HW117" i="3" s="1"/>
  <c r="HX117" i="3"/>
  <c r="II69" i="3"/>
  <c r="IV69" i="3"/>
  <c r="II91" i="3"/>
  <c r="IV91" i="3"/>
  <c r="HK112" i="3"/>
  <c r="HX57" i="3"/>
  <c r="HV57" i="3"/>
  <c r="HW57" i="3" s="1"/>
  <c r="IV108" i="3"/>
  <c r="II108" i="3"/>
  <c r="HV101" i="3"/>
  <c r="HW101" i="3" s="1"/>
  <c r="HX101" i="3"/>
  <c r="HV108" i="3"/>
  <c r="HW108" i="3" s="1"/>
  <c r="HX108" i="3"/>
  <c r="HV70" i="3"/>
  <c r="HW70" i="3" s="1"/>
  <c r="HX70" i="3"/>
  <c r="HV98" i="3"/>
  <c r="HW98" i="3" s="1"/>
  <c r="HX98" i="3"/>
  <c r="HV65" i="3"/>
  <c r="HW65" i="3" s="1"/>
  <c r="HX65" i="3"/>
  <c r="HK118" i="3"/>
  <c r="II48" i="3"/>
  <c r="IV48" i="3"/>
  <c r="II130" i="3"/>
  <c r="IV130" i="3"/>
  <c r="HV61" i="3"/>
  <c r="HW61" i="3" s="1"/>
  <c r="HX61" i="3"/>
  <c r="IV84" i="3"/>
  <c r="II84" i="3"/>
  <c r="II75" i="3"/>
  <c r="IV75" i="3"/>
  <c r="HK81" i="3"/>
  <c r="II77" i="3"/>
  <c r="IV77" i="3"/>
  <c r="HV78" i="3"/>
  <c r="HW78" i="3" s="1"/>
  <c r="HX78" i="3"/>
  <c r="HV58" i="3"/>
  <c r="HW58" i="3" s="1"/>
  <c r="HX58" i="3"/>
  <c r="HX59" i="3"/>
  <c r="HV59" i="3"/>
  <c r="HW59" i="3" s="1"/>
  <c r="HX94" i="3"/>
  <c r="HV94" i="3"/>
  <c r="HW94" i="3" s="1"/>
  <c r="II66" i="3"/>
  <c r="IV66" i="3"/>
  <c r="HV75" i="3"/>
  <c r="HW75" i="3" s="1"/>
  <c r="HX75" i="3"/>
  <c r="HV77" i="3"/>
  <c r="HW77" i="3" s="1"/>
  <c r="HX77" i="3"/>
  <c r="II90" i="3"/>
  <c r="IV90" i="3"/>
  <c r="II126" i="3"/>
  <c r="IV126" i="3"/>
  <c r="II119" i="3"/>
  <c r="IV119" i="3"/>
  <c r="II99" i="3"/>
  <c r="IV99" i="3"/>
  <c r="HK42" i="3"/>
  <c r="II129" i="3"/>
  <c r="IV129" i="3"/>
  <c r="HK67" i="3"/>
  <c r="II76" i="3"/>
  <c r="IV76" i="3"/>
  <c r="HV66" i="3"/>
  <c r="HW66" i="3" s="1"/>
  <c r="HX66" i="3"/>
  <c r="HX90" i="3"/>
  <c r="HV90" i="3"/>
  <c r="HW90" i="3" s="1"/>
  <c r="HV126" i="3"/>
  <c r="HW126" i="3" s="1"/>
  <c r="HX126" i="3"/>
  <c r="HV119" i="3"/>
  <c r="HW119" i="3" s="1"/>
  <c r="HX119" i="3"/>
  <c r="HV87" i="3"/>
  <c r="HW87" i="3" s="1"/>
  <c r="HX87" i="3"/>
  <c r="HK131" i="3"/>
  <c r="HX50" i="3"/>
  <c r="HV50" i="3"/>
  <c r="HW50" i="3" s="1"/>
  <c r="HV53" i="3"/>
  <c r="HW53" i="3" s="1"/>
  <c r="HX53" i="3"/>
  <c r="HX83" i="3"/>
  <c r="HV83" i="3"/>
  <c r="HW83" i="3" s="1"/>
  <c r="HK102" i="3"/>
  <c r="IV35" i="3"/>
  <c r="II35" i="3"/>
  <c r="HK36" i="3"/>
  <c r="II105" i="3"/>
  <c r="IV105" i="3"/>
  <c r="HK77" i="3"/>
  <c r="II96" i="3"/>
  <c r="IV96" i="3"/>
  <c r="IV101" i="3"/>
  <c r="II101" i="3"/>
  <c r="IV124" i="3"/>
  <c r="II124" i="3"/>
  <c r="HK48" i="3"/>
  <c r="IV38" i="3"/>
  <c r="II38" i="3"/>
  <c r="IV79" i="3"/>
  <c r="II79" i="3"/>
  <c r="HK129" i="3"/>
  <c r="HX96" i="3"/>
  <c r="HV96" i="3"/>
  <c r="HW96" i="3" s="1"/>
  <c r="HV97" i="3"/>
  <c r="HW97" i="3" s="1"/>
  <c r="HX97" i="3"/>
  <c r="HV68" i="3"/>
  <c r="HW68" i="3" s="1"/>
  <c r="HX68" i="3"/>
  <c r="HV89" i="3"/>
  <c r="HW89" i="3" s="1"/>
  <c r="HX89" i="3"/>
  <c r="II70" i="3"/>
  <c r="IV70" i="3"/>
  <c r="HV124" i="3"/>
  <c r="HW124" i="3" s="1"/>
  <c r="HX124" i="3"/>
  <c r="IV62" i="3"/>
  <c r="II62" i="3"/>
  <c r="II81" i="3"/>
  <c r="IV81" i="3"/>
  <c r="HV113" i="3"/>
  <c r="HW113" i="3" s="1"/>
  <c r="HX113" i="3"/>
  <c r="HV91" i="3"/>
  <c r="HW91" i="3" s="1"/>
  <c r="HX91" i="3"/>
  <c r="II103" i="3"/>
  <c r="IV103" i="3"/>
  <c r="II55" i="3"/>
  <c r="IV55" i="3"/>
  <c r="HV123" i="3"/>
  <c r="HW123" i="3" s="1"/>
  <c r="HX123" i="3"/>
  <c r="HV52" i="3"/>
  <c r="HW52" i="3" s="1"/>
  <c r="HX52" i="3"/>
  <c r="IV106" i="3"/>
  <c r="II106" i="3"/>
  <c r="II59" i="3"/>
  <c r="IV59" i="3"/>
  <c r="HX84" i="3"/>
  <c r="HV84" i="3"/>
  <c r="HW84" i="3" s="1"/>
  <c r="HK94" i="3"/>
  <c r="HX129" i="3"/>
  <c r="HV129" i="3"/>
  <c r="HW129" i="3" s="1"/>
  <c r="HV76" i="3"/>
  <c r="HW76" i="3" s="1"/>
  <c r="HX76" i="3"/>
  <c r="II128" i="3"/>
  <c r="IV128" i="3"/>
  <c r="II92" i="3"/>
  <c r="IV92" i="3"/>
  <c r="II71" i="3"/>
  <c r="IV71" i="3"/>
  <c r="II118" i="3"/>
  <c r="IV118" i="3"/>
  <c r="HX110" i="3"/>
  <c r="HV110" i="3"/>
  <c r="HW110" i="3" s="1"/>
  <c r="II93" i="3"/>
  <c r="IV93" i="3"/>
  <c r="II104" i="3"/>
  <c r="IV104" i="3"/>
  <c r="HV34" i="3"/>
  <c r="HW34" i="3" s="1"/>
  <c r="HX34" i="3"/>
  <c r="II40" i="3"/>
  <c r="IV40" i="3"/>
  <c r="HV71" i="3"/>
  <c r="HW71" i="3" s="1"/>
  <c r="HX71" i="3"/>
  <c r="II72" i="3"/>
  <c r="IV72" i="3"/>
  <c r="HX118" i="3"/>
  <c r="HV118" i="3"/>
  <c r="HW118" i="3" s="1"/>
  <c r="HV85" i="3"/>
  <c r="HW85" i="3" s="1"/>
  <c r="HX85" i="3"/>
  <c r="II41" i="3"/>
  <c r="IV41" i="3"/>
  <c r="II120" i="3"/>
  <c r="IV120" i="3"/>
  <c r="II54" i="3"/>
  <c r="IV54" i="3"/>
  <c r="HV93" i="3"/>
  <c r="HW93" i="3" s="1"/>
  <c r="HX93" i="3"/>
  <c r="HV104" i="3"/>
  <c r="HW104" i="3" s="1"/>
  <c r="HX104" i="3"/>
  <c r="IV131" i="3"/>
  <c r="II131" i="3"/>
  <c r="HX56" i="3"/>
  <c r="HV56" i="3"/>
  <c r="HW56" i="3" s="1"/>
  <c r="II116" i="3"/>
  <c r="IV116" i="3"/>
  <c r="HV40" i="3"/>
  <c r="HW40" i="3" s="1"/>
  <c r="HX40" i="3"/>
  <c r="HX46" i="3"/>
  <c r="HV46" i="3"/>
  <c r="HW46" i="3" s="1"/>
  <c r="HX73" i="3"/>
  <c r="HV73" i="3"/>
  <c r="HW73" i="3" s="1"/>
  <c r="HX36" i="3"/>
  <c r="HV36" i="3"/>
  <c r="HW36" i="3" s="1"/>
  <c r="IV57" i="3"/>
  <c r="II57" i="3"/>
  <c r="HX38" i="3"/>
  <c r="HV38" i="3"/>
  <c r="HW38" i="3" s="1"/>
  <c r="HX79" i="3"/>
  <c r="HV79" i="3"/>
  <c r="HW79" i="3" s="1"/>
  <c r="II97" i="3"/>
  <c r="IV97" i="3"/>
  <c r="HV45" i="3"/>
  <c r="HW45" i="3" s="1"/>
  <c r="HX45" i="3"/>
  <c r="II89" i="3"/>
  <c r="IV89" i="3"/>
  <c r="II83" i="3"/>
  <c r="IV83" i="3"/>
  <c r="HV112" i="3"/>
  <c r="HW112" i="3" s="1"/>
  <c r="HX112" i="3"/>
  <c r="HV62" i="3"/>
  <c r="HW62" i="3" s="1"/>
  <c r="HX62" i="3"/>
  <c r="HV51" i="3"/>
  <c r="HW51" i="3" s="1"/>
  <c r="HX51" i="3"/>
  <c r="HV133" i="3"/>
  <c r="HW133" i="3" s="1"/>
  <c r="HX133" i="3"/>
  <c r="HV42" i="3"/>
  <c r="HW42" i="3" s="1"/>
  <c r="HX42" i="3"/>
  <c r="HV102" i="3"/>
  <c r="HW102" i="3" s="1"/>
  <c r="HX102" i="3"/>
  <c r="HV39" i="3"/>
  <c r="HW39" i="3" s="1"/>
  <c r="HX39" i="3"/>
  <c r="II78" i="3"/>
  <c r="IV78" i="3"/>
  <c r="HV82" i="3"/>
  <c r="HW82" i="3" s="1"/>
  <c r="HX82" i="3"/>
  <c r="II58" i="3"/>
  <c r="IV58" i="3"/>
  <c r="II94" i="3"/>
  <c r="IV94" i="3"/>
  <c r="HV106" i="3"/>
  <c r="HW106" i="3" s="1"/>
  <c r="HX106" i="3"/>
  <c r="HV99" i="3"/>
  <c r="HW99" i="3" s="1"/>
  <c r="HX99" i="3"/>
  <c r="II80" i="3"/>
  <c r="IV80" i="3"/>
  <c r="II110" i="3"/>
  <c r="IV110" i="3"/>
  <c r="II34" i="3"/>
  <c r="IV34" i="3"/>
  <c r="II87" i="3"/>
  <c r="IV87" i="3"/>
  <c r="HK110" i="3"/>
  <c r="II85" i="3"/>
  <c r="IV85" i="3"/>
  <c r="HV80" i="3"/>
  <c r="HW80" i="3" s="1"/>
  <c r="HX80" i="3"/>
  <c r="HX128" i="3"/>
  <c r="HV128" i="3"/>
  <c r="HW128" i="3" s="1"/>
  <c r="HV92" i="3"/>
  <c r="HW92" i="3" s="1"/>
  <c r="HX92" i="3"/>
  <c r="HV72" i="3"/>
  <c r="HW72" i="3" s="1"/>
  <c r="HX72" i="3"/>
  <c r="HK71" i="3"/>
  <c r="HK51" i="3"/>
  <c r="II73" i="3"/>
  <c r="IV73" i="3"/>
  <c r="HV41" i="3"/>
  <c r="HW41" i="3" s="1"/>
  <c r="HX41" i="3"/>
  <c r="HX120" i="3"/>
  <c r="HV120" i="3"/>
  <c r="HW120" i="3" s="1"/>
  <c r="HV54" i="3"/>
  <c r="HW54" i="3" s="1"/>
  <c r="HX54" i="3"/>
  <c r="HK39" i="3"/>
  <c r="HV131" i="3"/>
  <c r="HW131" i="3" s="1"/>
  <c r="HX131" i="3"/>
  <c r="II56" i="3"/>
  <c r="IV56" i="3"/>
  <c r="HV116" i="3"/>
  <c r="HW116" i="3" s="1"/>
  <c r="HX116" i="3"/>
  <c r="II95" i="3"/>
  <c r="IV95" i="3"/>
  <c r="IV36" i="3"/>
  <c r="II36" i="3"/>
  <c r="II46" i="3"/>
  <c r="IV46" i="3"/>
  <c r="K43" i="3"/>
  <c r="L43" i="3" s="1"/>
  <c r="M43" i="3" s="1"/>
  <c r="O42" i="3"/>
  <c r="N47" i="2"/>
  <c r="K48" i="2" s="1"/>
  <c r="L48" i="2" s="1"/>
  <c r="M48" i="2" s="1"/>
  <c r="O47" i="2"/>
  <c r="AQ121" i="2"/>
  <c r="AR121" i="2" s="1"/>
  <c r="AS121" i="2" s="1"/>
  <c r="AQ120" i="2"/>
  <c r="AR120" i="2" s="1"/>
  <c r="AS120" i="2" s="1"/>
  <c r="AN122" i="2"/>
  <c r="AO122" i="2" s="1"/>
  <c r="HY80" i="3" l="1"/>
  <c r="HY66" i="3"/>
  <c r="HY105" i="3"/>
  <c r="HY42" i="3"/>
  <c r="HY92" i="3"/>
  <c r="HY75" i="3"/>
  <c r="HY111" i="3"/>
  <c r="HY133" i="3"/>
  <c r="HY53" i="3"/>
  <c r="HY91" i="3"/>
  <c r="HY117" i="3"/>
  <c r="HY99" i="3"/>
  <c r="HY62" i="3"/>
  <c r="HY55" i="3"/>
  <c r="HY104" i="3"/>
  <c r="HY67" i="3"/>
  <c r="HY106" i="3"/>
  <c r="HY112" i="3"/>
  <c r="HY40" i="3"/>
  <c r="HY76" i="3"/>
  <c r="HY61" i="3"/>
  <c r="HY127" i="3"/>
  <c r="HY81" i="3"/>
  <c r="HY131" i="3"/>
  <c r="HY39" i="3"/>
  <c r="HY93" i="3"/>
  <c r="HY60" i="3"/>
  <c r="HY102" i="3"/>
  <c r="HY64" i="3"/>
  <c r="HY115" i="3"/>
  <c r="HY128" i="3"/>
  <c r="HY72" i="3"/>
  <c r="HY119" i="3"/>
  <c r="HY77" i="3"/>
  <c r="HY101" i="3"/>
  <c r="HY132" i="3"/>
  <c r="HY51" i="3"/>
  <c r="HY85" i="3"/>
  <c r="HY37" i="3"/>
  <c r="HY100" i="3"/>
  <c r="HY103" i="3"/>
  <c r="HY71" i="3"/>
  <c r="HY116" i="3"/>
  <c r="HY82" i="3"/>
  <c r="HY45" i="3"/>
  <c r="HY34" i="3"/>
  <c r="HY84" i="3"/>
  <c r="HY90" i="3"/>
  <c r="HY47" i="3"/>
  <c r="HY65" i="3"/>
  <c r="HY59" i="3"/>
  <c r="HY88" i="3"/>
  <c r="HY130" i="3"/>
  <c r="HY52" i="3"/>
  <c r="HY68" i="3"/>
  <c r="HY58" i="3"/>
  <c r="HY70" i="3"/>
  <c r="HY125" i="3"/>
  <c r="HY73" i="3"/>
  <c r="IJ98" i="3"/>
  <c r="IK98" i="3" s="1"/>
  <c r="IL98" i="3"/>
  <c r="HY57" i="3"/>
  <c r="IW132" i="3"/>
  <c r="JJ132" i="3"/>
  <c r="JK132" i="3" s="1"/>
  <c r="IL42" i="3"/>
  <c r="IJ42" i="3"/>
  <c r="IK42" i="3" s="1"/>
  <c r="IW44" i="3"/>
  <c r="JJ44" i="3"/>
  <c r="JK44" i="3" s="1"/>
  <c r="IW75" i="3"/>
  <c r="JJ75" i="3"/>
  <c r="JK75" i="3" s="1"/>
  <c r="HY50" i="3"/>
  <c r="HY48" i="3"/>
  <c r="HY63" i="3"/>
  <c r="IJ73" i="3"/>
  <c r="IK73" i="3" s="1"/>
  <c r="IL73" i="3"/>
  <c r="IW128" i="3"/>
  <c r="JJ128" i="3"/>
  <c r="JK128" i="3" s="1"/>
  <c r="IL38" i="3"/>
  <c r="IJ38" i="3"/>
  <c r="IK38" i="3" s="1"/>
  <c r="IJ126" i="3"/>
  <c r="IK126" i="3" s="1"/>
  <c r="IL126" i="3"/>
  <c r="IJ84" i="3"/>
  <c r="IK84" i="3" s="1"/>
  <c r="IL84" i="3"/>
  <c r="IJ39" i="3"/>
  <c r="IK39" i="3" s="1"/>
  <c r="IL39" i="3"/>
  <c r="HY46" i="3"/>
  <c r="HY118" i="3"/>
  <c r="IL128" i="3"/>
  <c r="IJ128" i="3"/>
  <c r="IK128" i="3" s="1"/>
  <c r="HY113" i="3"/>
  <c r="IW38" i="3"/>
  <c r="JJ38" i="3"/>
  <c r="JK38" i="3" s="1"/>
  <c r="HY87" i="3"/>
  <c r="IW90" i="3"/>
  <c r="JJ90" i="3"/>
  <c r="JK90" i="3" s="1"/>
  <c r="IW84" i="3"/>
  <c r="JJ84" i="3"/>
  <c r="JK84" i="3" s="1"/>
  <c r="HY121" i="3"/>
  <c r="IJ132" i="3"/>
  <c r="IK132" i="3" s="1"/>
  <c r="IL132" i="3"/>
  <c r="HY43" i="3"/>
  <c r="IW42" i="3"/>
  <c r="JJ42" i="3"/>
  <c r="JK42" i="3" s="1"/>
  <c r="HY86" i="3"/>
  <c r="IL44" i="3"/>
  <c r="IJ44" i="3"/>
  <c r="IK44" i="3" s="1"/>
  <c r="IW102" i="3"/>
  <c r="JJ102" i="3"/>
  <c r="JK102" i="3" s="1"/>
  <c r="IL123" i="3"/>
  <c r="IJ123" i="3"/>
  <c r="IK123" i="3" s="1"/>
  <c r="IW50" i="3"/>
  <c r="JJ50" i="3"/>
  <c r="JK50" i="3" s="1"/>
  <c r="IJ88" i="3"/>
  <c r="IK88" i="3" s="1"/>
  <c r="IL88" i="3"/>
  <c r="IW60" i="3"/>
  <c r="JJ60" i="3"/>
  <c r="JK60" i="3" s="1"/>
  <c r="IJ92" i="3"/>
  <c r="IK92" i="3" s="1"/>
  <c r="IL92" i="3"/>
  <c r="IJ102" i="3"/>
  <c r="IK102" i="3" s="1"/>
  <c r="IL102" i="3"/>
  <c r="IJ50" i="3"/>
  <c r="IK50" i="3" s="1"/>
  <c r="IL50" i="3"/>
  <c r="IW115" i="3"/>
  <c r="JJ115" i="3"/>
  <c r="JK115" i="3" s="1"/>
  <c r="IJ119" i="3"/>
  <c r="IK119" i="3" s="1"/>
  <c r="IL119" i="3"/>
  <c r="IW72" i="3"/>
  <c r="JJ72" i="3"/>
  <c r="JK72" i="3" s="1"/>
  <c r="JJ112" i="3"/>
  <c r="JK112" i="3" s="1"/>
  <c r="IW112" i="3"/>
  <c r="IW83" i="3"/>
  <c r="JJ83" i="3"/>
  <c r="JK83" i="3" s="1"/>
  <c r="IW53" i="3"/>
  <c r="JJ53" i="3"/>
  <c r="JK53" i="3" s="1"/>
  <c r="IJ94" i="3"/>
  <c r="IK94" i="3" s="1"/>
  <c r="IL94" i="3"/>
  <c r="IJ95" i="3"/>
  <c r="IK95" i="3" s="1"/>
  <c r="IL95" i="3"/>
  <c r="IJ58" i="3"/>
  <c r="IK58" i="3" s="1"/>
  <c r="IL58" i="3"/>
  <c r="IJ89" i="3"/>
  <c r="IK89" i="3" s="1"/>
  <c r="IL89" i="3"/>
  <c r="HY56" i="3"/>
  <c r="IJ40" i="3"/>
  <c r="IK40" i="3" s="1"/>
  <c r="IL40" i="3"/>
  <c r="HY124" i="3"/>
  <c r="IW96" i="3"/>
  <c r="JJ96" i="3"/>
  <c r="JK96" i="3" s="1"/>
  <c r="IW66" i="3"/>
  <c r="JJ66" i="3"/>
  <c r="JK66" i="3" s="1"/>
  <c r="IL48" i="3"/>
  <c r="IJ48" i="3"/>
  <c r="IW45" i="3"/>
  <c r="JJ45" i="3"/>
  <c r="JK45" i="3" s="1"/>
  <c r="HY74" i="3"/>
  <c r="IL100" i="3"/>
  <c r="IJ100" i="3"/>
  <c r="IK100" i="3" s="1"/>
  <c r="IJ115" i="3"/>
  <c r="IK115" i="3" s="1"/>
  <c r="IL115" i="3"/>
  <c r="IJ103" i="3"/>
  <c r="IK103" i="3" s="1"/>
  <c r="IL103" i="3"/>
  <c r="IJ52" i="3"/>
  <c r="IK52" i="3" s="1"/>
  <c r="IL52" i="3"/>
  <c r="IJ96" i="3"/>
  <c r="IK96" i="3" s="1"/>
  <c r="IL96" i="3"/>
  <c r="IW125" i="3"/>
  <c r="JJ125" i="3"/>
  <c r="JK125" i="3" s="1"/>
  <c r="IJ45" i="3"/>
  <c r="IK45" i="3" s="1"/>
  <c r="IL45" i="3"/>
  <c r="IW100" i="3"/>
  <c r="JJ100" i="3"/>
  <c r="JK100" i="3" s="1"/>
  <c r="IJ67" i="3"/>
  <c r="IK67" i="3" s="1"/>
  <c r="IL67" i="3"/>
  <c r="IJ80" i="3"/>
  <c r="IK80" i="3" s="1"/>
  <c r="IL80" i="3"/>
  <c r="IJ72" i="3"/>
  <c r="IK72" i="3" s="1"/>
  <c r="IL72" i="3"/>
  <c r="IJ74" i="3"/>
  <c r="IK74" i="3" s="1"/>
  <c r="IL74" i="3"/>
  <c r="JJ116" i="3"/>
  <c r="JK116" i="3" s="1"/>
  <c r="IW116" i="3"/>
  <c r="IJ53" i="3"/>
  <c r="IK53" i="3" s="1"/>
  <c r="IL53" i="3"/>
  <c r="IW95" i="3"/>
  <c r="JJ95" i="3"/>
  <c r="JK95" i="3" s="1"/>
  <c r="JJ131" i="3"/>
  <c r="JK131" i="3" s="1"/>
  <c r="IW131" i="3"/>
  <c r="IJ82" i="3"/>
  <c r="IK82" i="3" s="1"/>
  <c r="IL82" i="3"/>
  <c r="IL125" i="3"/>
  <c r="IJ125" i="3"/>
  <c r="IK125" i="3" s="1"/>
  <c r="IW133" i="3"/>
  <c r="JJ133" i="3"/>
  <c r="JK133" i="3" s="1"/>
  <c r="IW73" i="3"/>
  <c r="JJ73" i="3"/>
  <c r="JK73" i="3" s="1"/>
  <c r="IW122" i="3"/>
  <c r="JJ122" i="3"/>
  <c r="JK122" i="3" s="1"/>
  <c r="IL91" i="3"/>
  <c r="IJ91" i="3"/>
  <c r="IK91" i="3" s="1"/>
  <c r="IW130" i="3"/>
  <c r="JJ130" i="3"/>
  <c r="JK130" i="3" s="1"/>
  <c r="IJ62" i="3"/>
  <c r="IK62" i="3" s="1"/>
  <c r="IL62" i="3"/>
  <c r="IJ131" i="3"/>
  <c r="IK131" i="3" s="1"/>
  <c r="IL131" i="3"/>
  <c r="IJ117" i="3"/>
  <c r="IK117" i="3" s="1"/>
  <c r="IL117" i="3"/>
  <c r="IJ133" i="3"/>
  <c r="IK133" i="3" s="1"/>
  <c r="IL133" i="3"/>
  <c r="IW37" i="3"/>
  <c r="JJ37" i="3"/>
  <c r="JK37" i="3" s="1"/>
  <c r="IW80" i="3"/>
  <c r="JJ80" i="3"/>
  <c r="JK80" i="3" s="1"/>
  <c r="IW108" i="3"/>
  <c r="JJ108" i="3"/>
  <c r="JK108" i="3" s="1"/>
  <c r="IW79" i="3"/>
  <c r="JJ79" i="3"/>
  <c r="JK79" i="3" s="1"/>
  <c r="IW46" i="3"/>
  <c r="JJ46" i="3"/>
  <c r="JK46" i="3" s="1"/>
  <c r="IW61" i="3"/>
  <c r="JJ61" i="3"/>
  <c r="JK61" i="3" s="1"/>
  <c r="IJ81" i="3"/>
  <c r="IK81" i="3" s="1"/>
  <c r="IL81" i="3"/>
  <c r="IJ61" i="3"/>
  <c r="IK61" i="3" s="1"/>
  <c r="IL61" i="3"/>
  <c r="IJ130" i="3"/>
  <c r="IK130" i="3" s="1"/>
  <c r="IL130" i="3"/>
  <c r="IW58" i="3"/>
  <c r="JJ58" i="3"/>
  <c r="JK58" i="3" s="1"/>
  <c r="IW97" i="3"/>
  <c r="JJ97" i="3"/>
  <c r="JK97" i="3" s="1"/>
  <c r="IW49" i="3"/>
  <c r="JJ49" i="3"/>
  <c r="JK49" i="3" s="1"/>
  <c r="IJ56" i="3"/>
  <c r="IK56" i="3" s="1"/>
  <c r="IL56" i="3"/>
  <c r="IW85" i="3"/>
  <c r="JJ85" i="3"/>
  <c r="JK85" i="3" s="1"/>
  <c r="IJ78" i="3"/>
  <c r="IK78" i="3" s="1"/>
  <c r="IL78" i="3"/>
  <c r="IJ97" i="3"/>
  <c r="IK97" i="3" s="1"/>
  <c r="IL97" i="3"/>
  <c r="IJ104" i="3"/>
  <c r="IK104" i="3" s="1"/>
  <c r="IL104" i="3"/>
  <c r="IJ106" i="3"/>
  <c r="IK106" i="3" s="1"/>
  <c r="IL106" i="3"/>
  <c r="HY89" i="3"/>
  <c r="IJ105" i="3"/>
  <c r="IK105" i="3" s="1"/>
  <c r="IL105" i="3"/>
  <c r="IW76" i="3"/>
  <c r="JJ76" i="3"/>
  <c r="JK76" i="3" s="1"/>
  <c r="HY98" i="3"/>
  <c r="IW109" i="3"/>
  <c r="JJ109" i="3"/>
  <c r="JK109" i="3" s="1"/>
  <c r="IJ121" i="3"/>
  <c r="IK121" i="3" s="1"/>
  <c r="IL121" i="3"/>
  <c r="IW117" i="3"/>
  <c r="JJ117" i="3"/>
  <c r="JK117" i="3" s="1"/>
  <c r="IJ49" i="3"/>
  <c r="IK49" i="3" s="1"/>
  <c r="IL49" i="3"/>
  <c r="HY69" i="3"/>
  <c r="IW47" i="3"/>
  <c r="JJ47" i="3"/>
  <c r="JK47" i="3" s="1"/>
  <c r="IJ37" i="3"/>
  <c r="IK37" i="3" s="1"/>
  <c r="IL37" i="3"/>
  <c r="HY44" i="3"/>
  <c r="IL60" i="3"/>
  <c r="IJ60" i="3"/>
  <c r="IK60" i="3" s="1"/>
  <c r="IW62" i="3"/>
  <c r="JJ62" i="3"/>
  <c r="JK62" i="3" s="1"/>
  <c r="IW56" i="3"/>
  <c r="JJ56" i="3"/>
  <c r="JK56" i="3" s="1"/>
  <c r="IW81" i="3"/>
  <c r="JJ81" i="3"/>
  <c r="JK81" i="3" s="1"/>
  <c r="IJ112" i="3"/>
  <c r="IK112" i="3" s="1"/>
  <c r="IL112" i="3"/>
  <c r="IW94" i="3"/>
  <c r="JJ94" i="3"/>
  <c r="JK94" i="3" s="1"/>
  <c r="IW88" i="3"/>
  <c r="JJ88" i="3"/>
  <c r="JK88" i="3" s="1"/>
  <c r="IJ116" i="3"/>
  <c r="IK116" i="3" s="1"/>
  <c r="IL116" i="3"/>
  <c r="HY126" i="3"/>
  <c r="IW101" i="3"/>
  <c r="JJ101" i="3"/>
  <c r="JK101" i="3" s="1"/>
  <c r="IW82" i="3"/>
  <c r="JJ82" i="3"/>
  <c r="JK82" i="3" s="1"/>
  <c r="IW59" i="3"/>
  <c r="JJ59" i="3"/>
  <c r="JK59" i="3" s="1"/>
  <c r="IW78" i="3"/>
  <c r="JJ78" i="3"/>
  <c r="JK78" i="3" s="1"/>
  <c r="HY94" i="3"/>
  <c r="IJ93" i="3"/>
  <c r="IK93" i="3" s="1"/>
  <c r="IL93" i="3"/>
  <c r="IJ114" i="3"/>
  <c r="IK114" i="3" s="1"/>
  <c r="IL114" i="3"/>
  <c r="IW127" i="3"/>
  <c r="JJ127" i="3"/>
  <c r="JK127" i="3" s="1"/>
  <c r="IW35" i="3"/>
  <c r="JJ35" i="3"/>
  <c r="JK35" i="3" s="1"/>
  <c r="IW129" i="3"/>
  <c r="JJ129" i="3"/>
  <c r="JK129" i="3" s="1"/>
  <c r="IW86" i="3"/>
  <c r="JJ86" i="3"/>
  <c r="JK86" i="3" s="1"/>
  <c r="IJ127" i="3"/>
  <c r="IK127" i="3" s="1"/>
  <c r="IL127" i="3"/>
  <c r="HY54" i="3"/>
  <c r="IL87" i="3"/>
  <c r="IJ87" i="3"/>
  <c r="IK87" i="3" s="1"/>
  <c r="HY38" i="3"/>
  <c r="IJ54" i="3"/>
  <c r="IK54" i="3" s="1"/>
  <c r="IL54" i="3"/>
  <c r="HY110" i="3"/>
  <c r="HY123" i="3"/>
  <c r="HY97" i="3"/>
  <c r="IL129" i="3"/>
  <c r="IJ129" i="3"/>
  <c r="IK129" i="3" s="1"/>
  <c r="HY78" i="3"/>
  <c r="HY108" i="3"/>
  <c r="IJ86" i="3"/>
  <c r="IK86" i="3" s="1"/>
  <c r="IL86" i="3"/>
  <c r="HY109" i="3"/>
  <c r="HY35" i="3"/>
  <c r="HY95" i="3"/>
  <c r="IW134" i="3"/>
  <c r="JJ134" i="3"/>
  <c r="JK134" i="3" s="1"/>
  <c r="IL79" i="3"/>
  <c r="IJ79" i="3"/>
  <c r="IK79" i="3" s="1"/>
  <c r="IJ75" i="3"/>
  <c r="IK75" i="3" s="1"/>
  <c r="IL75" i="3"/>
  <c r="IW91" i="3"/>
  <c r="JJ91" i="3"/>
  <c r="JK91" i="3" s="1"/>
  <c r="IL122" i="3"/>
  <c r="IJ122" i="3"/>
  <c r="IK122" i="3" s="1"/>
  <c r="JJ69" i="3"/>
  <c r="JK69" i="3" s="1"/>
  <c r="IW69" i="3"/>
  <c r="IJ69" i="3"/>
  <c r="IK69" i="3" s="1"/>
  <c r="IL69" i="3"/>
  <c r="IW89" i="3"/>
  <c r="JJ89" i="3"/>
  <c r="JK89" i="3" s="1"/>
  <c r="IW70" i="3"/>
  <c r="JJ70" i="3"/>
  <c r="JK70" i="3" s="1"/>
  <c r="IL70" i="3"/>
  <c r="IJ70" i="3"/>
  <c r="IK70" i="3" s="1"/>
  <c r="IW114" i="3"/>
  <c r="JJ114" i="3"/>
  <c r="JK114" i="3" s="1"/>
  <c r="IJ134" i="3"/>
  <c r="IK134" i="3" s="1"/>
  <c r="IL134" i="3"/>
  <c r="IW74" i="3"/>
  <c r="JJ74" i="3"/>
  <c r="JK74" i="3" s="1"/>
  <c r="HY129" i="3"/>
  <c r="JJ40" i="3"/>
  <c r="JK40" i="3" s="1"/>
  <c r="IW40" i="3"/>
  <c r="IW105" i="3"/>
  <c r="JJ105" i="3"/>
  <c r="JK105" i="3" s="1"/>
  <c r="HY79" i="3"/>
  <c r="IJ35" i="3"/>
  <c r="IK35" i="3" s="1"/>
  <c r="IL35" i="3"/>
  <c r="IJ107" i="3"/>
  <c r="IK107" i="3" s="1"/>
  <c r="IL107" i="3"/>
  <c r="IJ118" i="3"/>
  <c r="IK118" i="3" s="1"/>
  <c r="IL118" i="3"/>
  <c r="HY83" i="3"/>
  <c r="IW99" i="3"/>
  <c r="JJ99" i="3"/>
  <c r="JK99" i="3" s="1"/>
  <c r="IL51" i="3"/>
  <c r="IJ51" i="3"/>
  <c r="IK51" i="3" s="1"/>
  <c r="HY107" i="3"/>
  <c r="IW111" i="3"/>
  <c r="JJ111" i="3"/>
  <c r="JK111" i="3" s="1"/>
  <c r="IW63" i="3"/>
  <c r="JJ63" i="3"/>
  <c r="JK63" i="3" s="1"/>
  <c r="HY49" i="3"/>
  <c r="IW92" i="3"/>
  <c r="JJ92" i="3"/>
  <c r="JK92" i="3" s="1"/>
  <c r="JJ98" i="3"/>
  <c r="JK98" i="3" s="1"/>
  <c r="IW98" i="3"/>
  <c r="IW126" i="3"/>
  <c r="JJ126" i="3"/>
  <c r="JK126" i="3" s="1"/>
  <c r="IW52" i="3"/>
  <c r="JJ52" i="3"/>
  <c r="JK52" i="3" s="1"/>
  <c r="IJ46" i="3"/>
  <c r="IK46" i="3" s="1"/>
  <c r="IL46" i="3"/>
  <c r="IJ124" i="3"/>
  <c r="IK124" i="3" s="1"/>
  <c r="IL124" i="3"/>
  <c r="IW68" i="3"/>
  <c r="JJ68" i="3"/>
  <c r="JK68" i="3" s="1"/>
  <c r="IJ68" i="3"/>
  <c r="IK68" i="3" s="1"/>
  <c r="IL68" i="3"/>
  <c r="IW36" i="3"/>
  <c r="JJ36" i="3"/>
  <c r="JK36" i="3" s="1"/>
  <c r="IL101" i="3"/>
  <c r="IJ101" i="3"/>
  <c r="IK101" i="3" s="1"/>
  <c r="IJ59" i="3"/>
  <c r="IK59" i="3" s="1"/>
  <c r="IL59" i="3"/>
  <c r="JJ121" i="3"/>
  <c r="JK121" i="3" s="1"/>
  <c r="IW121" i="3"/>
  <c r="IW106" i="3"/>
  <c r="JJ106" i="3"/>
  <c r="JK106" i="3" s="1"/>
  <c r="IJ76" i="3"/>
  <c r="IK76" i="3" s="1"/>
  <c r="IL76" i="3"/>
  <c r="IW107" i="3"/>
  <c r="JJ107" i="3"/>
  <c r="JK107" i="3" s="1"/>
  <c r="IJ47" i="3"/>
  <c r="IK47" i="3" s="1"/>
  <c r="IL47" i="3"/>
  <c r="IW87" i="3"/>
  <c r="JJ87" i="3"/>
  <c r="JK87" i="3" s="1"/>
  <c r="IW54" i="3"/>
  <c r="JJ54" i="3"/>
  <c r="JK54" i="3" s="1"/>
  <c r="IW34" i="3"/>
  <c r="JJ34" i="3"/>
  <c r="JK34" i="3" s="1"/>
  <c r="IW51" i="3"/>
  <c r="JJ51" i="3"/>
  <c r="JK51" i="3" s="1"/>
  <c r="IJ34" i="3"/>
  <c r="IK34" i="3" s="1"/>
  <c r="IL34" i="3"/>
  <c r="JJ57" i="3"/>
  <c r="JK57" i="3" s="1"/>
  <c r="IW57" i="3"/>
  <c r="IW55" i="3"/>
  <c r="JJ55" i="3"/>
  <c r="JK55" i="3" s="1"/>
  <c r="IW110" i="3"/>
  <c r="JJ110" i="3"/>
  <c r="JK110" i="3" s="1"/>
  <c r="IW41" i="3"/>
  <c r="JJ41" i="3"/>
  <c r="JK41" i="3" s="1"/>
  <c r="IW71" i="3"/>
  <c r="JJ71" i="3"/>
  <c r="JK71" i="3" s="1"/>
  <c r="IJ55" i="3"/>
  <c r="IK55" i="3" s="1"/>
  <c r="IL55" i="3"/>
  <c r="HY96" i="3"/>
  <c r="IJ99" i="3"/>
  <c r="IK99" i="3" s="1"/>
  <c r="IL99" i="3"/>
  <c r="IJ77" i="3"/>
  <c r="IK77" i="3" s="1"/>
  <c r="IL77" i="3"/>
  <c r="IW113" i="3"/>
  <c r="JJ113" i="3"/>
  <c r="JK113" i="3" s="1"/>
  <c r="IW64" i="3"/>
  <c r="JJ64" i="3"/>
  <c r="JK64" i="3" s="1"/>
  <c r="IJ111" i="3"/>
  <c r="IK111" i="3" s="1"/>
  <c r="IL111" i="3"/>
  <c r="IL63" i="3"/>
  <c r="IJ63" i="3"/>
  <c r="IK63" i="3" s="1"/>
  <c r="IL65" i="3"/>
  <c r="IJ65" i="3"/>
  <c r="IK65" i="3" s="1"/>
  <c r="HY114" i="3"/>
  <c r="JJ43" i="3"/>
  <c r="JK43" i="3" s="1"/>
  <c r="IW43" i="3"/>
  <c r="IW39" i="3"/>
  <c r="JJ39" i="3"/>
  <c r="JK39" i="3" s="1"/>
  <c r="IJ90" i="3"/>
  <c r="IK90" i="3" s="1"/>
  <c r="IL90" i="3"/>
  <c r="HY134" i="3"/>
  <c r="IJ36" i="3"/>
  <c r="IK36" i="3" s="1"/>
  <c r="IL36" i="3"/>
  <c r="IW124" i="3"/>
  <c r="JJ124" i="3"/>
  <c r="JK124" i="3" s="1"/>
  <c r="IW123" i="3"/>
  <c r="JJ123" i="3"/>
  <c r="JK123" i="3" s="1"/>
  <c r="IJ83" i="3"/>
  <c r="IK83" i="3" s="1"/>
  <c r="IL83" i="3"/>
  <c r="IW48" i="3"/>
  <c r="JJ48" i="3"/>
  <c r="JK48" i="3" s="1"/>
  <c r="IJ66" i="3"/>
  <c r="IK66" i="3" s="1"/>
  <c r="IL66" i="3"/>
  <c r="IW104" i="3"/>
  <c r="JJ104" i="3"/>
  <c r="JK104" i="3" s="1"/>
  <c r="IL109" i="3"/>
  <c r="IJ109" i="3"/>
  <c r="IK109" i="3" s="1"/>
  <c r="IJ85" i="3"/>
  <c r="IK85" i="3" s="1"/>
  <c r="IL85" i="3"/>
  <c r="IW93" i="3"/>
  <c r="JJ93" i="3"/>
  <c r="JK93" i="3" s="1"/>
  <c r="IJ57" i="3"/>
  <c r="IK57" i="3" s="1"/>
  <c r="IL57" i="3"/>
  <c r="IW120" i="3"/>
  <c r="JJ120" i="3"/>
  <c r="JK120" i="3" s="1"/>
  <c r="IW118" i="3"/>
  <c r="JJ118" i="3"/>
  <c r="JK118" i="3" s="1"/>
  <c r="IJ120" i="3"/>
  <c r="IK120" i="3" s="1"/>
  <c r="IL120" i="3"/>
  <c r="IW77" i="3"/>
  <c r="JJ77" i="3"/>
  <c r="JK77" i="3" s="1"/>
  <c r="HY120" i="3"/>
  <c r="HY41" i="3"/>
  <c r="IJ110" i="3"/>
  <c r="IK110" i="3" s="1"/>
  <c r="IL110" i="3"/>
  <c r="HY36" i="3"/>
  <c r="IJ41" i="3"/>
  <c r="IK41" i="3" s="1"/>
  <c r="IL41" i="3"/>
  <c r="IJ71" i="3"/>
  <c r="IK71" i="3" s="1"/>
  <c r="IL71" i="3"/>
  <c r="IW103" i="3"/>
  <c r="JJ103" i="3"/>
  <c r="JK103" i="3" s="1"/>
  <c r="IW119" i="3"/>
  <c r="JJ119" i="3"/>
  <c r="JK119" i="3" s="1"/>
  <c r="IJ108" i="3"/>
  <c r="IK108" i="3" s="1"/>
  <c r="IL108" i="3"/>
  <c r="HY122" i="3"/>
  <c r="IJ113" i="3"/>
  <c r="IK113" i="3" s="1"/>
  <c r="IL113" i="3"/>
  <c r="IL64" i="3"/>
  <c r="IJ64" i="3"/>
  <c r="IK64" i="3" s="1"/>
  <c r="IW67" i="3"/>
  <c r="JJ67" i="3"/>
  <c r="JK67" i="3" s="1"/>
  <c r="IW65" i="3"/>
  <c r="JJ65" i="3"/>
  <c r="JK65" i="3" s="1"/>
  <c r="IL43" i="3"/>
  <c r="IJ43" i="3"/>
  <c r="IK43" i="3" s="1"/>
  <c r="N43" i="3"/>
  <c r="J44" i="3" s="1"/>
  <c r="J48" i="2"/>
  <c r="N48" i="2" s="1"/>
  <c r="AP122" i="2"/>
  <c r="AN123" i="2"/>
  <c r="AO123" i="2" s="1"/>
  <c r="AN124" i="2"/>
  <c r="AO124" i="2" s="1"/>
  <c r="IM54" i="3" l="1"/>
  <c r="IM106" i="3"/>
  <c r="IM81" i="3"/>
  <c r="IM74" i="3"/>
  <c r="IM104" i="3"/>
  <c r="IM36" i="3"/>
  <c r="IM99" i="3"/>
  <c r="IM112" i="3"/>
  <c r="IM41" i="3"/>
  <c r="IM83" i="3"/>
  <c r="IM134" i="3"/>
  <c r="IM116" i="3"/>
  <c r="IM66" i="3"/>
  <c r="IM90" i="3"/>
  <c r="IM47" i="3"/>
  <c r="IM46" i="3"/>
  <c r="IM35" i="3"/>
  <c r="IM58" i="3"/>
  <c r="IM107" i="3"/>
  <c r="IM69" i="3"/>
  <c r="IM93" i="3"/>
  <c r="IM130" i="3"/>
  <c r="IM131" i="3"/>
  <c r="IM53" i="3"/>
  <c r="IM103" i="3"/>
  <c r="IM133" i="3"/>
  <c r="IM96" i="3"/>
  <c r="IM110" i="3"/>
  <c r="IM72" i="3"/>
  <c r="IM85" i="3"/>
  <c r="IM75" i="3"/>
  <c r="IM97" i="3"/>
  <c r="IM80" i="3"/>
  <c r="IM84" i="3"/>
  <c r="IM98" i="3"/>
  <c r="IM68" i="3"/>
  <c r="IM86" i="3"/>
  <c r="IM50" i="3"/>
  <c r="IM132" i="3"/>
  <c r="IM92" i="3"/>
  <c r="IM108" i="3"/>
  <c r="IM124" i="3"/>
  <c r="IM89" i="3"/>
  <c r="IM102" i="3"/>
  <c r="IM57" i="3"/>
  <c r="IM118" i="3"/>
  <c r="IM114" i="3"/>
  <c r="IM117" i="3"/>
  <c r="IM52" i="3"/>
  <c r="IM73" i="3"/>
  <c r="IM61" i="3"/>
  <c r="IM62" i="3"/>
  <c r="IM115" i="3"/>
  <c r="IM37" i="3"/>
  <c r="IM128" i="3"/>
  <c r="IM111" i="3"/>
  <c r="IM127" i="3"/>
  <c r="IM78" i="3"/>
  <c r="IM67" i="3"/>
  <c r="IM39" i="3"/>
  <c r="IM34" i="3"/>
  <c r="IM119" i="3"/>
  <c r="IM125" i="3"/>
  <c r="IM64" i="3"/>
  <c r="IM113" i="3"/>
  <c r="IM77" i="3"/>
  <c r="IM121" i="3"/>
  <c r="IM82" i="3"/>
  <c r="IM40" i="3"/>
  <c r="JN35" i="3"/>
  <c r="JL35" i="3"/>
  <c r="JM35" i="3" s="1"/>
  <c r="JL99" i="3"/>
  <c r="JM99" i="3" s="1"/>
  <c r="JN99" i="3"/>
  <c r="IX99" i="3"/>
  <c r="IY99" i="3" s="1"/>
  <c r="IZ99" i="3"/>
  <c r="IX84" i="3"/>
  <c r="IY84" i="3" s="1"/>
  <c r="IZ84" i="3"/>
  <c r="IX125" i="3"/>
  <c r="IY125" i="3" s="1"/>
  <c r="IZ125" i="3"/>
  <c r="IZ109" i="3"/>
  <c r="IX109" i="3"/>
  <c r="IY109" i="3" s="1"/>
  <c r="JL90" i="3"/>
  <c r="JM90" i="3" s="1"/>
  <c r="JN90" i="3"/>
  <c r="IX88" i="3"/>
  <c r="IY88" i="3" s="1"/>
  <c r="IZ88" i="3"/>
  <c r="JL49" i="3"/>
  <c r="JM49" i="3" s="1"/>
  <c r="JN49" i="3"/>
  <c r="IZ35" i="3"/>
  <c r="IX35" i="3"/>
  <c r="IY35" i="3" s="1"/>
  <c r="IX131" i="3"/>
  <c r="IY131" i="3" s="1"/>
  <c r="IZ131" i="3"/>
  <c r="JN95" i="3"/>
  <c r="JL95" i="3"/>
  <c r="JM95" i="3" s="1"/>
  <c r="JL56" i="3"/>
  <c r="JM56" i="3" s="1"/>
  <c r="JN56" i="3"/>
  <c r="IZ76" i="3"/>
  <c r="IX76" i="3"/>
  <c r="IY76" i="3" s="1"/>
  <c r="JL103" i="3"/>
  <c r="JM103" i="3" s="1"/>
  <c r="JN103" i="3"/>
  <c r="IX93" i="3"/>
  <c r="IY93" i="3" s="1"/>
  <c r="IZ93" i="3"/>
  <c r="JL39" i="3"/>
  <c r="JM39" i="3" s="1"/>
  <c r="JN39" i="3"/>
  <c r="JL71" i="3"/>
  <c r="JM71" i="3" s="1"/>
  <c r="JN71" i="3"/>
  <c r="JL107" i="3"/>
  <c r="JM107" i="3" s="1"/>
  <c r="JN107" i="3"/>
  <c r="JL52" i="3"/>
  <c r="JM52" i="3" s="1"/>
  <c r="JN52" i="3"/>
  <c r="IZ56" i="3"/>
  <c r="IX56" i="3"/>
  <c r="IY56" i="3" s="1"/>
  <c r="IM105" i="3"/>
  <c r="IM95" i="3"/>
  <c r="JL60" i="3"/>
  <c r="JM60" i="3" s="1"/>
  <c r="JN60" i="3"/>
  <c r="IX90" i="3"/>
  <c r="IY90" i="3" s="1"/>
  <c r="IZ90" i="3"/>
  <c r="IX117" i="3"/>
  <c r="IY117" i="3" s="1"/>
  <c r="IZ117" i="3"/>
  <c r="IX94" i="3"/>
  <c r="IY94" i="3" s="1"/>
  <c r="IZ94" i="3"/>
  <c r="IM71" i="3"/>
  <c r="IX43" i="3"/>
  <c r="IY43" i="3" s="1"/>
  <c r="IZ43" i="3"/>
  <c r="JL41" i="3"/>
  <c r="JM41" i="3" s="1"/>
  <c r="JN41" i="3"/>
  <c r="IM76" i="3"/>
  <c r="JL126" i="3"/>
  <c r="JM126" i="3" s="1"/>
  <c r="JN126" i="3"/>
  <c r="JN69" i="3"/>
  <c r="JL69" i="3"/>
  <c r="JM69" i="3" s="1"/>
  <c r="JL78" i="3"/>
  <c r="JM78" i="3" s="1"/>
  <c r="JN78" i="3"/>
  <c r="IX62" i="3"/>
  <c r="IY62" i="3" s="1"/>
  <c r="IZ62" i="3"/>
  <c r="JL116" i="3"/>
  <c r="JM116" i="3" s="1"/>
  <c r="JN116" i="3"/>
  <c r="IM94" i="3"/>
  <c r="IM88" i="3"/>
  <c r="JL38" i="3"/>
  <c r="JM38" i="3" s="1"/>
  <c r="JN38" i="3"/>
  <c r="JL75" i="3"/>
  <c r="JM75" i="3" s="1"/>
  <c r="JN75" i="3"/>
  <c r="JL109" i="3"/>
  <c r="JM109" i="3" s="1"/>
  <c r="JN109" i="3"/>
  <c r="IX87" i="3"/>
  <c r="IY87" i="3" s="1"/>
  <c r="IZ87" i="3"/>
  <c r="IX95" i="3"/>
  <c r="IY95" i="3" s="1"/>
  <c r="IZ95" i="3"/>
  <c r="IZ119" i="3"/>
  <c r="IX119" i="3"/>
  <c r="IY119" i="3" s="1"/>
  <c r="IX71" i="3"/>
  <c r="IY71" i="3" s="1"/>
  <c r="IZ71" i="3"/>
  <c r="IX78" i="3"/>
  <c r="IY78" i="3" s="1"/>
  <c r="IZ78" i="3"/>
  <c r="JL59" i="3"/>
  <c r="JM59" i="3" s="1"/>
  <c r="JN59" i="3"/>
  <c r="IM60" i="3"/>
  <c r="IX130" i="3"/>
  <c r="IY130" i="3" s="1"/>
  <c r="IZ130" i="3"/>
  <c r="IM100" i="3"/>
  <c r="JL53" i="3"/>
  <c r="JM53" i="3" s="1"/>
  <c r="JN53" i="3"/>
  <c r="JL50" i="3"/>
  <c r="JM50" i="3" s="1"/>
  <c r="JN50" i="3"/>
  <c r="JN44" i="3"/>
  <c r="JL44" i="3"/>
  <c r="JM44" i="3" s="1"/>
  <c r="IX37" i="3"/>
  <c r="IY37" i="3" s="1"/>
  <c r="IZ37" i="3"/>
  <c r="IX53" i="3"/>
  <c r="IY53" i="3" s="1"/>
  <c r="IZ53" i="3"/>
  <c r="IX50" i="3"/>
  <c r="IY50" i="3" s="1"/>
  <c r="IZ50" i="3"/>
  <c r="IX44" i="3"/>
  <c r="IY44" i="3" s="1"/>
  <c r="IZ44" i="3"/>
  <c r="JL81" i="3"/>
  <c r="JM81" i="3" s="1"/>
  <c r="JN81" i="3"/>
  <c r="JL119" i="3"/>
  <c r="JM119" i="3" s="1"/>
  <c r="JN119" i="3"/>
  <c r="JN46" i="3"/>
  <c r="JL46" i="3"/>
  <c r="JM46" i="3" s="1"/>
  <c r="IX83" i="3"/>
  <c r="IY83" i="3" s="1"/>
  <c r="IZ83" i="3"/>
  <c r="IM123" i="3"/>
  <c r="IM42" i="3"/>
  <c r="JL34" i="3"/>
  <c r="JM34" i="3" s="1"/>
  <c r="JN34" i="3"/>
  <c r="JL115" i="3"/>
  <c r="JM115" i="3" s="1"/>
  <c r="JN115" i="3"/>
  <c r="JL124" i="3"/>
  <c r="JM124" i="3" s="1"/>
  <c r="JN124" i="3"/>
  <c r="IM70" i="3"/>
  <c r="JN70" i="3"/>
  <c r="JL70" i="3"/>
  <c r="JM70" i="3" s="1"/>
  <c r="JL87" i="3"/>
  <c r="JM87" i="3" s="1"/>
  <c r="JN87" i="3"/>
  <c r="JN131" i="3"/>
  <c r="JL131" i="3"/>
  <c r="JM131" i="3" s="1"/>
  <c r="IX58" i="3"/>
  <c r="IY58" i="3" s="1"/>
  <c r="IZ58" i="3"/>
  <c r="IX52" i="3"/>
  <c r="IY52" i="3" s="1"/>
  <c r="IZ52" i="3"/>
  <c r="IX41" i="3"/>
  <c r="IY41" i="3" s="1"/>
  <c r="IZ41" i="3"/>
  <c r="IX75" i="3"/>
  <c r="IY75" i="3" s="1"/>
  <c r="IZ75" i="3"/>
  <c r="IZ98" i="3"/>
  <c r="IX98" i="3"/>
  <c r="IY98" i="3" s="1"/>
  <c r="IZ105" i="3"/>
  <c r="IX105" i="3"/>
  <c r="IY105" i="3" s="1"/>
  <c r="IX121" i="3"/>
  <c r="IY121" i="3" s="1"/>
  <c r="IZ121" i="3"/>
  <c r="IZ91" i="3"/>
  <c r="IX91" i="3"/>
  <c r="IY91" i="3" s="1"/>
  <c r="IZ61" i="3"/>
  <c r="IX61" i="3"/>
  <c r="IY61" i="3" s="1"/>
  <c r="IM91" i="3"/>
  <c r="IX55" i="3"/>
  <c r="IY55" i="3" s="1"/>
  <c r="IZ55" i="3"/>
  <c r="JL121" i="3"/>
  <c r="JM121" i="3" s="1"/>
  <c r="JN121" i="3"/>
  <c r="IX92" i="3"/>
  <c r="IY92" i="3" s="1"/>
  <c r="IZ92" i="3"/>
  <c r="JL40" i="3"/>
  <c r="JM40" i="3" s="1"/>
  <c r="JN40" i="3"/>
  <c r="IM87" i="3"/>
  <c r="IX82" i="3"/>
  <c r="IY82" i="3" s="1"/>
  <c r="IZ82" i="3"/>
  <c r="JL122" i="3"/>
  <c r="JM122" i="3" s="1"/>
  <c r="JN122" i="3"/>
  <c r="IX45" i="3"/>
  <c r="IY45" i="3" s="1"/>
  <c r="IZ45" i="3"/>
  <c r="JA45" i="3" s="1"/>
  <c r="IM43" i="3"/>
  <c r="IM63" i="3"/>
  <c r="IZ57" i="3"/>
  <c r="IX57" i="3"/>
  <c r="IY57" i="3" s="1"/>
  <c r="IM59" i="3"/>
  <c r="JN101" i="3"/>
  <c r="JL101" i="3"/>
  <c r="JM101" i="3" s="1"/>
  <c r="JN47" i="3"/>
  <c r="JL47" i="3"/>
  <c r="JM47" i="3" s="1"/>
  <c r="IX46" i="3"/>
  <c r="IY46" i="3" s="1"/>
  <c r="IZ46" i="3"/>
  <c r="IX122" i="3"/>
  <c r="IY122" i="3" s="1"/>
  <c r="IZ122" i="3"/>
  <c r="IM48" i="3"/>
  <c r="IK48" i="3"/>
  <c r="IZ112" i="3"/>
  <c r="IX112" i="3"/>
  <c r="IY112" i="3" s="1"/>
  <c r="JL102" i="3"/>
  <c r="JM102" i="3" s="1"/>
  <c r="JN102" i="3"/>
  <c r="JN132" i="3"/>
  <c r="JL132" i="3"/>
  <c r="JM132" i="3" s="1"/>
  <c r="IX129" i="3"/>
  <c r="IY129" i="3" s="1"/>
  <c r="IZ129" i="3"/>
  <c r="JL37" i="3"/>
  <c r="JM37" i="3" s="1"/>
  <c r="JN37" i="3"/>
  <c r="IZ118" i="3"/>
  <c r="IX118" i="3"/>
  <c r="IY118" i="3" s="1"/>
  <c r="IX49" i="3"/>
  <c r="IY49" i="3" s="1"/>
  <c r="IZ49" i="3"/>
  <c r="IX123" i="3"/>
  <c r="IY123" i="3" s="1"/>
  <c r="IZ123" i="3"/>
  <c r="JL97" i="3"/>
  <c r="JM97" i="3" s="1"/>
  <c r="JN97" i="3"/>
  <c r="JL58" i="3"/>
  <c r="JM58" i="3" s="1"/>
  <c r="JN58" i="3"/>
  <c r="IX103" i="3"/>
  <c r="IY103" i="3" s="1"/>
  <c r="IZ103" i="3"/>
  <c r="JL105" i="3"/>
  <c r="JM105" i="3" s="1"/>
  <c r="JN105" i="3"/>
  <c r="IX80" i="3"/>
  <c r="IY80" i="3" s="1"/>
  <c r="IZ80" i="3"/>
  <c r="IX115" i="3"/>
  <c r="IY115" i="3" s="1"/>
  <c r="IZ115" i="3"/>
  <c r="JL54" i="3"/>
  <c r="JM54" i="3" s="1"/>
  <c r="JN54" i="3"/>
  <c r="JL128" i="3"/>
  <c r="JM128" i="3" s="1"/>
  <c r="JN128" i="3"/>
  <c r="IX120" i="3"/>
  <c r="IY120" i="3" s="1"/>
  <c r="IZ120" i="3"/>
  <c r="IZ127" i="3"/>
  <c r="IX127" i="3"/>
  <c r="IY127" i="3" s="1"/>
  <c r="IX97" i="3"/>
  <c r="IY97" i="3" s="1"/>
  <c r="IZ97" i="3"/>
  <c r="JL84" i="3"/>
  <c r="JM84" i="3" s="1"/>
  <c r="JN84" i="3"/>
  <c r="IM55" i="3"/>
  <c r="IX107" i="3"/>
  <c r="IY107" i="3" s="1"/>
  <c r="IZ107" i="3"/>
  <c r="IZ116" i="3"/>
  <c r="IX116" i="3"/>
  <c r="IY116" i="3" s="1"/>
  <c r="IX126" i="3"/>
  <c r="IY126" i="3" s="1"/>
  <c r="IZ126" i="3"/>
  <c r="IX38" i="3"/>
  <c r="IY38" i="3" s="1"/>
  <c r="IZ38" i="3"/>
  <c r="IM109" i="3"/>
  <c r="JN110" i="3"/>
  <c r="JL110" i="3"/>
  <c r="JM110" i="3" s="1"/>
  <c r="IX110" i="3"/>
  <c r="IY110" i="3" s="1"/>
  <c r="IZ110" i="3"/>
  <c r="IX104" i="3"/>
  <c r="IY104" i="3" s="1"/>
  <c r="IZ104" i="3"/>
  <c r="IZ40" i="3"/>
  <c r="IX40" i="3"/>
  <c r="IY40" i="3" s="1"/>
  <c r="JL83" i="3"/>
  <c r="JM83" i="3" s="1"/>
  <c r="JN83" i="3"/>
  <c r="JN48" i="3"/>
  <c r="JL48" i="3"/>
  <c r="JM48" i="3" s="1"/>
  <c r="JL57" i="3"/>
  <c r="JM57" i="3" s="1"/>
  <c r="JN57" i="3"/>
  <c r="JL74" i="3"/>
  <c r="JM74" i="3" s="1"/>
  <c r="JN74" i="3"/>
  <c r="IX101" i="3"/>
  <c r="IY101" i="3" s="1"/>
  <c r="IZ101" i="3"/>
  <c r="JN79" i="3"/>
  <c r="JL79" i="3"/>
  <c r="JM79" i="3" s="1"/>
  <c r="IX48" i="3"/>
  <c r="IY48" i="3" s="1"/>
  <c r="IZ48" i="3"/>
  <c r="IX73" i="3"/>
  <c r="IY73" i="3" s="1"/>
  <c r="IZ73" i="3"/>
  <c r="JL72" i="3"/>
  <c r="JM72" i="3" s="1"/>
  <c r="JN72" i="3"/>
  <c r="JL67" i="3"/>
  <c r="JM67" i="3" s="1"/>
  <c r="JN67" i="3"/>
  <c r="JL77" i="3"/>
  <c r="JM77" i="3" s="1"/>
  <c r="JN77" i="3"/>
  <c r="JL64" i="3"/>
  <c r="JM64" i="3" s="1"/>
  <c r="JN64" i="3"/>
  <c r="IM101" i="3"/>
  <c r="JL111" i="3"/>
  <c r="JM111" i="3" s="1"/>
  <c r="JN111" i="3"/>
  <c r="JL134" i="3"/>
  <c r="JM134" i="3" s="1"/>
  <c r="JN134" i="3"/>
  <c r="JL86" i="3"/>
  <c r="JM86" i="3" s="1"/>
  <c r="JN86" i="3"/>
  <c r="IM49" i="3"/>
  <c r="JL85" i="3"/>
  <c r="JM85" i="3" s="1"/>
  <c r="JN85" i="3"/>
  <c r="JL108" i="3"/>
  <c r="JM108" i="3" s="1"/>
  <c r="JN108" i="3"/>
  <c r="JL133" i="3"/>
  <c r="JM133" i="3" s="1"/>
  <c r="JN133" i="3"/>
  <c r="JL100" i="3"/>
  <c r="JM100" i="3" s="1"/>
  <c r="JN100" i="3"/>
  <c r="IX66" i="3"/>
  <c r="IY66" i="3" s="1"/>
  <c r="IZ66" i="3"/>
  <c r="IX72" i="3"/>
  <c r="IY72" i="3" s="1"/>
  <c r="IZ72" i="3"/>
  <c r="IM44" i="3"/>
  <c r="IX113" i="3"/>
  <c r="IY113" i="3" s="1"/>
  <c r="IZ113" i="3"/>
  <c r="IM51" i="3"/>
  <c r="JL125" i="3"/>
  <c r="JM125" i="3" s="1"/>
  <c r="JN125" i="3"/>
  <c r="JN68" i="3"/>
  <c r="JL68" i="3"/>
  <c r="JM68" i="3" s="1"/>
  <c r="IX68" i="3"/>
  <c r="IY68" i="3" s="1"/>
  <c r="IZ68" i="3"/>
  <c r="IX128" i="3"/>
  <c r="IY128" i="3" s="1"/>
  <c r="IZ128" i="3"/>
  <c r="IX89" i="3"/>
  <c r="IY89" i="3" s="1"/>
  <c r="IZ89" i="3"/>
  <c r="IX81" i="3"/>
  <c r="IY81" i="3" s="1"/>
  <c r="IZ81" i="3"/>
  <c r="IM129" i="3"/>
  <c r="IZ69" i="3"/>
  <c r="IX69" i="3"/>
  <c r="IY69" i="3" s="1"/>
  <c r="JL43" i="3"/>
  <c r="JM43" i="3" s="1"/>
  <c r="JN43" i="3"/>
  <c r="JL130" i="3"/>
  <c r="JM130" i="3" s="1"/>
  <c r="JN130" i="3"/>
  <c r="JL106" i="3"/>
  <c r="JM106" i="3" s="1"/>
  <c r="JN106" i="3"/>
  <c r="IX106" i="3"/>
  <c r="IY106" i="3" s="1"/>
  <c r="IZ106" i="3"/>
  <c r="JL61" i="3"/>
  <c r="JM61" i="3" s="1"/>
  <c r="JN61" i="3"/>
  <c r="JL55" i="3"/>
  <c r="JM55" i="3" s="1"/>
  <c r="JN55" i="3"/>
  <c r="JL65" i="3"/>
  <c r="JM65" i="3" s="1"/>
  <c r="JN65" i="3"/>
  <c r="JL63" i="3"/>
  <c r="JM63" i="3" s="1"/>
  <c r="JN63" i="3"/>
  <c r="JN73" i="3"/>
  <c r="JL73" i="3"/>
  <c r="JM73" i="3" s="1"/>
  <c r="JL112" i="3"/>
  <c r="JM112" i="3" s="1"/>
  <c r="JN112" i="3"/>
  <c r="IX102" i="3"/>
  <c r="IY102" i="3" s="1"/>
  <c r="IZ102" i="3"/>
  <c r="IX74" i="3"/>
  <c r="IY74" i="3" s="1"/>
  <c r="IZ74" i="3"/>
  <c r="IX67" i="3"/>
  <c r="IY67" i="3" s="1"/>
  <c r="IZ67" i="3"/>
  <c r="IX77" i="3"/>
  <c r="IY77" i="3" s="1"/>
  <c r="IZ77" i="3"/>
  <c r="IX64" i="3"/>
  <c r="IY64" i="3" s="1"/>
  <c r="IZ64" i="3"/>
  <c r="JN51" i="3"/>
  <c r="JL51" i="3"/>
  <c r="JM51" i="3" s="1"/>
  <c r="JL36" i="3"/>
  <c r="JM36" i="3" s="1"/>
  <c r="JN36" i="3"/>
  <c r="IZ111" i="3"/>
  <c r="IX111" i="3"/>
  <c r="IY111" i="3" s="1"/>
  <c r="IX134" i="3"/>
  <c r="IY134" i="3" s="1"/>
  <c r="IZ134" i="3"/>
  <c r="IZ86" i="3"/>
  <c r="IX86" i="3"/>
  <c r="IY86" i="3" s="1"/>
  <c r="IZ85" i="3"/>
  <c r="IX85" i="3"/>
  <c r="IY85" i="3" s="1"/>
  <c r="IX108" i="3"/>
  <c r="IY108" i="3" s="1"/>
  <c r="IZ108" i="3"/>
  <c r="IX133" i="3"/>
  <c r="IY133" i="3" s="1"/>
  <c r="IZ133" i="3"/>
  <c r="IX100" i="3"/>
  <c r="IY100" i="3" s="1"/>
  <c r="IZ100" i="3"/>
  <c r="JN96" i="3"/>
  <c r="JL96" i="3"/>
  <c r="JM96" i="3" s="1"/>
  <c r="IX114" i="3"/>
  <c r="IY114" i="3" s="1"/>
  <c r="IZ114" i="3"/>
  <c r="IX42" i="3"/>
  <c r="IY42" i="3" s="1"/>
  <c r="IZ42" i="3"/>
  <c r="JN118" i="3"/>
  <c r="JL118" i="3"/>
  <c r="JM118" i="3" s="1"/>
  <c r="IX34" i="3"/>
  <c r="IY34" i="3" s="1"/>
  <c r="IZ34" i="3"/>
  <c r="JL94" i="3"/>
  <c r="JM94" i="3" s="1"/>
  <c r="JN94" i="3"/>
  <c r="IX124" i="3"/>
  <c r="IY124" i="3" s="1"/>
  <c r="IZ124" i="3"/>
  <c r="JA124" i="3" s="1"/>
  <c r="IM38" i="3"/>
  <c r="JL120" i="3"/>
  <c r="JM120" i="3" s="1"/>
  <c r="JN120" i="3"/>
  <c r="IZ54" i="3"/>
  <c r="IX54" i="3"/>
  <c r="IY54" i="3" s="1"/>
  <c r="JL127" i="3"/>
  <c r="JM127" i="3" s="1"/>
  <c r="JN127" i="3"/>
  <c r="IX70" i="3"/>
  <c r="IY70" i="3" s="1"/>
  <c r="IZ70" i="3"/>
  <c r="JL89" i="3"/>
  <c r="JM89" i="3" s="1"/>
  <c r="JN89" i="3"/>
  <c r="JL76" i="3"/>
  <c r="JM76" i="3" s="1"/>
  <c r="JN76" i="3"/>
  <c r="JL93" i="3"/>
  <c r="JM93" i="3" s="1"/>
  <c r="JN93" i="3"/>
  <c r="IZ39" i="3"/>
  <c r="IX39" i="3"/>
  <c r="IY39" i="3" s="1"/>
  <c r="JL62" i="3"/>
  <c r="JN62" i="3"/>
  <c r="IX60" i="3"/>
  <c r="IY60" i="3" s="1"/>
  <c r="IZ60" i="3"/>
  <c r="IM122" i="3"/>
  <c r="JL104" i="3"/>
  <c r="JM104" i="3" s="1"/>
  <c r="JN104" i="3"/>
  <c r="JL98" i="3"/>
  <c r="JM98" i="3" s="1"/>
  <c r="JN98" i="3"/>
  <c r="JN91" i="3"/>
  <c r="JL91" i="3"/>
  <c r="JM91" i="3" s="1"/>
  <c r="IX59" i="3"/>
  <c r="IY59" i="3" s="1"/>
  <c r="IZ59" i="3"/>
  <c r="IM65" i="3"/>
  <c r="JN92" i="3"/>
  <c r="JL92" i="3"/>
  <c r="JM92" i="3" s="1"/>
  <c r="JL82" i="3"/>
  <c r="JM82" i="3" s="1"/>
  <c r="JN82" i="3"/>
  <c r="JL45" i="3"/>
  <c r="JM45" i="3" s="1"/>
  <c r="JN45" i="3"/>
  <c r="IX47" i="3"/>
  <c r="IY47" i="3" s="1"/>
  <c r="IZ47" i="3"/>
  <c r="IX132" i="3"/>
  <c r="IY132" i="3" s="1"/>
  <c r="IZ132" i="3"/>
  <c r="IX65" i="3"/>
  <c r="IY65" i="3" s="1"/>
  <c r="IZ65" i="3"/>
  <c r="IX63" i="3"/>
  <c r="IY63" i="3" s="1"/>
  <c r="IZ63" i="3"/>
  <c r="IM79" i="3"/>
  <c r="IX79" i="3"/>
  <c r="IY79" i="3" s="1"/>
  <c r="IZ79" i="3"/>
  <c r="JN66" i="3"/>
  <c r="JL66" i="3"/>
  <c r="JM66" i="3" s="1"/>
  <c r="IM120" i="3"/>
  <c r="JN123" i="3"/>
  <c r="JL123" i="3"/>
  <c r="JM123" i="3" s="1"/>
  <c r="JN113" i="3"/>
  <c r="JL113" i="3"/>
  <c r="JM113" i="3" s="1"/>
  <c r="IZ51" i="3"/>
  <c r="IX51" i="3"/>
  <c r="IY51" i="3" s="1"/>
  <c r="IX36" i="3"/>
  <c r="IY36" i="3" s="1"/>
  <c r="IZ36" i="3"/>
  <c r="JN114" i="3"/>
  <c r="JL114" i="3"/>
  <c r="JM114" i="3" s="1"/>
  <c r="JL129" i="3"/>
  <c r="JM129" i="3" s="1"/>
  <c r="JN129" i="3"/>
  <c r="JN88" i="3"/>
  <c r="JL88" i="3"/>
  <c r="JM88" i="3" s="1"/>
  <c r="JN117" i="3"/>
  <c r="JL117" i="3"/>
  <c r="JM117" i="3" s="1"/>
  <c r="IM56" i="3"/>
  <c r="JL80" i="3"/>
  <c r="JM80" i="3" s="1"/>
  <c r="JN80" i="3"/>
  <c r="IM45" i="3"/>
  <c r="IX96" i="3"/>
  <c r="IY96" i="3" s="1"/>
  <c r="IZ96" i="3"/>
  <c r="JL42" i="3"/>
  <c r="JM42" i="3" s="1"/>
  <c r="JN42" i="3"/>
  <c r="IM126" i="3"/>
  <c r="K44" i="3"/>
  <c r="L44" i="3" s="1"/>
  <c r="M44" i="3" s="1"/>
  <c r="O43" i="3"/>
  <c r="O48" i="2"/>
  <c r="K49" i="2"/>
  <c r="L49" i="2" s="1"/>
  <c r="M49" i="2" s="1"/>
  <c r="AP124" i="2"/>
  <c r="AQ122" i="2"/>
  <c r="AR122" i="2" s="1"/>
  <c r="AS122" i="2" s="1"/>
  <c r="AP123" i="2"/>
  <c r="JA79" i="3" l="1"/>
  <c r="JO98" i="3"/>
  <c r="JA108" i="3"/>
  <c r="JA102" i="3"/>
  <c r="JA59" i="3"/>
  <c r="JA100" i="3"/>
  <c r="JA67" i="3"/>
  <c r="JO130" i="3"/>
  <c r="JO87" i="3"/>
  <c r="JA36" i="3"/>
  <c r="JO45" i="3"/>
  <c r="JO93" i="3"/>
  <c r="JO74" i="3"/>
  <c r="JA103" i="3"/>
  <c r="JO40" i="3"/>
  <c r="JO116" i="3"/>
  <c r="JO60" i="3"/>
  <c r="JO80" i="3"/>
  <c r="JO36" i="3"/>
  <c r="JO55" i="3"/>
  <c r="JA41" i="3"/>
  <c r="JA130" i="3"/>
  <c r="JA64" i="3"/>
  <c r="JA106" i="3"/>
  <c r="JA114" i="3"/>
  <c r="JO111" i="3"/>
  <c r="JA58" i="3"/>
  <c r="JA72" i="3"/>
  <c r="JO77" i="3"/>
  <c r="JA63" i="3"/>
  <c r="JA81" i="3"/>
  <c r="JO133" i="3"/>
  <c r="JO94" i="3"/>
  <c r="JO63" i="3"/>
  <c r="JA38" i="3"/>
  <c r="JO122" i="3"/>
  <c r="JO51" i="3"/>
  <c r="JO42" i="3"/>
  <c r="JA70" i="3"/>
  <c r="JO64" i="3"/>
  <c r="JO83" i="3"/>
  <c r="JA97" i="3"/>
  <c r="JA77" i="3"/>
  <c r="JO106" i="3"/>
  <c r="JA65" i="3"/>
  <c r="JA60" i="3"/>
  <c r="JA89" i="3"/>
  <c r="JO108" i="3"/>
  <c r="JA48" i="3"/>
  <c r="JA115" i="3"/>
  <c r="JO34" i="3"/>
  <c r="JO50" i="3"/>
  <c r="JO75" i="3"/>
  <c r="JA94" i="3"/>
  <c r="JO103" i="3"/>
  <c r="JA84" i="3"/>
  <c r="JA118" i="3"/>
  <c r="JA131" i="3"/>
  <c r="JA123" i="3"/>
  <c r="JA55" i="3"/>
  <c r="JA44" i="3"/>
  <c r="JA71" i="3"/>
  <c r="JO52" i="3"/>
  <c r="JO49" i="3"/>
  <c r="JO54" i="3"/>
  <c r="JA129" i="3"/>
  <c r="JO115" i="3"/>
  <c r="JO109" i="3"/>
  <c r="JA93" i="3"/>
  <c r="JA125" i="3"/>
  <c r="JA34" i="3"/>
  <c r="JO65" i="3"/>
  <c r="JA126" i="3"/>
  <c r="JA82" i="3"/>
  <c r="JA75" i="3"/>
  <c r="JA76" i="3"/>
  <c r="JO41" i="3"/>
  <c r="JO104" i="3"/>
  <c r="JO112" i="3"/>
  <c r="JA109" i="3"/>
  <c r="JO79" i="3"/>
  <c r="JA68" i="3"/>
  <c r="JA101" i="3"/>
  <c r="JO105" i="3"/>
  <c r="JA83" i="3"/>
  <c r="JA90" i="3"/>
  <c r="JO56" i="3"/>
  <c r="JO99" i="3"/>
  <c r="JA54" i="3"/>
  <c r="JA47" i="3"/>
  <c r="JO82" i="3"/>
  <c r="JO76" i="3"/>
  <c r="JO125" i="3"/>
  <c r="JO57" i="3"/>
  <c r="JO58" i="3"/>
  <c r="JA122" i="3"/>
  <c r="JA92" i="3"/>
  <c r="JO119" i="3"/>
  <c r="JO59" i="3"/>
  <c r="JA62" i="3"/>
  <c r="JO89" i="3"/>
  <c r="JO84" i="3"/>
  <c r="JO97" i="3"/>
  <c r="JA46" i="3"/>
  <c r="JO121" i="3"/>
  <c r="JO81" i="3"/>
  <c r="JA78" i="3"/>
  <c r="JA113" i="3"/>
  <c r="JA96" i="3"/>
  <c r="JO127" i="3"/>
  <c r="JA50" i="3"/>
  <c r="JO126" i="3"/>
  <c r="JO107" i="3"/>
  <c r="JA88" i="3"/>
  <c r="JA134" i="3"/>
  <c r="JA133" i="3"/>
  <c r="JA74" i="3"/>
  <c r="JO43" i="3"/>
  <c r="JO48" i="3"/>
  <c r="JA119" i="3"/>
  <c r="JO47" i="3"/>
  <c r="JO66" i="3"/>
  <c r="JO91" i="3"/>
  <c r="JA66" i="3"/>
  <c r="JO67" i="3"/>
  <c r="JA104" i="3"/>
  <c r="JA120" i="3"/>
  <c r="JA61" i="3"/>
  <c r="JO70" i="3"/>
  <c r="JA53" i="3"/>
  <c r="JA95" i="3"/>
  <c r="JO71" i="3"/>
  <c r="JO90" i="3"/>
  <c r="JO120" i="3"/>
  <c r="JA69" i="3"/>
  <c r="JO100" i="3"/>
  <c r="JO72" i="3"/>
  <c r="JA110" i="3"/>
  <c r="JO128" i="3"/>
  <c r="JO37" i="3"/>
  <c r="JA57" i="3"/>
  <c r="JA91" i="3"/>
  <c r="JO124" i="3"/>
  <c r="JA37" i="3"/>
  <c r="JA87" i="3"/>
  <c r="JO39" i="3"/>
  <c r="JO113" i="3"/>
  <c r="JA127" i="3"/>
  <c r="JA121" i="3"/>
  <c r="JA43" i="3"/>
  <c r="JO123" i="3"/>
  <c r="JO44" i="3"/>
  <c r="JO96" i="3"/>
  <c r="JA40" i="3"/>
  <c r="JO110" i="3"/>
  <c r="JO88" i="3"/>
  <c r="JO132" i="3"/>
  <c r="JO129" i="3"/>
  <c r="JA132" i="3"/>
  <c r="JA128" i="3"/>
  <c r="JO85" i="3"/>
  <c r="JA80" i="3"/>
  <c r="JO102" i="3"/>
  <c r="JA98" i="3"/>
  <c r="JO53" i="3"/>
  <c r="JO38" i="3"/>
  <c r="JA117" i="3"/>
  <c r="JA99" i="3"/>
  <c r="JA73" i="3"/>
  <c r="JO92" i="3"/>
  <c r="JO131" i="3"/>
  <c r="JA51" i="3"/>
  <c r="JA35" i="3"/>
  <c r="JO73" i="3"/>
  <c r="JA111" i="3"/>
  <c r="JA39" i="3"/>
  <c r="JO86" i="3"/>
  <c r="JA112" i="3"/>
  <c r="JO78" i="3"/>
  <c r="JA85" i="3"/>
  <c r="JO62" i="3"/>
  <c r="JM62" i="3"/>
  <c r="JO118" i="3"/>
  <c r="JA116" i="3"/>
  <c r="JA56" i="3"/>
  <c r="JO69" i="3"/>
  <c r="JA49" i="3"/>
  <c r="JO101" i="3"/>
  <c r="JO117" i="3"/>
  <c r="JA86" i="3"/>
  <c r="JA105" i="3"/>
  <c r="JO114" i="3"/>
  <c r="JA42" i="3"/>
  <c r="JO61" i="3"/>
  <c r="JO68" i="3"/>
  <c r="JO134" i="3"/>
  <c r="JA107" i="3"/>
  <c r="JA52" i="3"/>
  <c r="JO46" i="3"/>
  <c r="JO95" i="3"/>
  <c r="JO35" i="3"/>
  <c r="N44" i="3"/>
  <c r="J45" i="3" s="1"/>
  <c r="J49" i="2"/>
  <c r="AQ123" i="2"/>
  <c r="AR123" i="2" s="1"/>
  <c r="AS123" i="2" s="1"/>
  <c r="AQ124" i="2"/>
  <c r="AR124" i="2" s="1"/>
  <c r="AS124" i="2" s="1"/>
  <c r="K45" i="3" l="1"/>
  <c r="L45" i="3" s="1"/>
  <c r="M45" i="3" s="1"/>
  <c r="O44" i="3"/>
  <c r="O49" i="2"/>
  <c r="N49" i="2"/>
  <c r="K50" i="2" s="1"/>
  <c r="L50" i="2" s="1"/>
  <c r="M50" i="2" s="1"/>
  <c r="J50" i="2"/>
  <c r="N45" i="3" l="1"/>
  <c r="J46" i="3" s="1"/>
  <c r="N50" i="2"/>
  <c r="K51" i="2" s="1"/>
  <c r="L51" i="2" s="1"/>
  <c r="M51" i="2" s="1"/>
  <c r="O50" i="2"/>
  <c r="K46" i="3" l="1"/>
  <c r="L46" i="3" s="1"/>
  <c r="M46" i="3" s="1"/>
  <c r="O45" i="3"/>
  <c r="J51" i="2"/>
  <c r="N46" i="3" l="1"/>
  <c r="J47" i="3" s="1"/>
  <c r="N51" i="2"/>
  <c r="O51" i="2"/>
  <c r="K47" i="3" l="1"/>
  <c r="L47" i="3" s="1"/>
  <c r="M47" i="3" s="1"/>
  <c r="O46" i="3"/>
  <c r="K52" i="2"/>
  <c r="L52" i="2" s="1"/>
  <c r="M52" i="2" s="1"/>
  <c r="J52" i="2"/>
  <c r="N47" i="3" l="1"/>
  <c r="J48" i="3" s="1"/>
  <c r="N52" i="2"/>
  <c r="K53" i="2" s="1"/>
  <c r="L53" i="2" s="1"/>
  <c r="M53" i="2" s="1"/>
  <c r="J53" i="2"/>
  <c r="O52" i="2"/>
  <c r="K48" i="3" l="1"/>
  <c r="L48" i="3" s="1"/>
  <c r="M48" i="3" s="1"/>
  <c r="O47" i="3"/>
  <c r="N53" i="2"/>
  <c r="K54" i="2" s="1"/>
  <c r="L54" i="2" s="1"/>
  <c r="M54" i="2" s="1"/>
  <c r="O53" i="2"/>
  <c r="J54" i="2"/>
  <c r="N48" i="3" l="1"/>
  <c r="J49" i="3" s="1"/>
  <c r="N54" i="2"/>
  <c r="K55" i="2" s="1"/>
  <c r="L55" i="2" s="1"/>
  <c r="M55" i="2" s="1"/>
  <c r="O54" i="2"/>
  <c r="K49" i="3" l="1"/>
  <c r="L49" i="3" s="1"/>
  <c r="M49" i="3" s="1"/>
  <c r="O48" i="3"/>
  <c r="J55" i="2"/>
  <c r="N49" i="3" l="1"/>
  <c r="J50" i="3" s="1"/>
  <c r="O55" i="2"/>
  <c r="N55" i="2"/>
  <c r="K56" i="2" s="1"/>
  <c r="L56" i="2" s="1"/>
  <c r="M56" i="2" s="1"/>
  <c r="J56" i="2"/>
  <c r="K50" i="3" l="1"/>
  <c r="L50" i="3" s="1"/>
  <c r="M50" i="3" s="1"/>
  <c r="O49" i="3"/>
  <c r="N56" i="2"/>
  <c r="O56" i="2"/>
  <c r="N50" i="3" l="1"/>
  <c r="J51" i="3" s="1"/>
  <c r="J57" i="2"/>
  <c r="K57" i="2"/>
  <c r="L57" i="2" s="1"/>
  <c r="M57" i="2" s="1"/>
  <c r="N57" i="2" s="1"/>
  <c r="K58" i="2" s="1"/>
  <c r="L58" i="2" s="1"/>
  <c r="M58" i="2" s="1"/>
  <c r="K51" i="3" l="1"/>
  <c r="L51" i="3" s="1"/>
  <c r="M51" i="3" s="1"/>
  <c r="O50" i="3"/>
  <c r="O57" i="2"/>
  <c r="J58" i="2"/>
  <c r="N51" i="3" l="1"/>
  <c r="J52" i="3" s="1"/>
  <c r="O58" i="2"/>
  <c r="N58" i="2"/>
  <c r="K59" i="2" s="1"/>
  <c r="L59" i="2" s="1"/>
  <c r="M59" i="2" s="1"/>
  <c r="J59" i="2"/>
  <c r="K52" i="3" l="1"/>
  <c r="L52" i="3" s="1"/>
  <c r="M52" i="3" s="1"/>
  <c r="O51" i="3"/>
  <c r="N59" i="2"/>
  <c r="K60" i="2" s="1"/>
  <c r="L60" i="2" s="1"/>
  <c r="M60" i="2" s="1"/>
  <c r="O59" i="2"/>
  <c r="N52" i="3" l="1"/>
  <c r="J53" i="3" s="1"/>
  <c r="J60" i="2"/>
  <c r="N60" i="2"/>
  <c r="K61" i="2" s="1"/>
  <c r="L61" i="2" s="1"/>
  <c r="M61" i="2" s="1"/>
  <c r="O60" i="2"/>
  <c r="J61" i="2"/>
  <c r="K53" i="3" l="1"/>
  <c r="L53" i="3" s="1"/>
  <c r="M53" i="3" s="1"/>
  <c r="O52" i="3"/>
  <c r="N61" i="2"/>
  <c r="K62" i="2" s="1"/>
  <c r="L62" i="2" s="1"/>
  <c r="M62" i="2" s="1"/>
  <c r="O61" i="2"/>
  <c r="J62" i="2"/>
  <c r="N53" i="3" l="1"/>
  <c r="J54" i="3" s="1"/>
  <c r="N62" i="2"/>
  <c r="K63" i="2" s="1"/>
  <c r="L63" i="2" s="1"/>
  <c r="M63" i="2" s="1"/>
  <c r="O62" i="2"/>
  <c r="K54" i="3" l="1"/>
  <c r="L54" i="3" s="1"/>
  <c r="M54" i="3" s="1"/>
  <c r="O53" i="3"/>
  <c r="J63" i="2"/>
  <c r="N54" i="3" l="1"/>
  <c r="J55" i="3" s="1"/>
  <c r="N63" i="2"/>
  <c r="K64" i="2" s="1"/>
  <c r="L64" i="2" s="1"/>
  <c r="M64" i="2" s="1"/>
  <c r="O63" i="2"/>
  <c r="K55" i="3" l="1"/>
  <c r="L55" i="3" s="1"/>
  <c r="M55" i="3" s="1"/>
  <c r="O54" i="3"/>
  <c r="J64" i="2"/>
  <c r="N55" i="3" l="1"/>
  <c r="J56" i="3" s="1"/>
  <c r="N64" i="2"/>
  <c r="K65" i="2" s="1"/>
  <c r="L65" i="2" s="1"/>
  <c r="M65" i="2" s="1"/>
  <c r="O64" i="2"/>
  <c r="J65" i="2"/>
  <c r="K56" i="3" l="1"/>
  <c r="L56" i="3" s="1"/>
  <c r="M56" i="3" s="1"/>
  <c r="O55" i="3"/>
  <c r="N65" i="2"/>
  <c r="K66" i="2" s="1"/>
  <c r="L66" i="2" s="1"/>
  <c r="M66" i="2" s="1"/>
  <c r="O65" i="2"/>
  <c r="J66" i="2"/>
  <c r="N56" i="3" l="1"/>
  <c r="J57" i="3" s="1"/>
  <c r="N66" i="2"/>
  <c r="K67" i="2" s="1"/>
  <c r="L67" i="2" s="1"/>
  <c r="M67" i="2" s="1"/>
  <c r="O66" i="2"/>
  <c r="J67" i="2"/>
  <c r="K57" i="3" l="1"/>
  <c r="L57" i="3" s="1"/>
  <c r="M57" i="3" s="1"/>
  <c r="O56" i="3"/>
  <c r="N67" i="2"/>
  <c r="K68" i="2" s="1"/>
  <c r="L68" i="2" s="1"/>
  <c r="M68" i="2" s="1"/>
  <c r="O67" i="2"/>
  <c r="J68" i="2"/>
  <c r="N57" i="3" l="1"/>
  <c r="J58" i="3" s="1"/>
  <c r="N68" i="2"/>
  <c r="K69" i="2" s="1"/>
  <c r="L69" i="2" s="1"/>
  <c r="M69" i="2" s="1"/>
  <c r="O68" i="2"/>
  <c r="J69" i="2"/>
  <c r="K58" i="3" l="1"/>
  <c r="L58" i="3" s="1"/>
  <c r="M58" i="3" s="1"/>
  <c r="O57" i="3"/>
  <c r="N69" i="2"/>
  <c r="K70" i="2" s="1"/>
  <c r="L70" i="2" s="1"/>
  <c r="M70" i="2" s="1"/>
  <c r="J70" i="2"/>
  <c r="O69" i="2"/>
  <c r="N58" i="3" l="1"/>
  <c r="J59" i="3" s="1"/>
  <c r="N70" i="2"/>
  <c r="K71" i="2" s="1"/>
  <c r="L71" i="2" s="1"/>
  <c r="M71" i="2" s="1"/>
  <c r="O70" i="2"/>
  <c r="K59" i="3" l="1"/>
  <c r="L59" i="3" s="1"/>
  <c r="M59" i="3" s="1"/>
  <c r="O58" i="3"/>
  <c r="J71" i="2"/>
  <c r="N71" i="2"/>
  <c r="K72" i="2" s="1"/>
  <c r="L72" i="2" s="1"/>
  <c r="M72" i="2" s="1"/>
  <c r="O71" i="2"/>
  <c r="J72" i="2"/>
  <c r="N59" i="3" l="1"/>
  <c r="J60" i="3" s="1"/>
  <c r="N72" i="2"/>
  <c r="K73" i="2" s="1"/>
  <c r="L73" i="2" s="1"/>
  <c r="M73" i="2" s="1"/>
  <c r="O72" i="2"/>
  <c r="J73" i="2"/>
  <c r="K60" i="3" l="1"/>
  <c r="L60" i="3" s="1"/>
  <c r="M60" i="3" s="1"/>
  <c r="O59" i="3"/>
  <c r="N73" i="2"/>
  <c r="K74" i="2" s="1"/>
  <c r="L74" i="2" s="1"/>
  <c r="M74" i="2" s="1"/>
  <c r="O73" i="2"/>
  <c r="J74" i="2"/>
  <c r="N60" i="3" l="1"/>
  <c r="J61" i="3" s="1"/>
  <c r="N74" i="2"/>
  <c r="K75" i="2" s="1"/>
  <c r="L75" i="2" s="1"/>
  <c r="M75" i="2" s="1"/>
  <c r="O74" i="2"/>
  <c r="J75" i="2"/>
  <c r="K61" i="3" l="1"/>
  <c r="L61" i="3" s="1"/>
  <c r="M61" i="3" s="1"/>
  <c r="O60" i="3"/>
  <c r="N75" i="2"/>
  <c r="K76" i="2" s="1"/>
  <c r="L76" i="2" s="1"/>
  <c r="M76" i="2" s="1"/>
  <c r="O75" i="2"/>
  <c r="J76" i="2"/>
  <c r="N61" i="3" l="1"/>
  <c r="J62" i="3" s="1"/>
  <c r="N76" i="2"/>
  <c r="K77" i="2" s="1"/>
  <c r="L77" i="2" s="1"/>
  <c r="M77" i="2" s="1"/>
  <c r="O76" i="2"/>
  <c r="J77" i="2"/>
  <c r="K62" i="3" l="1"/>
  <c r="L62" i="3" s="1"/>
  <c r="M62" i="3" s="1"/>
  <c r="O61" i="3"/>
  <c r="O77" i="2"/>
  <c r="N77" i="2"/>
  <c r="N62" i="3" l="1"/>
  <c r="J63" i="3" s="1"/>
  <c r="K78" i="2"/>
  <c r="L78" i="2" s="1"/>
  <c r="M78" i="2" s="1"/>
  <c r="J78" i="2"/>
  <c r="K63" i="3" l="1"/>
  <c r="L63" i="3" s="1"/>
  <c r="M63" i="3" s="1"/>
  <c r="O62" i="3"/>
  <c r="N78" i="2"/>
  <c r="K79" i="2" s="1"/>
  <c r="L79" i="2" s="1"/>
  <c r="M79" i="2" s="1"/>
  <c r="O78" i="2"/>
  <c r="J79" i="2"/>
  <c r="N63" i="3" l="1"/>
  <c r="J64" i="3" s="1"/>
  <c r="N79" i="2"/>
  <c r="K80" i="2" s="1"/>
  <c r="L80" i="2" s="1"/>
  <c r="M80" i="2" s="1"/>
  <c r="O79" i="2"/>
  <c r="J80" i="2"/>
  <c r="K64" i="3" l="1"/>
  <c r="L64" i="3" s="1"/>
  <c r="M64" i="3" s="1"/>
  <c r="O63" i="3"/>
  <c r="N80" i="2"/>
  <c r="O80" i="2"/>
  <c r="N64" i="3" l="1"/>
  <c r="J65" i="3" s="1"/>
  <c r="K81" i="2"/>
  <c r="L81" i="2" s="1"/>
  <c r="M81" i="2" s="1"/>
  <c r="J81" i="2"/>
  <c r="K65" i="3" l="1"/>
  <c r="L65" i="3" s="1"/>
  <c r="M65" i="3" s="1"/>
  <c r="O64" i="3"/>
  <c r="N81" i="2"/>
  <c r="K82" i="2" s="1"/>
  <c r="L82" i="2" s="1"/>
  <c r="M82" i="2" s="1"/>
  <c r="O81" i="2"/>
  <c r="J82" i="2"/>
  <c r="N65" i="3" l="1"/>
  <c r="J66" i="3" s="1"/>
  <c r="N82" i="2"/>
  <c r="O82" i="2"/>
  <c r="K66" i="3" l="1"/>
  <c r="L66" i="3" s="1"/>
  <c r="M66" i="3" s="1"/>
  <c r="O65" i="3"/>
  <c r="K83" i="2"/>
  <c r="L83" i="2" s="1"/>
  <c r="M83" i="2" s="1"/>
  <c r="J83" i="2"/>
  <c r="N66" i="3" l="1"/>
  <c r="J67" i="3" s="1"/>
  <c r="N83" i="2"/>
  <c r="K84" i="2" s="1"/>
  <c r="L84" i="2" s="1"/>
  <c r="M84" i="2" s="1"/>
  <c r="O83" i="2"/>
  <c r="J84" i="2"/>
  <c r="K67" i="3" l="1"/>
  <c r="L67" i="3" s="1"/>
  <c r="M67" i="3" s="1"/>
  <c r="N67" i="3" s="1"/>
  <c r="J68" i="3" s="1"/>
  <c r="O66" i="3"/>
  <c r="N84" i="2"/>
  <c r="K85" i="2" s="1"/>
  <c r="L85" i="2" s="1"/>
  <c r="M85" i="2" s="1"/>
  <c r="O84" i="2"/>
  <c r="K68" i="3" l="1"/>
  <c r="L68" i="3" s="1"/>
  <c r="M68" i="3" s="1"/>
  <c r="O67" i="3"/>
  <c r="J85" i="2"/>
  <c r="N68" i="3" l="1"/>
  <c r="J69" i="3" s="1"/>
  <c r="O85" i="2"/>
  <c r="N85" i="2"/>
  <c r="K86" i="2" s="1"/>
  <c r="L86" i="2" s="1"/>
  <c r="M86" i="2" s="1"/>
  <c r="J86" i="2"/>
  <c r="K69" i="3" l="1"/>
  <c r="L69" i="3" s="1"/>
  <c r="M69" i="3" s="1"/>
  <c r="O68" i="3"/>
  <c r="N86" i="2"/>
  <c r="K87" i="2" s="1"/>
  <c r="L87" i="2" s="1"/>
  <c r="M87" i="2" s="1"/>
  <c r="J87" i="2"/>
  <c r="O86" i="2"/>
  <c r="N69" i="3" l="1"/>
  <c r="J70" i="3" s="1"/>
  <c r="N87" i="2"/>
  <c r="K88" i="2" s="1"/>
  <c r="L88" i="2" s="1"/>
  <c r="M88" i="2" s="1"/>
  <c r="O87" i="2"/>
  <c r="J88" i="2"/>
  <c r="K70" i="3" l="1"/>
  <c r="L70" i="3" s="1"/>
  <c r="M70" i="3" s="1"/>
  <c r="O69" i="3"/>
  <c r="O88" i="2"/>
  <c r="N88" i="2"/>
  <c r="N70" i="3" l="1"/>
  <c r="J71" i="3" s="1"/>
  <c r="K89" i="2"/>
  <c r="L89" i="2" s="1"/>
  <c r="M89" i="2" s="1"/>
  <c r="J89" i="2"/>
  <c r="K71" i="3" l="1"/>
  <c r="L71" i="3" s="1"/>
  <c r="M71" i="3" s="1"/>
  <c r="O70" i="3"/>
  <c r="N89" i="2"/>
  <c r="O89" i="2"/>
  <c r="N71" i="3" l="1"/>
  <c r="J72" i="3" s="1"/>
  <c r="K90" i="2"/>
  <c r="L90" i="2" s="1"/>
  <c r="M90" i="2" s="1"/>
  <c r="J90" i="2"/>
  <c r="K72" i="3" l="1"/>
  <c r="L72" i="3" s="1"/>
  <c r="M72" i="3" s="1"/>
  <c r="O71" i="3"/>
  <c r="N90" i="2"/>
  <c r="K91" i="2" s="1"/>
  <c r="L91" i="2" s="1"/>
  <c r="M91" i="2" s="1"/>
  <c r="O90" i="2"/>
  <c r="J91" i="2"/>
  <c r="N72" i="3" l="1"/>
  <c r="J73" i="3" s="1"/>
  <c r="N91" i="2"/>
  <c r="K92" i="2" s="1"/>
  <c r="L92" i="2" s="1"/>
  <c r="M92" i="2" s="1"/>
  <c r="O91" i="2"/>
  <c r="J92" i="2"/>
  <c r="K73" i="3" l="1"/>
  <c r="L73" i="3" s="1"/>
  <c r="M73" i="3" s="1"/>
  <c r="O72" i="3"/>
  <c r="N92" i="2"/>
  <c r="O92" i="2"/>
  <c r="N73" i="3" l="1"/>
  <c r="J74" i="3" s="1"/>
  <c r="K93" i="2"/>
  <c r="L93" i="2" s="1"/>
  <c r="M93" i="2" s="1"/>
  <c r="J93" i="2"/>
  <c r="K74" i="3" l="1"/>
  <c r="L74" i="3" s="1"/>
  <c r="M74" i="3" s="1"/>
  <c r="O73" i="3"/>
  <c r="N93" i="2"/>
  <c r="O93" i="2"/>
  <c r="N74" i="3" l="1"/>
  <c r="J75" i="3" s="1"/>
  <c r="K94" i="2"/>
  <c r="L94" i="2" s="1"/>
  <c r="M94" i="2" s="1"/>
  <c r="J94" i="2"/>
  <c r="K75" i="3" l="1"/>
  <c r="L75" i="3" s="1"/>
  <c r="M75" i="3" s="1"/>
  <c r="O74" i="3"/>
  <c r="N94" i="2"/>
  <c r="O94" i="2"/>
  <c r="N75" i="3" l="1"/>
  <c r="J76" i="3" s="1"/>
  <c r="K95" i="2"/>
  <c r="L95" i="2" s="1"/>
  <c r="M95" i="2" s="1"/>
  <c r="J95" i="2"/>
  <c r="K76" i="3" l="1"/>
  <c r="L76" i="3" s="1"/>
  <c r="M76" i="3" s="1"/>
  <c r="O75" i="3"/>
  <c r="N95" i="2"/>
  <c r="O95" i="2"/>
  <c r="N76" i="3" l="1"/>
  <c r="J77" i="3" s="1"/>
  <c r="K96" i="2"/>
  <c r="L96" i="2" s="1"/>
  <c r="M96" i="2" s="1"/>
  <c r="J96" i="2"/>
  <c r="K77" i="3" l="1"/>
  <c r="L77" i="3" s="1"/>
  <c r="M77" i="3" s="1"/>
  <c r="O76" i="3"/>
  <c r="N96" i="2"/>
  <c r="K97" i="2" s="1"/>
  <c r="L97" i="2" s="1"/>
  <c r="M97" i="2" s="1"/>
  <c r="J97" i="2"/>
  <c r="O96" i="2"/>
  <c r="N77" i="3" l="1"/>
  <c r="J78" i="3" s="1"/>
  <c r="O97" i="2"/>
  <c r="N97" i="2"/>
  <c r="K78" i="3" l="1"/>
  <c r="L78" i="3" s="1"/>
  <c r="M78" i="3" s="1"/>
  <c r="O77" i="3"/>
  <c r="K98" i="2"/>
  <c r="L98" i="2" s="1"/>
  <c r="M98" i="2" s="1"/>
  <c r="J98" i="2"/>
  <c r="N78" i="3" l="1"/>
  <c r="J79" i="3" s="1"/>
  <c r="N98" i="2"/>
  <c r="K99" i="2" s="1"/>
  <c r="L99" i="2" s="1"/>
  <c r="M99" i="2" s="1"/>
  <c r="O98" i="2"/>
  <c r="J99" i="2"/>
  <c r="K79" i="3" l="1"/>
  <c r="L79" i="3" s="1"/>
  <c r="M79" i="3" s="1"/>
  <c r="O78" i="3"/>
  <c r="N99" i="2"/>
  <c r="K100" i="2" s="1"/>
  <c r="L100" i="2" s="1"/>
  <c r="M100" i="2" s="1"/>
  <c r="O99" i="2"/>
  <c r="N79" i="3" l="1"/>
  <c r="J80" i="3" s="1"/>
  <c r="J100" i="2"/>
  <c r="K80" i="3" l="1"/>
  <c r="L80" i="3" s="1"/>
  <c r="M80" i="3" s="1"/>
  <c r="O79" i="3"/>
  <c r="N100" i="2"/>
  <c r="K101" i="2" s="1"/>
  <c r="L101" i="2" s="1"/>
  <c r="M101" i="2" s="1"/>
  <c r="O100" i="2"/>
  <c r="J101" i="2"/>
  <c r="N80" i="3" l="1"/>
  <c r="J81" i="3" s="1"/>
  <c r="N101" i="2"/>
  <c r="K102" i="2" s="1"/>
  <c r="L102" i="2" s="1"/>
  <c r="M102" i="2" s="1"/>
  <c r="J102" i="2"/>
  <c r="O101" i="2"/>
  <c r="K81" i="3" l="1"/>
  <c r="L81" i="3" s="1"/>
  <c r="M81" i="3" s="1"/>
  <c r="O80" i="3"/>
  <c r="N102" i="2"/>
  <c r="K103" i="2" s="1"/>
  <c r="L103" i="2" s="1"/>
  <c r="M103" i="2" s="1"/>
  <c r="O102" i="2"/>
  <c r="J103" i="2"/>
  <c r="N81" i="3" l="1"/>
  <c r="J82" i="3" s="1"/>
  <c r="N103" i="2"/>
  <c r="K104" i="2" s="1"/>
  <c r="L104" i="2" s="1"/>
  <c r="M104" i="2" s="1"/>
  <c r="O103" i="2"/>
  <c r="J104" i="2"/>
  <c r="K82" i="3" l="1"/>
  <c r="L82" i="3" s="1"/>
  <c r="M82" i="3" s="1"/>
  <c r="O81" i="3"/>
  <c r="N104" i="2"/>
  <c r="O104" i="2"/>
  <c r="N82" i="3" l="1"/>
  <c r="J83" i="3" s="1"/>
  <c r="K105" i="2"/>
  <c r="L105" i="2" s="1"/>
  <c r="M105" i="2" s="1"/>
  <c r="J105" i="2"/>
  <c r="K83" i="3" l="1"/>
  <c r="L83" i="3" s="1"/>
  <c r="M83" i="3" s="1"/>
  <c r="O82" i="3"/>
  <c r="N105" i="2"/>
  <c r="K106" i="2" s="1"/>
  <c r="L106" i="2" s="1"/>
  <c r="M106" i="2" s="1"/>
  <c r="O105" i="2"/>
  <c r="N83" i="3" l="1"/>
  <c r="J106" i="2"/>
  <c r="J84" i="3" l="1"/>
  <c r="K84" i="3"/>
  <c r="L84" i="3" s="1"/>
  <c r="M84" i="3" s="1"/>
  <c r="O83" i="3"/>
  <c r="O106" i="2"/>
  <c r="N106" i="2"/>
  <c r="K107" i="2" s="1"/>
  <c r="L107" i="2" s="1"/>
  <c r="M107" i="2" s="1"/>
  <c r="J107" i="2"/>
  <c r="N84" i="3" l="1"/>
  <c r="J85" i="3" s="1"/>
  <c r="N107" i="2"/>
  <c r="O107" i="2"/>
  <c r="K85" i="3" l="1"/>
  <c r="L85" i="3" s="1"/>
  <c r="M85" i="3" s="1"/>
  <c r="O84" i="3"/>
  <c r="K108" i="2"/>
  <c r="L108" i="2" s="1"/>
  <c r="M108" i="2" s="1"/>
  <c r="J108" i="2"/>
  <c r="N85" i="3" l="1"/>
  <c r="J86" i="3" s="1"/>
  <c r="O108" i="2"/>
  <c r="N108" i="2"/>
  <c r="K109" i="2" s="1"/>
  <c r="L109" i="2" s="1"/>
  <c r="M109" i="2" s="1"/>
  <c r="K86" i="3" l="1"/>
  <c r="L86" i="3" s="1"/>
  <c r="M86" i="3" s="1"/>
  <c r="O85" i="3"/>
  <c r="J109" i="2"/>
  <c r="N86" i="3" l="1"/>
  <c r="J87" i="3" s="1"/>
  <c r="N109" i="2"/>
  <c r="K110" i="2" s="1"/>
  <c r="L110" i="2" s="1"/>
  <c r="M110" i="2" s="1"/>
  <c r="O109" i="2"/>
  <c r="J110" i="2"/>
  <c r="K87" i="3" l="1"/>
  <c r="L87" i="3" s="1"/>
  <c r="M87" i="3" s="1"/>
  <c r="O86" i="3"/>
  <c r="O110" i="2"/>
  <c r="N110" i="2"/>
  <c r="K111" i="2" s="1"/>
  <c r="L111" i="2" s="1"/>
  <c r="M111" i="2" s="1"/>
  <c r="N87" i="3" l="1"/>
  <c r="J88" i="3" s="1"/>
  <c r="J111" i="2"/>
  <c r="N111" i="2"/>
  <c r="K112" i="2" s="1"/>
  <c r="L112" i="2" s="1"/>
  <c r="M112" i="2" s="1"/>
  <c r="J112" i="2"/>
  <c r="O111" i="2"/>
  <c r="K88" i="3" l="1"/>
  <c r="L88" i="3" s="1"/>
  <c r="M88" i="3" s="1"/>
  <c r="O87" i="3"/>
  <c r="O112" i="2"/>
  <c r="N112" i="2"/>
  <c r="N88" i="3" l="1"/>
  <c r="J89" i="3" s="1"/>
  <c r="K113" i="2"/>
  <c r="L113" i="2" s="1"/>
  <c r="M113" i="2" s="1"/>
  <c r="J113" i="2"/>
  <c r="K89" i="3" l="1"/>
  <c r="L89" i="3" s="1"/>
  <c r="M89" i="3" s="1"/>
  <c r="O88" i="3"/>
  <c r="O113" i="2"/>
  <c r="N113" i="2"/>
  <c r="K114" i="2" s="1"/>
  <c r="L114" i="2" s="1"/>
  <c r="M114" i="2" s="1"/>
  <c r="J114" i="2"/>
  <c r="N89" i="3" l="1"/>
  <c r="J90" i="3" s="1"/>
  <c r="N114" i="2"/>
  <c r="K115" i="2" s="1"/>
  <c r="L115" i="2" s="1"/>
  <c r="M115" i="2" s="1"/>
  <c r="J115" i="2"/>
  <c r="O114" i="2"/>
  <c r="K90" i="3" l="1"/>
  <c r="L90" i="3" s="1"/>
  <c r="M90" i="3" s="1"/>
  <c r="O89" i="3"/>
  <c r="N115" i="2"/>
  <c r="K116" i="2" s="1"/>
  <c r="L116" i="2" s="1"/>
  <c r="M116" i="2" s="1"/>
  <c r="O115" i="2"/>
  <c r="J116" i="2"/>
  <c r="N90" i="3" l="1"/>
  <c r="J91" i="3" s="1"/>
  <c r="N116" i="2"/>
  <c r="K117" i="2" s="1"/>
  <c r="L117" i="2" s="1"/>
  <c r="M117" i="2" s="1"/>
  <c r="O116" i="2"/>
  <c r="J117" i="2"/>
  <c r="K91" i="3" l="1"/>
  <c r="O90" i="3"/>
  <c r="N117" i="2"/>
  <c r="K118" i="2" s="1"/>
  <c r="L118" i="2" s="1"/>
  <c r="M118" i="2" s="1"/>
  <c r="O117" i="2"/>
  <c r="L91" i="3" l="1"/>
  <c r="M91" i="3" s="1"/>
  <c r="N91" i="3" s="1"/>
  <c r="J92" i="3" s="1"/>
  <c r="J118" i="2"/>
  <c r="K92" i="3" l="1"/>
  <c r="L92" i="3" s="1"/>
  <c r="M92" i="3" s="1"/>
  <c r="O91" i="3"/>
  <c r="N118" i="2"/>
  <c r="K119" i="2" s="1"/>
  <c r="L119" i="2" s="1"/>
  <c r="M119" i="2" s="1"/>
  <c r="O118" i="2"/>
  <c r="J119" i="2"/>
  <c r="N92" i="3" l="1"/>
  <c r="J93" i="3" s="1"/>
  <c r="O119" i="2"/>
  <c r="N119" i="2"/>
  <c r="K93" i="3" l="1"/>
  <c r="L93" i="3" s="1"/>
  <c r="M93" i="3" s="1"/>
  <c r="O92" i="3"/>
  <c r="K120" i="2"/>
  <c r="L120" i="2" s="1"/>
  <c r="M120" i="2" s="1"/>
  <c r="J120" i="2"/>
  <c r="N93" i="3" l="1"/>
  <c r="N120" i="2"/>
  <c r="K121" i="2" s="1"/>
  <c r="L121" i="2" s="1"/>
  <c r="M121" i="2" s="1"/>
  <c r="O120" i="2"/>
  <c r="J121" i="2"/>
  <c r="J94" i="3" l="1"/>
  <c r="K94" i="3"/>
  <c r="L94" i="3" s="1"/>
  <c r="M94" i="3" s="1"/>
  <c r="O93" i="3"/>
  <c r="N121" i="2"/>
  <c r="K122" i="2" s="1"/>
  <c r="L122" i="2" s="1"/>
  <c r="M122" i="2" s="1"/>
  <c r="O121" i="2"/>
  <c r="J122" i="2"/>
  <c r="N94" i="3" l="1"/>
  <c r="J95" i="3" s="1"/>
  <c r="N122" i="2"/>
  <c r="K123" i="2" s="1"/>
  <c r="L123" i="2" s="1"/>
  <c r="M123" i="2" s="1"/>
  <c r="O122" i="2"/>
  <c r="K95" i="3" l="1"/>
  <c r="L95" i="3" s="1"/>
  <c r="M95" i="3" s="1"/>
  <c r="O94" i="3"/>
  <c r="J123" i="2"/>
  <c r="N95" i="3" l="1"/>
  <c r="J96" i="3" s="1"/>
  <c r="N123" i="2"/>
  <c r="K124" i="2" s="1"/>
  <c r="L124" i="2" s="1"/>
  <c r="M124" i="2" s="1"/>
  <c r="O123" i="2"/>
  <c r="J124" i="2"/>
  <c r="K96" i="3" l="1"/>
  <c r="L96" i="3" s="1"/>
  <c r="M96" i="3" s="1"/>
  <c r="O95" i="3"/>
  <c r="N124" i="2"/>
  <c r="O124" i="2"/>
  <c r="N96" i="3" l="1"/>
  <c r="J97" i="3" s="1"/>
  <c r="K125" i="2"/>
  <c r="L125" i="2" s="1"/>
  <c r="M125" i="2" s="1"/>
  <c r="J125" i="2"/>
  <c r="K97" i="3" l="1"/>
  <c r="L97" i="3" s="1"/>
  <c r="M97" i="3" s="1"/>
  <c r="O96" i="3"/>
  <c r="N125" i="2"/>
  <c r="O125" i="2"/>
  <c r="N97" i="3" l="1"/>
  <c r="K126" i="2"/>
  <c r="L126" i="2" s="1"/>
  <c r="M126" i="2" s="1"/>
  <c r="J126" i="2"/>
  <c r="J98" i="3" l="1"/>
  <c r="K98" i="3"/>
  <c r="L98" i="3" s="1"/>
  <c r="M98" i="3" s="1"/>
  <c r="O97" i="3"/>
  <c r="N126" i="2"/>
  <c r="K127" i="2" s="1"/>
  <c r="L127" i="2" s="1"/>
  <c r="M127" i="2" s="1"/>
  <c r="O126" i="2"/>
  <c r="J127" i="2"/>
  <c r="N98" i="3" l="1"/>
  <c r="J99" i="3" s="1"/>
  <c r="O127" i="2"/>
  <c r="N127" i="2"/>
  <c r="K99" i="3" l="1"/>
  <c r="L99" i="3" s="1"/>
  <c r="M99" i="3" s="1"/>
  <c r="O98" i="3"/>
  <c r="K128" i="2"/>
  <c r="L128" i="2" s="1"/>
  <c r="M128" i="2" s="1"/>
  <c r="J128" i="2"/>
  <c r="N99" i="3" l="1"/>
  <c r="J100" i="3" s="1"/>
  <c r="N128" i="2"/>
  <c r="K129" i="2" s="1"/>
  <c r="L129" i="2" s="1"/>
  <c r="M129" i="2" s="1"/>
  <c r="O128" i="2"/>
  <c r="K100" i="3" l="1"/>
  <c r="L100" i="3" s="1"/>
  <c r="M100" i="3" s="1"/>
  <c r="O99" i="3"/>
  <c r="J129" i="2"/>
  <c r="N129" i="2"/>
  <c r="K130" i="2" s="1"/>
  <c r="L130" i="2" s="1"/>
  <c r="M130" i="2" s="1"/>
  <c r="O129" i="2"/>
  <c r="J130" i="2"/>
  <c r="N100" i="3" l="1"/>
  <c r="J101" i="3" s="1"/>
  <c r="N130" i="2"/>
  <c r="K131" i="2" s="1"/>
  <c r="L131" i="2" s="1"/>
  <c r="M131" i="2" s="1"/>
  <c r="O130" i="2"/>
  <c r="J131" i="2"/>
  <c r="K101" i="3" l="1"/>
  <c r="L101" i="3" s="1"/>
  <c r="M101" i="3" s="1"/>
  <c r="O100" i="3"/>
  <c r="N131" i="2"/>
  <c r="K132" i="2" s="1"/>
  <c r="L132" i="2" s="1"/>
  <c r="M132" i="2" s="1"/>
  <c r="O131" i="2"/>
  <c r="N101" i="3" l="1"/>
  <c r="J102" i="3" s="1"/>
  <c r="J132" i="2"/>
  <c r="N132" i="2"/>
  <c r="O132" i="2"/>
  <c r="K102" i="3" l="1"/>
  <c r="L102" i="3" s="1"/>
  <c r="M102" i="3" s="1"/>
  <c r="O101" i="3"/>
  <c r="K133" i="2"/>
  <c r="L133" i="2" s="1"/>
  <c r="M133" i="2" s="1"/>
  <c r="J133" i="2"/>
  <c r="N102" i="3" l="1"/>
  <c r="J103" i="3" s="1"/>
  <c r="N133" i="2"/>
  <c r="K134" i="2" s="1"/>
  <c r="L134" i="2" s="1"/>
  <c r="M134" i="2" s="1"/>
  <c r="O133" i="2"/>
  <c r="K103" i="3" l="1"/>
  <c r="L103" i="3" s="1"/>
  <c r="M103" i="3" s="1"/>
  <c r="O102" i="3"/>
  <c r="J134" i="2"/>
  <c r="N103" i="3" l="1"/>
  <c r="N134" i="2"/>
  <c r="O134" i="2"/>
  <c r="A9" i="2" s="1"/>
  <c r="J104" i="3" l="1"/>
  <c r="K104" i="3"/>
  <c r="L104" i="3" s="1"/>
  <c r="M104" i="3" s="1"/>
  <c r="O103" i="3"/>
  <c r="N104" i="3" l="1"/>
  <c r="J105" i="3" s="1"/>
  <c r="K105" i="3" l="1"/>
  <c r="L105" i="3" s="1"/>
  <c r="M105" i="3" s="1"/>
  <c r="O104" i="3"/>
  <c r="N105" i="3" l="1"/>
  <c r="J106" i="3" s="1"/>
  <c r="K106" i="3" l="1"/>
  <c r="L106" i="3" s="1"/>
  <c r="M106" i="3" s="1"/>
  <c r="O105" i="3"/>
  <c r="N106" i="3" l="1"/>
  <c r="J107" i="3" s="1"/>
  <c r="K107" i="3" l="1"/>
  <c r="L107" i="3" s="1"/>
  <c r="M107" i="3" s="1"/>
  <c r="O106" i="3"/>
  <c r="N107" i="3" l="1"/>
  <c r="J108" i="3" s="1"/>
  <c r="K108" i="3" l="1"/>
  <c r="L108" i="3" s="1"/>
  <c r="M108" i="3" s="1"/>
  <c r="O107" i="3"/>
  <c r="N108" i="3" l="1"/>
  <c r="J109" i="3" s="1"/>
  <c r="K109" i="3" l="1"/>
  <c r="L109" i="3" s="1"/>
  <c r="M109" i="3" s="1"/>
  <c r="O108" i="3"/>
  <c r="N109" i="3" l="1"/>
  <c r="J110" i="3" s="1"/>
  <c r="K110" i="3" l="1"/>
  <c r="L110" i="3" s="1"/>
  <c r="M110" i="3" s="1"/>
  <c r="O109" i="3"/>
  <c r="N110" i="3" l="1"/>
  <c r="J111" i="3" s="1"/>
  <c r="K111" i="3" l="1"/>
  <c r="L111" i="3" s="1"/>
  <c r="M111" i="3" s="1"/>
  <c r="O110" i="3"/>
  <c r="N111" i="3" l="1"/>
  <c r="J112" i="3" s="1"/>
  <c r="K112" i="3" l="1"/>
  <c r="L112" i="3" s="1"/>
  <c r="M112" i="3" s="1"/>
  <c r="O111" i="3"/>
  <c r="N112" i="3" l="1"/>
  <c r="J113" i="3" s="1"/>
  <c r="K113" i="3" l="1"/>
  <c r="L113" i="3" s="1"/>
  <c r="M113" i="3" s="1"/>
  <c r="O112" i="3"/>
  <c r="N113" i="3" l="1"/>
  <c r="J114" i="3" s="1"/>
  <c r="K114" i="3" l="1"/>
  <c r="L114" i="3" s="1"/>
  <c r="M114" i="3" s="1"/>
  <c r="O113" i="3"/>
  <c r="N114" i="3" l="1"/>
  <c r="J115" i="3" s="1"/>
  <c r="K115" i="3" l="1"/>
  <c r="L115" i="3" s="1"/>
  <c r="M115" i="3" s="1"/>
  <c r="O114" i="3"/>
  <c r="N115" i="3" l="1"/>
  <c r="J116" i="3" s="1"/>
  <c r="K116" i="3" l="1"/>
  <c r="L116" i="3" s="1"/>
  <c r="M116" i="3" s="1"/>
  <c r="O115" i="3"/>
  <c r="N116" i="3" l="1"/>
  <c r="J117" i="3" s="1"/>
  <c r="K117" i="3" l="1"/>
  <c r="L117" i="3" s="1"/>
  <c r="M117" i="3" s="1"/>
  <c r="O116" i="3"/>
  <c r="N117" i="3" l="1"/>
  <c r="J118" i="3" s="1"/>
  <c r="K118" i="3" l="1"/>
  <c r="L118" i="3" s="1"/>
  <c r="M118" i="3" s="1"/>
  <c r="O117" i="3"/>
  <c r="N118" i="3" l="1"/>
  <c r="J119" i="3" s="1"/>
  <c r="K119" i="3" l="1"/>
  <c r="L119" i="3" s="1"/>
  <c r="M119" i="3" s="1"/>
  <c r="O118" i="3"/>
  <c r="N119" i="3" l="1"/>
  <c r="J120" i="3" s="1"/>
  <c r="K120" i="3" l="1"/>
  <c r="L120" i="3" s="1"/>
  <c r="M120" i="3" s="1"/>
  <c r="O119" i="3"/>
  <c r="N120" i="3" l="1"/>
  <c r="J121" i="3" s="1"/>
  <c r="K121" i="3" l="1"/>
  <c r="L121" i="3" s="1"/>
  <c r="M121" i="3" s="1"/>
  <c r="O120" i="3"/>
  <c r="N121" i="3" l="1"/>
  <c r="J122" i="3" s="1"/>
  <c r="K122" i="3" l="1"/>
  <c r="L122" i="3" s="1"/>
  <c r="M122" i="3" s="1"/>
  <c r="O121" i="3"/>
  <c r="N122" i="3" l="1"/>
  <c r="J123" i="3" s="1"/>
  <c r="K123" i="3" l="1"/>
  <c r="L123" i="3" s="1"/>
  <c r="M123" i="3" s="1"/>
  <c r="O122" i="3"/>
  <c r="N123" i="3" l="1"/>
  <c r="J124" i="3" s="1"/>
  <c r="K124" i="3" l="1"/>
  <c r="O123" i="3"/>
  <c r="L124" i="3" l="1"/>
  <c r="M124" i="3" s="1"/>
  <c r="N124" i="3" s="1"/>
  <c r="J125" i="3" l="1"/>
  <c r="K125" i="3"/>
  <c r="L125" i="3" s="1"/>
  <c r="M125" i="3" s="1"/>
  <c r="O124" i="3"/>
  <c r="N125" i="3" l="1"/>
  <c r="J126" i="3" s="1"/>
  <c r="K126" i="3" l="1"/>
  <c r="L126" i="3" s="1"/>
  <c r="M126" i="3" s="1"/>
  <c r="O125" i="3"/>
  <c r="N126" i="3" l="1"/>
  <c r="J127" i="3" s="1"/>
  <c r="K127" i="3" l="1"/>
  <c r="L127" i="3" s="1"/>
  <c r="M127" i="3" s="1"/>
  <c r="O126" i="3"/>
  <c r="N127" i="3" l="1"/>
  <c r="J128" i="3" s="1"/>
  <c r="K128" i="3" l="1"/>
  <c r="L128" i="3" s="1"/>
  <c r="M128" i="3" s="1"/>
  <c r="O127" i="3"/>
  <c r="N128" i="3" l="1"/>
  <c r="J129" i="3" s="1"/>
  <c r="K129" i="3" l="1"/>
  <c r="L129" i="3" s="1"/>
  <c r="M129" i="3" s="1"/>
  <c r="O128" i="3"/>
  <c r="N129" i="3" l="1"/>
  <c r="K130" i="3" s="1"/>
  <c r="L130" i="3" l="1"/>
  <c r="M130" i="3" s="1"/>
  <c r="J130" i="3"/>
  <c r="O129" i="3"/>
  <c r="N130" i="3" l="1"/>
  <c r="K131" i="3" s="1"/>
  <c r="L131" i="3" s="1"/>
  <c r="M131" i="3" s="1"/>
  <c r="O130" i="3"/>
  <c r="J131" i="3" l="1"/>
  <c r="N131" i="3" s="1"/>
  <c r="J132" i="3" l="1"/>
  <c r="K132" i="3"/>
  <c r="L132" i="3" s="1"/>
  <c r="M132" i="3" s="1"/>
  <c r="O131" i="3"/>
  <c r="N132" i="3" l="1"/>
  <c r="J133" i="3" s="1"/>
  <c r="O132" i="3"/>
  <c r="K133" i="3" l="1"/>
  <c r="L133" i="3" s="1"/>
  <c r="M133" i="3" s="1"/>
  <c r="N133" i="3" s="1"/>
  <c r="J134" i="3" s="1"/>
  <c r="K134" i="3" l="1"/>
  <c r="L134" i="3" s="1"/>
  <c r="M134" i="3" s="1"/>
  <c r="O133" i="3"/>
  <c r="N134" i="3" l="1"/>
  <c r="X34" i="3"/>
  <c r="O134" i="3"/>
  <c r="N4" i="3" l="1"/>
  <c r="AC34" i="3"/>
  <c r="AB34" i="3"/>
  <c r="Y35" i="3" l="1"/>
  <c r="Z35" i="3" s="1"/>
  <c r="AA35" i="3" s="1"/>
  <c r="X35" i="3"/>
  <c r="AB35" i="3" l="1"/>
  <c r="Y36" i="3" s="1"/>
  <c r="Z36" i="3" s="1"/>
  <c r="AA36" i="3" s="1"/>
  <c r="AC35" i="3"/>
  <c r="X36" i="3" l="1"/>
  <c r="AC36" i="3" s="1"/>
  <c r="AB36" i="3" l="1"/>
  <c r="Y37" i="3" s="1"/>
  <c r="X37" i="3" l="1"/>
  <c r="AC37" i="3" s="1"/>
  <c r="Z37" i="3"/>
  <c r="AA37" i="3" s="1"/>
  <c r="AB37" i="3" l="1"/>
  <c r="X38" i="3" s="1"/>
  <c r="Y38" i="3" l="1"/>
  <c r="Z38" i="3" s="1"/>
  <c r="AA38" i="3" s="1"/>
  <c r="AB38" i="3" s="1"/>
  <c r="X39" i="3" s="1"/>
  <c r="AC38" i="3"/>
  <c r="AC39" i="3" l="1"/>
  <c r="Y39" i="3"/>
  <c r="Z39" i="3" l="1"/>
  <c r="AA39" i="3" s="1"/>
  <c r="AB39" i="3" s="1"/>
  <c r="X40" i="3" l="1"/>
  <c r="Y40" i="3"/>
  <c r="AC40" i="3" l="1"/>
  <c r="Z40" i="3"/>
  <c r="AA40" i="3" s="1"/>
  <c r="AB40" i="3" s="1"/>
  <c r="Y41" i="3" l="1"/>
  <c r="X41" i="3"/>
  <c r="AC41" i="3" l="1"/>
  <c r="Z41" i="3"/>
  <c r="AA41" i="3" s="1"/>
  <c r="AB41" i="3" s="1"/>
  <c r="Y42" i="3" l="1"/>
  <c r="X42" i="3"/>
  <c r="AC42" i="3" l="1"/>
  <c r="Z42" i="3"/>
  <c r="AA42" i="3" s="1"/>
  <c r="AB42" i="3" s="1"/>
  <c r="X43" i="3" l="1"/>
  <c r="Y43" i="3"/>
  <c r="Z43" i="3" l="1"/>
  <c r="AA43" i="3" s="1"/>
  <c r="AB43" i="3" s="1"/>
  <c r="X44" i="3" s="1"/>
  <c r="AC43" i="3"/>
  <c r="AC44" i="3" l="1"/>
  <c r="Y44" i="3"/>
  <c r="Z44" i="3" l="1"/>
  <c r="AA44" i="3" s="1"/>
  <c r="AB44" i="3" s="1"/>
  <c r="X45" i="3" l="1"/>
  <c r="Y45" i="3"/>
  <c r="AC45" i="3" l="1"/>
  <c r="Z45" i="3"/>
  <c r="AA45" i="3" s="1"/>
  <c r="AB45" i="3" s="1"/>
  <c r="Y46" i="3" l="1"/>
  <c r="X46" i="3"/>
  <c r="AC46" i="3" l="1"/>
  <c r="Z46" i="3"/>
  <c r="AA46" i="3" s="1"/>
  <c r="AB46" i="3" s="1"/>
  <c r="X47" i="3" l="1"/>
  <c r="Y47" i="3"/>
  <c r="AC47" i="3" l="1"/>
  <c r="Z47" i="3"/>
  <c r="AA47" i="3" s="1"/>
  <c r="AB47" i="3" s="1"/>
  <c r="Y48" i="3" l="1"/>
  <c r="X48" i="3"/>
  <c r="AC48" i="3" l="1"/>
  <c r="Z48" i="3"/>
  <c r="AA48" i="3" s="1"/>
  <c r="AB48" i="3" s="1"/>
  <c r="X49" i="3" l="1"/>
  <c r="Y49" i="3"/>
  <c r="AC49" i="3" l="1"/>
  <c r="Z49" i="3"/>
  <c r="AA49" i="3" s="1"/>
  <c r="AB49" i="3" s="1"/>
  <c r="Y50" i="3" l="1"/>
  <c r="X50" i="3"/>
  <c r="AC50" i="3" l="1"/>
  <c r="Z50" i="3"/>
  <c r="AA50" i="3" s="1"/>
  <c r="AB50" i="3" s="1"/>
  <c r="X51" i="3" l="1"/>
  <c r="Y51" i="3"/>
  <c r="AC51" i="3" l="1"/>
  <c r="Z51" i="3"/>
  <c r="AA51" i="3" s="1"/>
  <c r="AB51" i="3" s="1"/>
  <c r="Y52" i="3" l="1"/>
  <c r="X52" i="3"/>
  <c r="AC52" i="3" l="1"/>
  <c r="Z52" i="3"/>
  <c r="AA52" i="3" s="1"/>
  <c r="AB52" i="3" s="1"/>
  <c r="X53" i="3" l="1"/>
  <c r="Y53" i="3"/>
  <c r="AC53" i="3" l="1"/>
  <c r="Z53" i="3"/>
  <c r="AA53" i="3" s="1"/>
  <c r="AB53" i="3" s="1"/>
  <c r="Y54" i="3" l="1"/>
  <c r="X54" i="3"/>
  <c r="AC54" i="3" l="1"/>
  <c r="Z54" i="3"/>
  <c r="AA54" i="3" s="1"/>
  <c r="AB54" i="3" s="1"/>
  <c r="X55" i="3" l="1"/>
  <c r="Y55" i="3"/>
  <c r="AC55" i="3" l="1"/>
  <c r="Z55" i="3"/>
  <c r="AA55" i="3" s="1"/>
  <c r="AB55" i="3" s="1"/>
  <c r="Y56" i="3" l="1"/>
  <c r="X56" i="3"/>
  <c r="AC56" i="3" l="1"/>
  <c r="Z56" i="3"/>
  <c r="AA56" i="3" s="1"/>
  <c r="AB56" i="3" s="1"/>
  <c r="X57" i="3" l="1"/>
  <c r="Y57" i="3"/>
  <c r="AC57" i="3" l="1"/>
  <c r="Z57" i="3"/>
  <c r="AA57" i="3" s="1"/>
  <c r="AB57" i="3" s="1"/>
  <c r="Y58" i="3" l="1"/>
  <c r="X58" i="3"/>
  <c r="AC58" i="3" l="1"/>
  <c r="Z58" i="3"/>
  <c r="AA58" i="3" s="1"/>
  <c r="AB58" i="3" s="1"/>
  <c r="X59" i="3" l="1"/>
  <c r="Y59" i="3"/>
  <c r="AC59" i="3" l="1"/>
  <c r="Z59" i="3"/>
  <c r="AA59" i="3" s="1"/>
  <c r="AB59" i="3" s="1"/>
  <c r="Y60" i="3" l="1"/>
  <c r="X60" i="3"/>
  <c r="AC60" i="3" l="1"/>
  <c r="Z60" i="3"/>
  <c r="AA60" i="3" s="1"/>
  <c r="AB60" i="3" s="1"/>
  <c r="X61" i="3" l="1"/>
  <c r="Y61" i="3"/>
  <c r="AC61" i="3" l="1"/>
  <c r="Z61" i="3"/>
  <c r="AA61" i="3" s="1"/>
  <c r="AB61" i="3" s="1"/>
  <c r="Y62" i="3" l="1"/>
  <c r="X62" i="3"/>
  <c r="AC62" i="3" l="1"/>
  <c r="Z62" i="3"/>
  <c r="AA62" i="3" s="1"/>
  <c r="AB62" i="3" s="1"/>
  <c r="X63" i="3" l="1"/>
  <c r="Y63" i="3"/>
  <c r="AC63" i="3" l="1"/>
  <c r="Z63" i="3"/>
  <c r="AA63" i="3" s="1"/>
  <c r="AB63" i="3" s="1"/>
  <c r="Y64" i="3" l="1"/>
  <c r="X64" i="3"/>
  <c r="AC64" i="3" l="1"/>
  <c r="Z64" i="3"/>
  <c r="AA64" i="3" s="1"/>
  <c r="AB64" i="3" s="1"/>
  <c r="X65" i="3" l="1"/>
  <c r="Y65" i="3"/>
  <c r="AC65" i="3" l="1"/>
  <c r="Z65" i="3"/>
  <c r="AA65" i="3" s="1"/>
  <c r="AB65" i="3" s="1"/>
  <c r="Y66" i="3" l="1"/>
  <c r="X66" i="3"/>
  <c r="AC66" i="3" l="1"/>
  <c r="Z66" i="3"/>
  <c r="AA66" i="3" s="1"/>
  <c r="AB66" i="3" s="1"/>
  <c r="X67" i="3" l="1"/>
  <c r="Y67" i="3"/>
  <c r="AC67" i="3" l="1"/>
  <c r="Z67" i="3"/>
  <c r="AA67" i="3" s="1"/>
  <c r="AB67" i="3" s="1"/>
  <c r="Y68" i="3" l="1"/>
  <c r="X68" i="3"/>
  <c r="AC68" i="3" l="1"/>
  <c r="Z68" i="3"/>
  <c r="AA68" i="3" s="1"/>
  <c r="AB68" i="3" s="1"/>
  <c r="X69" i="3" l="1"/>
  <c r="Y69" i="3"/>
  <c r="AC69" i="3" l="1"/>
  <c r="Z69" i="3"/>
  <c r="AA69" i="3" s="1"/>
  <c r="AB69" i="3" s="1"/>
  <c r="Y70" i="3" l="1"/>
  <c r="X70" i="3"/>
  <c r="AC70" i="3" l="1"/>
  <c r="Z70" i="3"/>
  <c r="AA70" i="3" s="1"/>
  <c r="AB70" i="3" s="1"/>
  <c r="X71" i="3" l="1"/>
  <c r="Y71" i="3"/>
  <c r="Z71" i="3" l="1"/>
  <c r="AA71" i="3" s="1"/>
  <c r="AB71" i="3" s="1"/>
  <c r="X72" i="3" s="1"/>
  <c r="AC71" i="3"/>
  <c r="AC72" i="3" l="1"/>
  <c r="Y72" i="3"/>
  <c r="Z72" i="3" l="1"/>
  <c r="AA72" i="3" s="1"/>
  <c r="AB72" i="3" s="1"/>
  <c r="X73" i="3" l="1"/>
  <c r="Y73" i="3"/>
  <c r="AC73" i="3" l="1"/>
  <c r="Z73" i="3"/>
  <c r="AA73" i="3" s="1"/>
  <c r="AB73" i="3" s="1"/>
  <c r="Y74" i="3" l="1"/>
  <c r="X74" i="3"/>
  <c r="AC74" i="3" l="1"/>
  <c r="Z74" i="3"/>
  <c r="AA74" i="3" s="1"/>
  <c r="AB74" i="3" s="1"/>
  <c r="X75" i="3" l="1"/>
  <c r="Y75" i="3"/>
  <c r="AC75" i="3" l="1"/>
  <c r="Z75" i="3"/>
  <c r="AA75" i="3" s="1"/>
  <c r="AB75" i="3" s="1"/>
  <c r="Y76" i="3" l="1"/>
  <c r="X76" i="3"/>
  <c r="AC76" i="3" l="1"/>
  <c r="Z76" i="3"/>
  <c r="AA76" i="3" s="1"/>
  <c r="AB76" i="3" s="1"/>
  <c r="X77" i="3" l="1"/>
  <c r="Y77" i="3"/>
  <c r="AC77" i="3" l="1"/>
  <c r="Z77" i="3"/>
  <c r="AA77" i="3" s="1"/>
  <c r="AB77" i="3" s="1"/>
  <c r="Y78" i="3" l="1"/>
  <c r="X78" i="3"/>
  <c r="AC78" i="3" l="1"/>
  <c r="Z78" i="3"/>
  <c r="AA78" i="3" s="1"/>
  <c r="AB78" i="3" s="1"/>
  <c r="X79" i="3" l="1"/>
  <c r="Y79" i="3"/>
  <c r="AC79" i="3" l="1"/>
  <c r="Z79" i="3"/>
  <c r="AA79" i="3" s="1"/>
  <c r="AB79" i="3" s="1"/>
  <c r="Y80" i="3" l="1"/>
  <c r="X80" i="3"/>
  <c r="AC80" i="3" l="1"/>
  <c r="Z80" i="3"/>
  <c r="AA80" i="3" s="1"/>
  <c r="AB80" i="3" s="1"/>
  <c r="X81" i="3" l="1"/>
  <c r="Y81" i="3"/>
  <c r="AC81" i="3" l="1"/>
  <c r="Z81" i="3"/>
  <c r="AA81" i="3" s="1"/>
  <c r="AB81" i="3" s="1"/>
  <c r="Y82" i="3" l="1"/>
  <c r="X82" i="3"/>
  <c r="AC82" i="3" l="1"/>
  <c r="Z82" i="3"/>
  <c r="AA82" i="3" s="1"/>
  <c r="AB82" i="3" s="1"/>
  <c r="X83" i="3" l="1"/>
  <c r="Y83" i="3"/>
  <c r="AC83" i="3" l="1"/>
  <c r="Z83" i="3"/>
  <c r="AA83" i="3" s="1"/>
  <c r="AB83" i="3" s="1"/>
  <c r="Y84" i="3" l="1"/>
  <c r="X84" i="3"/>
  <c r="AC84" i="3" l="1"/>
  <c r="Z84" i="3"/>
  <c r="AA84" i="3" s="1"/>
  <c r="AB84" i="3" s="1"/>
  <c r="X85" i="3" l="1"/>
  <c r="Y85" i="3"/>
  <c r="AC85" i="3" l="1"/>
  <c r="Z85" i="3"/>
  <c r="AA85" i="3" s="1"/>
  <c r="AB85" i="3" s="1"/>
  <c r="Y86" i="3" l="1"/>
  <c r="X86" i="3"/>
  <c r="AC86" i="3" l="1"/>
  <c r="Z86" i="3"/>
  <c r="AA86" i="3" s="1"/>
  <c r="AB86" i="3" s="1"/>
  <c r="X87" i="3" l="1"/>
  <c r="Y87" i="3"/>
  <c r="AC87" i="3" l="1"/>
  <c r="Z87" i="3"/>
  <c r="AA87" i="3" s="1"/>
  <c r="AB87" i="3" s="1"/>
  <c r="Y88" i="3" l="1"/>
  <c r="X88" i="3"/>
  <c r="AC88" i="3" l="1"/>
  <c r="Z88" i="3"/>
  <c r="AA88" i="3" s="1"/>
  <c r="AB88" i="3" s="1"/>
  <c r="X89" i="3" l="1"/>
  <c r="Y89" i="3"/>
  <c r="Z89" i="3" l="1"/>
  <c r="AA89" i="3" s="1"/>
  <c r="AB89" i="3" s="1"/>
  <c r="X90" i="3" s="1"/>
  <c r="AC89" i="3"/>
  <c r="AC90" i="3" l="1"/>
  <c r="Y90" i="3"/>
  <c r="Z90" i="3" l="1"/>
  <c r="AA90" i="3" s="1"/>
  <c r="AB90" i="3" s="1"/>
  <c r="X91" i="3" s="1"/>
  <c r="AC91" i="3" l="1"/>
  <c r="Y91" i="3"/>
  <c r="Z91" i="3" l="1"/>
  <c r="AA91" i="3" s="1"/>
  <c r="AB91" i="3" s="1"/>
  <c r="X92" i="3" s="1"/>
  <c r="AC92" i="3" l="1"/>
  <c r="Y92" i="3"/>
  <c r="Z92" i="3" l="1"/>
  <c r="AA92" i="3" s="1"/>
  <c r="AB92" i="3" s="1"/>
  <c r="X93" i="3" s="1"/>
  <c r="AC93" i="3" l="1"/>
  <c r="Y93" i="3"/>
  <c r="Z93" i="3" l="1"/>
  <c r="AA93" i="3" s="1"/>
  <c r="AB93" i="3" s="1"/>
  <c r="X94" i="3" s="1"/>
  <c r="AC94" i="3" l="1"/>
  <c r="Y94" i="3"/>
  <c r="Z94" i="3" l="1"/>
  <c r="AA94" i="3" s="1"/>
  <c r="AB94" i="3" s="1"/>
  <c r="X95" i="3" s="1"/>
  <c r="AC95" i="3" l="1"/>
  <c r="Y95" i="3"/>
  <c r="Z95" i="3" l="1"/>
  <c r="AA95" i="3" s="1"/>
  <c r="AB95" i="3" s="1"/>
  <c r="X96" i="3" s="1"/>
  <c r="AC96" i="3" l="1"/>
  <c r="Y96" i="3"/>
  <c r="Z96" i="3" l="1"/>
  <c r="AA96" i="3" s="1"/>
  <c r="AB96" i="3" s="1"/>
  <c r="X97" i="3" s="1"/>
  <c r="AC97" i="3" l="1"/>
  <c r="Y97" i="3"/>
  <c r="Z97" i="3" l="1"/>
  <c r="AA97" i="3" s="1"/>
  <c r="AB97" i="3" s="1"/>
  <c r="X98" i="3" s="1"/>
  <c r="AC98" i="3" l="1"/>
  <c r="Y98" i="3"/>
  <c r="Z98" i="3" l="1"/>
  <c r="AA98" i="3" s="1"/>
  <c r="AB98" i="3" s="1"/>
  <c r="X99" i="3" s="1"/>
  <c r="AC99" i="3" l="1"/>
  <c r="Y99" i="3"/>
  <c r="Z99" i="3" l="1"/>
  <c r="AA99" i="3" s="1"/>
  <c r="AB99" i="3" s="1"/>
  <c r="X100" i="3" s="1"/>
  <c r="AC100" i="3" l="1"/>
  <c r="Y100" i="3"/>
  <c r="Z100" i="3" l="1"/>
  <c r="AA100" i="3" s="1"/>
  <c r="AB100" i="3" s="1"/>
  <c r="X101" i="3" l="1"/>
  <c r="Y101" i="3"/>
  <c r="AC101" i="3" l="1"/>
  <c r="Z101" i="3"/>
  <c r="AA101" i="3" s="1"/>
  <c r="AB101" i="3" s="1"/>
  <c r="Y102" i="3" l="1"/>
  <c r="X102" i="3"/>
  <c r="AC102" i="3" l="1"/>
  <c r="Z102" i="3"/>
  <c r="AA102" i="3" s="1"/>
  <c r="AB102" i="3" s="1"/>
  <c r="X103" i="3" l="1"/>
  <c r="Y103" i="3"/>
  <c r="AC103" i="3" l="1"/>
  <c r="Z103" i="3"/>
  <c r="AA103" i="3" s="1"/>
  <c r="AB103" i="3" s="1"/>
  <c r="Y104" i="3" l="1"/>
  <c r="X104" i="3"/>
  <c r="AC104" i="3" l="1"/>
  <c r="Z104" i="3"/>
  <c r="AA104" i="3" s="1"/>
  <c r="AB104" i="3" s="1"/>
  <c r="X105" i="3" l="1"/>
  <c r="Y105" i="3"/>
  <c r="AC105" i="3" l="1"/>
  <c r="Z105" i="3"/>
  <c r="AA105" i="3" s="1"/>
  <c r="AB105" i="3" s="1"/>
  <c r="Y106" i="3" l="1"/>
  <c r="X106" i="3"/>
  <c r="AC106" i="3" l="1"/>
  <c r="Z106" i="3"/>
  <c r="AA106" i="3" s="1"/>
  <c r="AB106" i="3" s="1"/>
  <c r="X107" i="3" l="1"/>
  <c r="Y107" i="3"/>
  <c r="Z107" i="3" l="1"/>
  <c r="AA107" i="3" s="1"/>
  <c r="AB107" i="3" s="1"/>
  <c r="AC107" i="3"/>
  <c r="Y108" i="3" l="1"/>
  <c r="Z108" i="3" s="1"/>
  <c r="AA108" i="3" s="1"/>
  <c r="X108" i="3"/>
  <c r="AC108" i="3" s="1"/>
  <c r="AB108" i="3" l="1"/>
  <c r="Y109" i="3" s="1"/>
  <c r="Z109" i="3" s="1"/>
  <c r="AA109" i="3" s="1"/>
  <c r="X109" i="3" l="1"/>
  <c r="AB109" i="3" l="1"/>
  <c r="Y110" i="3" s="1"/>
  <c r="Z110" i="3" s="1"/>
  <c r="AA110" i="3" s="1"/>
  <c r="AC109" i="3"/>
  <c r="X110" i="3" l="1"/>
  <c r="AC110" i="3" l="1"/>
  <c r="AB110" i="3"/>
  <c r="Y111" i="3" s="1"/>
  <c r="Z111" i="3" s="1"/>
  <c r="AA111" i="3" s="1"/>
  <c r="X111" i="3" l="1"/>
  <c r="AB111" i="3" s="1"/>
  <c r="Y112" i="3" s="1"/>
  <c r="Z112" i="3" s="1"/>
  <c r="AA112" i="3" s="1"/>
  <c r="AC111" i="3" l="1"/>
  <c r="X112" i="3"/>
  <c r="AC112" i="3" l="1"/>
  <c r="AB112" i="3"/>
  <c r="Y113" i="3" s="1"/>
  <c r="Z113" i="3" s="1"/>
  <c r="AA113" i="3" s="1"/>
  <c r="X113" i="3" l="1"/>
  <c r="AC113" i="3" l="1"/>
  <c r="AB113" i="3"/>
  <c r="Y114" i="3" s="1"/>
  <c r="Z114" i="3" s="1"/>
  <c r="AA114" i="3" s="1"/>
  <c r="X114" i="3" l="1"/>
  <c r="AB114" i="3" l="1"/>
  <c r="Y115" i="3" s="1"/>
  <c r="Z115" i="3" s="1"/>
  <c r="AA115" i="3" s="1"/>
  <c r="AC114" i="3"/>
  <c r="X115" i="3" l="1"/>
  <c r="AC115" i="3" s="1"/>
  <c r="AB115" i="3" l="1"/>
  <c r="Y116" i="3" s="1"/>
  <c r="Z116" i="3" s="1"/>
  <c r="AA116" i="3" s="1"/>
  <c r="X116" i="3" l="1"/>
  <c r="AB116" i="3" l="1"/>
  <c r="Y117" i="3" s="1"/>
  <c r="Z117" i="3" s="1"/>
  <c r="AA117" i="3" s="1"/>
  <c r="AC116" i="3"/>
  <c r="X117" i="3" l="1"/>
  <c r="AC117" i="3" s="1"/>
  <c r="AB117" i="3" l="1"/>
  <c r="Y118" i="3" s="1"/>
  <c r="X118" i="3" l="1"/>
  <c r="AC118" i="3" s="1"/>
  <c r="Z118" i="3"/>
  <c r="AA118" i="3" s="1"/>
  <c r="AB118" i="3" l="1"/>
  <c r="X119" i="3" s="1"/>
  <c r="Y119" i="3" l="1"/>
  <c r="Z119" i="3" s="1"/>
  <c r="AA119" i="3" s="1"/>
  <c r="AB119" i="3" s="1"/>
  <c r="Y120" i="3" s="1"/>
  <c r="AC119" i="3"/>
  <c r="Z120" i="3" l="1"/>
  <c r="AA120" i="3" s="1"/>
  <c r="X120" i="3"/>
  <c r="AC120" i="3" l="1"/>
  <c r="AB120" i="3"/>
  <c r="Y121" i="3" s="1"/>
  <c r="Z121" i="3" s="1"/>
  <c r="AA121" i="3" s="1"/>
  <c r="X121" i="3" l="1"/>
  <c r="AC121" i="3" l="1"/>
  <c r="AB121" i="3"/>
  <c r="Y122" i="3" s="1"/>
  <c r="Z122" i="3" s="1"/>
  <c r="AA122" i="3" s="1"/>
  <c r="X122" i="3" l="1"/>
  <c r="AB122" i="3" l="1"/>
  <c r="Y123" i="3" s="1"/>
  <c r="AC122" i="3"/>
  <c r="X123" i="3" l="1"/>
  <c r="AC123" i="3" s="1"/>
  <c r="Z123" i="3"/>
  <c r="AA123" i="3" s="1"/>
  <c r="AB123" i="3" l="1"/>
  <c r="Y124" i="3" s="1"/>
  <c r="X124" i="3" l="1"/>
  <c r="AC124" i="3" s="1"/>
  <c r="Z124" i="3"/>
  <c r="AA124" i="3" s="1"/>
  <c r="AB124" i="3" l="1"/>
  <c r="X125" i="3" s="1"/>
  <c r="AC125" i="3" s="1"/>
  <c r="Y125" i="3" l="1"/>
  <c r="Z125" i="3" s="1"/>
  <c r="AA125" i="3" s="1"/>
  <c r="AB125" i="3" s="1"/>
  <c r="X126" i="3" s="1"/>
  <c r="AC126" i="3" s="1"/>
  <c r="Y126" i="3" l="1"/>
  <c r="Z126" i="3" s="1"/>
  <c r="AA126" i="3" s="1"/>
  <c r="AB126" i="3" s="1"/>
  <c r="Y127" i="3" s="1"/>
  <c r="Z127" i="3" s="1"/>
  <c r="AA127" i="3" s="1"/>
  <c r="X127" i="3" l="1"/>
  <c r="AC127" i="3" l="1"/>
  <c r="AB127" i="3"/>
  <c r="Y128" i="3" l="1"/>
  <c r="Z128" i="3" s="1"/>
  <c r="AA128" i="3" s="1"/>
  <c r="X128" i="3"/>
  <c r="AB128" i="3" l="1"/>
  <c r="Y129" i="3" s="1"/>
  <c r="Z129" i="3" s="1"/>
  <c r="AA129" i="3" s="1"/>
  <c r="AC128" i="3"/>
  <c r="X129" i="3" l="1"/>
  <c r="AC129" i="3" l="1"/>
  <c r="AB129" i="3"/>
  <c r="Y130" i="3" s="1"/>
  <c r="X130" i="3" l="1"/>
  <c r="AC130" i="3"/>
  <c r="Z130" i="3"/>
  <c r="AA130" i="3" s="1"/>
  <c r="AB130" i="3" s="1"/>
  <c r="Y131" i="3" l="1"/>
  <c r="X131" i="3"/>
  <c r="AC131" i="3" l="1"/>
  <c r="Z131" i="3"/>
  <c r="AA131" i="3" s="1"/>
  <c r="AB131" i="3" s="1"/>
  <c r="X132" i="3" s="1"/>
  <c r="AC132" i="3" l="1"/>
  <c r="Y132" i="3"/>
  <c r="Z132" i="3" s="1"/>
  <c r="AA132" i="3" s="1"/>
  <c r="AB132" i="3" s="1"/>
  <c r="Y133" i="3" s="1"/>
  <c r="Z133" i="3" l="1"/>
  <c r="AA133" i="3" s="1"/>
  <c r="X133" i="3"/>
  <c r="AC133" i="3" s="1"/>
  <c r="AB133" i="3" l="1"/>
  <c r="X134" i="3" s="1"/>
  <c r="AL34" i="3" s="1"/>
  <c r="AC134" i="3" l="1"/>
  <c r="N5" i="3" s="1"/>
  <c r="Y134" i="3"/>
  <c r="Z134" i="3" s="1"/>
  <c r="AA134" i="3" s="1"/>
  <c r="AB134" i="3" s="1"/>
  <c r="AP34" i="3"/>
  <c r="AQ34" i="3"/>
  <c r="AL35" i="3" l="1"/>
  <c r="AM35" i="3"/>
  <c r="AN35" i="3" l="1"/>
  <c r="AO35" i="3" s="1"/>
  <c r="AP35" i="3" s="1"/>
  <c r="AM36" i="3" s="1"/>
  <c r="AN36" i="3" s="1"/>
  <c r="AO36" i="3" s="1"/>
  <c r="AQ35" i="3"/>
  <c r="AL36" i="3" l="1"/>
  <c r="AQ36" i="3" l="1"/>
  <c r="AP36" i="3"/>
  <c r="AM37" i="3" s="1"/>
  <c r="AN37" i="3" s="1"/>
  <c r="AO37" i="3" s="1"/>
  <c r="AL37" i="3" l="1"/>
  <c r="AQ37" i="3" l="1"/>
  <c r="AP37" i="3"/>
  <c r="AM38" i="3" s="1"/>
  <c r="AN38" i="3" s="1"/>
  <c r="AO38" i="3" s="1"/>
  <c r="AL38" i="3" l="1"/>
  <c r="AP38" i="3" s="1"/>
  <c r="AQ38" i="3" l="1"/>
  <c r="AM39" i="3"/>
  <c r="AN39" i="3" s="1"/>
  <c r="AO39" i="3" s="1"/>
  <c r="AL39" i="3"/>
  <c r="AQ39" i="3" s="1"/>
  <c r="AP39" i="3" l="1"/>
  <c r="AM40" i="3" s="1"/>
  <c r="AN40" i="3" s="1"/>
  <c r="AO40" i="3" s="1"/>
  <c r="AL40" i="3" l="1"/>
  <c r="AQ40" i="3" s="1"/>
  <c r="AP40" i="3" l="1"/>
  <c r="AM41" i="3" s="1"/>
  <c r="AN41" i="3" s="1"/>
  <c r="AO41" i="3" s="1"/>
  <c r="AL41" i="3" l="1"/>
  <c r="AP41" i="3" s="1"/>
  <c r="AQ41" i="3" l="1"/>
  <c r="AM42" i="3"/>
  <c r="AN42" i="3" s="1"/>
  <c r="AO42" i="3" s="1"/>
  <c r="AL42" i="3"/>
  <c r="AQ42" i="3" l="1"/>
  <c r="AP42" i="3"/>
  <c r="AL43" i="3" s="1"/>
  <c r="AQ43" i="3" s="1"/>
  <c r="AM43" i="3" l="1"/>
  <c r="AN43" i="3" s="1"/>
  <c r="AO43" i="3" s="1"/>
  <c r="AP43" i="3" s="1"/>
  <c r="AL44" i="3" s="1"/>
  <c r="AQ44" i="3" s="1"/>
  <c r="AM44" i="3" l="1"/>
  <c r="AN44" i="3" s="1"/>
  <c r="AO44" i="3" s="1"/>
  <c r="AP44" i="3" s="1"/>
  <c r="AL45" i="3" s="1"/>
  <c r="AQ45" i="3" s="1"/>
  <c r="AM45" i="3" l="1"/>
  <c r="AN45" i="3" s="1"/>
  <c r="AO45" i="3" s="1"/>
  <c r="AP45" i="3" s="1"/>
  <c r="AL46" i="3" s="1"/>
  <c r="AM46" i="3" l="1"/>
  <c r="AN46" i="3" s="1"/>
  <c r="AO46" i="3" s="1"/>
  <c r="AP46" i="3" s="1"/>
  <c r="AL47" i="3" s="1"/>
  <c r="AQ46" i="3"/>
  <c r="AM47" i="3" l="1"/>
  <c r="AQ47" i="3" l="1"/>
  <c r="AN47" i="3"/>
  <c r="AO47" i="3" s="1"/>
  <c r="AP47" i="3" s="1"/>
  <c r="AL48" i="3" s="1"/>
  <c r="AM48" i="3" l="1"/>
  <c r="AQ48" i="3" l="1"/>
  <c r="AN48" i="3"/>
  <c r="AO48" i="3" s="1"/>
  <c r="AP48" i="3" s="1"/>
  <c r="AL49" i="3" s="1"/>
  <c r="AM49" i="3" l="1"/>
  <c r="AQ49" i="3" l="1"/>
  <c r="AN49" i="3"/>
  <c r="AO49" i="3" s="1"/>
  <c r="AP49" i="3" s="1"/>
  <c r="AL50" i="3" s="1"/>
  <c r="AM50" i="3" l="1"/>
  <c r="AQ50" i="3" l="1"/>
  <c r="AN50" i="3"/>
  <c r="AO50" i="3" s="1"/>
  <c r="AP50" i="3" s="1"/>
  <c r="AL51" i="3" s="1"/>
  <c r="AM51" i="3" l="1"/>
  <c r="AQ51" i="3" l="1"/>
  <c r="AN51" i="3"/>
  <c r="AO51" i="3" s="1"/>
  <c r="AP51" i="3" s="1"/>
  <c r="AL52" i="3" s="1"/>
  <c r="AM52" i="3" l="1"/>
  <c r="AQ52" i="3" l="1"/>
  <c r="AN52" i="3"/>
  <c r="AO52" i="3" s="1"/>
  <c r="AP52" i="3" s="1"/>
  <c r="AL53" i="3" s="1"/>
  <c r="AM53" i="3" l="1"/>
  <c r="AQ53" i="3" l="1"/>
  <c r="AN53" i="3"/>
  <c r="AO53" i="3" s="1"/>
  <c r="AP53" i="3" s="1"/>
  <c r="AL54" i="3" s="1"/>
  <c r="AM54" i="3" l="1"/>
  <c r="AQ54" i="3" l="1"/>
  <c r="AN54" i="3"/>
  <c r="AO54" i="3" s="1"/>
  <c r="AP54" i="3" s="1"/>
  <c r="AL55" i="3" s="1"/>
  <c r="AM55" i="3" l="1"/>
  <c r="AQ55" i="3" l="1"/>
  <c r="AN55" i="3"/>
  <c r="AO55" i="3" s="1"/>
  <c r="AP55" i="3" s="1"/>
  <c r="AL56" i="3" s="1"/>
  <c r="AM56" i="3" l="1"/>
  <c r="AQ56" i="3" l="1"/>
  <c r="AN56" i="3"/>
  <c r="AO56" i="3" s="1"/>
  <c r="AP56" i="3" s="1"/>
  <c r="AL57" i="3" s="1"/>
  <c r="AM57" i="3" l="1"/>
  <c r="AQ57" i="3" l="1"/>
  <c r="AN57" i="3"/>
  <c r="AO57" i="3" s="1"/>
  <c r="AP57" i="3" s="1"/>
  <c r="AL58" i="3" s="1"/>
  <c r="AM58" i="3" l="1"/>
  <c r="AQ58" i="3" l="1"/>
  <c r="AN58" i="3"/>
  <c r="AO58" i="3" s="1"/>
  <c r="AP58" i="3" s="1"/>
  <c r="AL59" i="3" s="1"/>
  <c r="AM59" i="3" l="1"/>
  <c r="AQ59" i="3" l="1"/>
  <c r="AN59" i="3"/>
  <c r="AO59" i="3" s="1"/>
  <c r="AP59" i="3" s="1"/>
  <c r="AL60" i="3" s="1"/>
  <c r="AM60" i="3" l="1"/>
  <c r="AQ60" i="3" l="1"/>
  <c r="AN60" i="3"/>
  <c r="AO60" i="3" s="1"/>
  <c r="AP60" i="3" s="1"/>
  <c r="AL61" i="3" s="1"/>
  <c r="AM61" i="3" l="1"/>
  <c r="AQ61" i="3" l="1"/>
  <c r="AN61" i="3"/>
  <c r="AO61" i="3" s="1"/>
  <c r="AP61" i="3" s="1"/>
  <c r="AL62" i="3" s="1"/>
  <c r="AM62" i="3" l="1"/>
  <c r="AQ62" i="3" l="1"/>
  <c r="AN62" i="3"/>
  <c r="AO62" i="3" s="1"/>
  <c r="AP62" i="3" s="1"/>
  <c r="AL63" i="3" s="1"/>
  <c r="AM63" i="3" l="1"/>
  <c r="AQ63" i="3" l="1"/>
  <c r="AN63" i="3"/>
  <c r="AO63" i="3" s="1"/>
  <c r="AP63" i="3" s="1"/>
  <c r="AL64" i="3" s="1"/>
  <c r="AM64" i="3" l="1"/>
  <c r="AQ64" i="3" l="1"/>
  <c r="AN64" i="3"/>
  <c r="AO64" i="3" s="1"/>
  <c r="AP64" i="3" s="1"/>
  <c r="AL65" i="3" s="1"/>
  <c r="AM65" i="3" l="1"/>
  <c r="AQ65" i="3" l="1"/>
  <c r="AN65" i="3"/>
  <c r="AO65" i="3" s="1"/>
  <c r="AP65" i="3" s="1"/>
  <c r="AL66" i="3" s="1"/>
  <c r="AM66" i="3" l="1"/>
  <c r="AQ66" i="3" l="1"/>
  <c r="AN66" i="3"/>
  <c r="AO66" i="3" s="1"/>
  <c r="AP66" i="3" s="1"/>
  <c r="AL67" i="3" s="1"/>
  <c r="AM67" i="3" l="1"/>
  <c r="AQ67" i="3" l="1"/>
  <c r="AN67" i="3"/>
  <c r="AO67" i="3" s="1"/>
  <c r="AP67" i="3" s="1"/>
  <c r="AL68" i="3" s="1"/>
  <c r="AM68" i="3" l="1"/>
  <c r="AQ68" i="3" l="1"/>
  <c r="AN68" i="3"/>
  <c r="AO68" i="3" s="1"/>
  <c r="AP68" i="3" s="1"/>
  <c r="AL69" i="3" s="1"/>
  <c r="AM69" i="3" l="1"/>
  <c r="AQ69" i="3" l="1"/>
  <c r="AN69" i="3"/>
  <c r="AO69" i="3" s="1"/>
  <c r="AP69" i="3" s="1"/>
  <c r="AL70" i="3" s="1"/>
  <c r="AM70" i="3" l="1"/>
  <c r="AQ70" i="3" l="1"/>
  <c r="AN70" i="3"/>
  <c r="AO70" i="3" s="1"/>
  <c r="AP70" i="3" s="1"/>
  <c r="AL71" i="3" s="1"/>
  <c r="AM71" i="3" l="1"/>
  <c r="AQ71" i="3" l="1"/>
  <c r="AN71" i="3"/>
  <c r="AO71" i="3" s="1"/>
  <c r="AP71" i="3" s="1"/>
  <c r="AL72" i="3" s="1"/>
  <c r="AM72" i="3" l="1"/>
  <c r="AQ72" i="3" l="1"/>
  <c r="AN72" i="3"/>
  <c r="AO72" i="3" s="1"/>
  <c r="AP72" i="3" s="1"/>
  <c r="AL73" i="3" s="1"/>
  <c r="AM73" i="3" l="1"/>
  <c r="AQ73" i="3" l="1"/>
  <c r="AN73" i="3"/>
  <c r="AO73" i="3" s="1"/>
  <c r="AP73" i="3" s="1"/>
  <c r="AL74" i="3" s="1"/>
  <c r="AM74" i="3" l="1"/>
  <c r="AQ74" i="3" l="1"/>
  <c r="AN74" i="3"/>
  <c r="AO74" i="3" s="1"/>
  <c r="AP74" i="3" s="1"/>
  <c r="AL75" i="3" s="1"/>
  <c r="AM75" i="3" l="1"/>
  <c r="AQ75" i="3" l="1"/>
  <c r="AN75" i="3"/>
  <c r="AO75" i="3" s="1"/>
  <c r="AP75" i="3" s="1"/>
  <c r="AL76" i="3" s="1"/>
  <c r="AM76" i="3" l="1"/>
  <c r="AQ76" i="3" l="1"/>
  <c r="AN76" i="3"/>
  <c r="AO76" i="3" s="1"/>
  <c r="AP76" i="3" s="1"/>
  <c r="AL77" i="3" s="1"/>
  <c r="AM77" i="3" l="1"/>
  <c r="AQ77" i="3" l="1"/>
  <c r="AN77" i="3"/>
  <c r="AO77" i="3" s="1"/>
  <c r="AP77" i="3" s="1"/>
  <c r="AL78" i="3" s="1"/>
  <c r="AM78" i="3" l="1"/>
  <c r="AQ78" i="3" l="1"/>
  <c r="AN78" i="3"/>
  <c r="AO78" i="3" s="1"/>
  <c r="AP78" i="3" s="1"/>
  <c r="AL79" i="3" s="1"/>
  <c r="AM79" i="3" l="1"/>
  <c r="AQ79" i="3" l="1"/>
  <c r="AN79" i="3"/>
  <c r="AO79" i="3" s="1"/>
  <c r="AP79" i="3" s="1"/>
  <c r="AL80" i="3" s="1"/>
  <c r="AM80" i="3" l="1"/>
  <c r="AQ80" i="3" l="1"/>
  <c r="AN80" i="3"/>
  <c r="AO80" i="3" s="1"/>
  <c r="AP80" i="3" s="1"/>
  <c r="AL81" i="3" s="1"/>
  <c r="AM81" i="3" l="1"/>
  <c r="AQ81" i="3" l="1"/>
  <c r="AN81" i="3"/>
  <c r="AO81" i="3" s="1"/>
  <c r="AP81" i="3" s="1"/>
  <c r="AL82" i="3" s="1"/>
  <c r="AM82" i="3" l="1"/>
  <c r="AQ82" i="3" l="1"/>
  <c r="AN82" i="3"/>
  <c r="AO82" i="3" s="1"/>
  <c r="AP82" i="3" s="1"/>
  <c r="AL83" i="3" s="1"/>
  <c r="AM83" i="3" l="1"/>
  <c r="AQ83" i="3" l="1"/>
  <c r="AN83" i="3"/>
  <c r="AO83" i="3" s="1"/>
  <c r="AP83" i="3" s="1"/>
  <c r="AL84" i="3" s="1"/>
  <c r="AM84" i="3" l="1"/>
  <c r="AQ84" i="3" l="1"/>
  <c r="AN84" i="3"/>
  <c r="AO84" i="3" s="1"/>
  <c r="AP84" i="3" s="1"/>
  <c r="AL85" i="3" s="1"/>
  <c r="AM85" i="3" l="1"/>
  <c r="AQ85" i="3" l="1"/>
  <c r="AN85" i="3"/>
  <c r="AO85" i="3" s="1"/>
  <c r="AP85" i="3" s="1"/>
  <c r="AL86" i="3" s="1"/>
  <c r="AM86" i="3" l="1"/>
  <c r="AQ86" i="3" l="1"/>
  <c r="AN86" i="3"/>
  <c r="AO86" i="3" s="1"/>
  <c r="AP86" i="3" s="1"/>
  <c r="AL87" i="3" s="1"/>
  <c r="AM87" i="3" l="1"/>
  <c r="AQ87" i="3" l="1"/>
  <c r="AN87" i="3"/>
  <c r="AO87" i="3" s="1"/>
  <c r="AP87" i="3" s="1"/>
  <c r="AL88" i="3" s="1"/>
  <c r="AM88" i="3" l="1"/>
  <c r="AQ88" i="3" l="1"/>
  <c r="AN88" i="3"/>
  <c r="AO88" i="3" s="1"/>
  <c r="AP88" i="3" s="1"/>
  <c r="AL89" i="3" s="1"/>
  <c r="AM89" i="3" l="1"/>
  <c r="AQ89" i="3" l="1"/>
  <c r="AN89" i="3"/>
  <c r="AO89" i="3" s="1"/>
  <c r="AP89" i="3" s="1"/>
  <c r="AL90" i="3" s="1"/>
  <c r="AM90" i="3" l="1"/>
  <c r="AQ90" i="3" l="1"/>
  <c r="AN90" i="3"/>
  <c r="AO90" i="3" s="1"/>
  <c r="AP90" i="3" s="1"/>
  <c r="AL91" i="3" s="1"/>
  <c r="AM91" i="3" l="1"/>
  <c r="AQ91" i="3" l="1"/>
  <c r="AN91" i="3"/>
  <c r="AO91" i="3" s="1"/>
  <c r="AP91" i="3" s="1"/>
  <c r="AL92" i="3" s="1"/>
  <c r="AM92" i="3" l="1"/>
  <c r="AQ92" i="3" l="1"/>
  <c r="AN92" i="3"/>
  <c r="AO92" i="3" s="1"/>
  <c r="AP92" i="3" s="1"/>
  <c r="AL93" i="3" s="1"/>
  <c r="AM93" i="3" l="1"/>
  <c r="AQ93" i="3" l="1"/>
  <c r="AN93" i="3"/>
  <c r="AO93" i="3" s="1"/>
  <c r="AP93" i="3" s="1"/>
  <c r="AL94" i="3" s="1"/>
  <c r="AM94" i="3" l="1"/>
  <c r="AQ94" i="3" l="1"/>
  <c r="AN94" i="3"/>
  <c r="AO94" i="3" s="1"/>
  <c r="AP94" i="3" s="1"/>
  <c r="AL95" i="3" s="1"/>
  <c r="AM95" i="3" l="1"/>
  <c r="AQ95" i="3" l="1"/>
  <c r="AN95" i="3"/>
  <c r="AO95" i="3" s="1"/>
  <c r="AP95" i="3" s="1"/>
  <c r="AL96" i="3" s="1"/>
  <c r="AM96" i="3" l="1"/>
  <c r="AQ96" i="3" l="1"/>
  <c r="AN96" i="3"/>
  <c r="AO96" i="3" s="1"/>
  <c r="AP96" i="3" s="1"/>
  <c r="AL97" i="3" s="1"/>
  <c r="AM97" i="3" l="1"/>
  <c r="AQ97" i="3" l="1"/>
  <c r="AN97" i="3"/>
  <c r="AO97" i="3" s="1"/>
  <c r="AP97" i="3" s="1"/>
  <c r="AL98" i="3" s="1"/>
  <c r="AM98" i="3" l="1"/>
  <c r="AQ98" i="3" l="1"/>
  <c r="AN98" i="3"/>
  <c r="AO98" i="3" s="1"/>
  <c r="AP98" i="3" s="1"/>
  <c r="AL99" i="3" s="1"/>
  <c r="AM99" i="3" l="1"/>
  <c r="AQ99" i="3" l="1"/>
  <c r="AN99" i="3"/>
  <c r="AO99" i="3" s="1"/>
  <c r="AP99" i="3" s="1"/>
  <c r="AL100" i="3" s="1"/>
  <c r="AM100" i="3" l="1"/>
  <c r="AQ100" i="3" l="1"/>
  <c r="AN100" i="3"/>
  <c r="AO100" i="3" s="1"/>
  <c r="AP100" i="3" s="1"/>
  <c r="AL101" i="3" s="1"/>
  <c r="AM101" i="3" l="1"/>
  <c r="AQ101" i="3" l="1"/>
  <c r="AN101" i="3"/>
  <c r="AO101" i="3" s="1"/>
  <c r="AP101" i="3" s="1"/>
  <c r="AL102" i="3" s="1"/>
  <c r="AM102" i="3" l="1"/>
  <c r="AQ102" i="3" l="1"/>
  <c r="AN102" i="3"/>
  <c r="AO102" i="3" s="1"/>
  <c r="AP102" i="3" s="1"/>
  <c r="AL103" i="3" s="1"/>
  <c r="AM103" i="3" l="1"/>
  <c r="AQ103" i="3" l="1"/>
  <c r="AN103" i="3"/>
  <c r="AO103" i="3" s="1"/>
  <c r="AP103" i="3" s="1"/>
  <c r="AL104" i="3" s="1"/>
  <c r="AM104" i="3" l="1"/>
  <c r="AQ104" i="3" l="1"/>
  <c r="AN104" i="3"/>
  <c r="AO104" i="3" s="1"/>
  <c r="AP104" i="3" s="1"/>
  <c r="AL105" i="3" s="1"/>
  <c r="AM105" i="3" l="1"/>
  <c r="AQ105" i="3" l="1"/>
  <c r="AN105" i="3"/>
  <c r="AO105" i="3" s="1"/>
  <c r="AP105" i="3" s="1"/>
  <c r="AL106" i="3" s="1"/>
  <c r="AM106" i="3" l="1"/>
  <c r="AQ106" i="3" l="1"/>
  <c r="AN106" i="3"/>
  <c r="AO106" i="3" s="1"/>
  <c r="AP106" i="3" s="1"/>
  <c r="AL107" i="3" s="1"/>
  <c r="AM107" i="3" l="1"/>
  <c r="AQ107" i="3" l="1"/>
  <c r="AN107" i="3"/>
  <c r="AO107" i="3" s="1"/>
  <c r="AP107" i="3" s="1"/>
  <c r="AL108" i="3" s="1"/>
  <c r="AM108" i="3" l="1"/>
  <c r="AQ108" i="3" l="1"/>
  <c r="AN108" i="3"/>
  <c r="AO108" i="3" s="1"/>
  <c r="AP108" i="3" s="1"/>
  <c r="AL109" i="3" s="1"/>
  <c r="AM109" i="3" l="1"/>
  <c r="AQ109" i="3" l="1"/>
  <c r="AN109" i="3"/>
  <c r="AO109" i="3" s="1"/>
  <c r="AP109" i="3" s="1"/>
  <c r="AL110" i="3" s="1"/>
  <c r="AM110" i="3" l="1"/>
  <c r="AQ110" i="3" l="1"/>
  <c r="AN110" i="3"/>
  <c r="AO110" i="3" s="1"/>
  <c r="AP110" i="3" s="1"/>
  <c r="AL111" i="3" s="1"/>
  <c r="AM111" i="3" l="1"/>
  <c r="AQ111" i="3" l="1"/>
  <c r="AN111" i="3"/>
  <c r="AO111" i="3" s="1"/>
  <c r="AP111" i="3" s="1"/>
  <c r="AL112" i="3" s="1"/>
  <c r="AM112" i="3" l="1"/>
  <c r="AQ112" i="3" l="1"/>
  <c r="AN112" i="3"/>
  <c r="AO112" i="3" s="1"/>
  <c r="AP112" i="3" s="1"/>
  <c r="AL113" i="3" s="1"/>
  <c r="AM113" i="3" l="1"/>
  <c r="AQ113" i="3" l="1"/>
  <c r="AN113" i="3"/>
  <c r="AO113" i="3" s="1"/>
  <c r="AP113" i="3" s="1"/>
  <c r="AL114" i="3" s="1"/>
  <c r="AM114" i="3" l="1"/>
  <c r="AQ114" i="3" l="1"/>
  <c r="AN114" i="3"/>
  <c r="AO114" i="3" s="1"/>
  <c r="AP114" i="3" s="1"/>
  <c r="AL115" i="3" s="1"/>
  <c r="AM115" i="3" l="1"/>
  <c r="AQ115" i="3" l="1"/>
  <c r="AN115" i="3"/>
  <c r="AO115" i="3" s="1"/>
  <c r="AP115" i="3" s="1"/>
  <c r="AL116" i="3" s="1"/>
  <c r="AM116" i="3" l="1"/>
  <c r="AQ116" i="3" l="1"/>
  <c r="AN116" i="3"/>
  <c r="AO116" i="3" s="1"/>
  <c r="AP116" i="3" s="1"/>
  <c r="AL117" i="3" s="1"/>
  <c r="AM117" i="3" l="1"/>
  <c r="AQ117" i="3" l="1"/>
  <c r="AN117" i="3"/>
  <c r="AO117" i="3" s="1"/>
  <c r="AP117" i="3" s="1"/>
  <c r="AL118" i="3" s="1"/>
  <c r="AM118" i="3" l="1"/>
  <c r="AQ118" i="3" l="1"/>
  <c r="AN118" i="3"/>
  <c r="AO118" i="3" s="1"/>
  <c r="AP118" i="3" s="1"/>
  <c r="AL119" i="3" s="1"/>
  <c r="AM119" i="3" l="1"/>
  <c r="AQ119" i="3" l="1"/>
  <c r="AN119" i="3"/>
  <c r="AO119" i="3" s="1"/>
  <c r="AP119" i="3" s="1"/>
  <c r="AL120" i="3" s="1"/>
  <c r="AM120" i="3" l="1"/>
  <c r="AQ120" i="3" l="1"/>
  <c r="AN120" i="3"/>
  <c r="AO120" i="3" s="1"/>
  <c r="AP120" i="3" s="1"/>
  <c r="AL121" i="3" s="1"/>
  <c r="AM121" i="3" l="1"/>
  <c r="AQ121" i="3" l="1"/>
  <c r="AN121" i="3"/>
  <c r="AO121" i="3" s="1"/>
  <c r="AP121" i="3" s="1"/>
  <c r="AL122" i="3" s="1"/>
  <c r="AM122" i="3" l="1"/>
  <c r="AQ122" i="3" l="1"/>
  <c r="AN122" i="3"/>
  <c r="AO122" i="3" s="1"/>
  <c r="AP122" i="3" s="1"/>
  <c r="AL123" i="3" s="1"/>
  <c r="AM123" i="3" l="1"/>
  <c r="AQ123" i="3" l="1"/>
  <c r="AN123" i="3"/>
  <c r="AO123" i="3" s="1"/>
  <c r="AP123" i="3" s="1"/>
  <c r="AL124" i="3" s="1"/>
  <c r="AM124" i="3" l="1"/>
  <c r="AQ124" i="3" l="1"/>
  <c r="AN124" i="3"/>
  <c r="AO124" i="3" s="1"/>
  <c r="AP124" i="3" s="1"/>
  <c r="AL125" i="3" s="1"/>
  <c r="AM125" i="3" l="1"/>
  <c r="AQ125" i="3" l="1"/>
  <c r="AN125" i="3"/>
  <c r="AO125" i="3" s="1"/>
  <c r="AP125" i="3" s="1"/>
  <c r="AL126" i="3" s="1"/>
  <c r="AM126" i="3" l="1"/>
  <c r="AQ126" i="3" l="1"/>
  <c r="AN126" i="3"/>
  <c r="AO126" i="3" s="1"/>
  <c r="AP126" i="3" s="1"/>
  <c r="AL127" i="3" s="1"/>
  <c r="AM127" i="3" l="1"/>
  <c r="AQ127" i="3" l="1"/>
  <c r="AN127" i="3"/>
  <c r="AO127" i="3" s="1"/>
  <c r="AP127" i="3" s="1"/>
  <c r="AL128" i="3" s="1"/>
  <c r="AM128" i="3" l="1"/>
  <c r="AQ128" i="3" l="1"/>
  <c r="AN128" i="3"/>
  <c r="AO128" i="3" s="1"/>
  <c r="AP128" i="3" s="1"/>
  <c r="AL129" i="3" s="1"/>
  <c r="AM129" i="3" l="1"/>
  <c r="AQ129" i="3" l="1"/>
  <c r="AN129" i="3"/>
  <c r="AO129" i="3" s="1"/>
  <c r="AP129" i="3" s="1"/>
  <c r="AL130" i="3" s="1"/>
  <c r="AM130" i="3" l="1"/>
  <c r="AQ130" i="3" l="1"/>
  <c r="AN130" i="3"/>
  <c r="AO130" i="3" s="1"/>
  <c r="AP130" i="3" s="1"/>
  <c r="AL131" i="3" s="1"/>
  <c r="AM131" i="3" l="1"/>
  <c r="AQ131" i="3" l="1"/>
  <c r="AN131" i="3"/>
  <c r="AO131" i="3" s="1"/>
  <c r="AP131" i="3" s="1"/>
  <c r="AL132" i="3" s="1"/>
  <c r="AM132" i="3" l="1"/>
  <c r="AQ132" i="3" l="1"/>
  <c r="AN132" i="3"/>
  <c r="AO132" i="3" s="1"/>
  <c r="AP132" i="3" s="1"/>
  <c r="AL133" i="3" s="1"/>
  <c r="AM133" i="3" l="1"/>
  <c r="AQ133" i="3" l="1"/>
  <c r="AN133" i="3"/>
  <c r="AO133" i="3" s="1"/>
  <c r="AP133" i="3" s="1"/>
  <c r="AL134" i="3" s="1"/>
  <c r="AZ34" i="3" s="1"/>
  <c r="AM134" i="3" l="1"/>
  <c r="AN134" i="3" s="1"/>
  <c r="AO134" i="3" s="1"/>
  <c r="AP134" i="3" l="1"/>
  <c r="AQ134" i="3"/>
  <c r="N6" i="3" s="1"/>
  <c r="BE34" i="3" l="1"/>
  <c r="BD34" i="3"/>
  <c r="AZ35" i="3" s="1"/>
  <c r="BA35" i="3" l="1"/>
  <c r="BB35" i="3" s="1"/>
  <c r="BC35" i="3" s="1"/>
  <c r="BD35" i="3" s="1"/>
  <c r="AZ36" i="3" s="1"/>
  <c r="BE35" i="3"/>
  <c r="BA36" i="3" l="1"/>
  <c r="BE36" i="3"/>
  <c r="BB36" i="3" l="1"/>
  <c r="BC36" i="3" s="1"/>
  <c r="BD36" i="3" s="1"/>
  <c r="AZ37" i="3" s="1"/>
  <c r="BA37" i="3" l="1"/>
  <c r="BB37" i="3" s="1"/>
  <c r="BC37" i="3" s="1"/>
  <c r="BD37" i="3" l="1"/>
  <c r="AZ38" i="3" s="1"/>
  <c r="BE37" i="3"/>
  <c r="BA38" i="3" l="1"/>
  <c r="BE38" i="3" l="1"/>
  <c r="BB38" i="3"/>
  <c r="BC38" i="3" s="1"/>
  <c r="BD38" i="3" s="1"/>
  <c r="AZ39" i="3" s="1"/>
  <c r="BA39" i="3" l="1"/>
  <c r="BE39" i="3" l="1"/>
  <c r="BB39" i="3"/>
  <c r="BC39" i="3" s="1"/>
  <c r="BD39" i="3" s="1"/>
  <c r="AZ40" i="3" s="1"/>
  <c r="BA40" i="3" l="1"/>
  <c r="BE40" i="3" l="1"/>
  <c r="BB40" i="3"/>
  <c r="BC40" i="3" s="1"/>
  <c r="BD40" i="3" s="1"/>
  <c r="AZ41" i="3" s="1"/>
  <c r="BA41" i="3" l="1"/>
  <c r="BE41" i="3" l="1"/>
  <c r="BB41" i="3"/>
  <c r="BC41" i="3" s="1"/>
  <c r="BD41" i="3" s="1"/>
  <c r="AZ42" i="3" s="1"/>
  <c r="BA42" i="3" l="1"/>
  <c r="BE42" i="3" l="1"/>
  <c r="BB42" i="3"/>
  <c r="BC42" i="3" s="1"/>
  <c r="BD42" i="3" s="1"/>
  <c r="AZ43" i="3" s="1"/>
  <c r="BA43" i="3" l="1"/>
  <c r="BE43" i="3" l="1"/>
  <c r="BB43" i="3"/>
  <c r="BC43" i="3" s="1"/>
  <c r="BD43" i="3" s="1"/>
  <c r="AZ44" i="3" s="1"/>
  <c r="BA44" i="3" l="1"/>
  <c r="BE44" i="3" l="1"/>
  <c r="BB44" i="3"/>
  <c r="BC44" i="3" s="1"/>
  <c r="BD44" i="3" s="1"/>
  <c r="AZ45" i="3" s="1"/>
  <c r="BA45" i="3" l="1"/>
  <c r="BE45" i="3" l="1"/>
  <c r="BB45" i="3"/>
  <c r="BC45" i="3" s="1"/>
  <c r="BD45" i="3" s="1"/>
  <c r="AZ46" i="3" s="1"/>
  <c r="BA46" i="3" l="1"/>
  <c r="BE46" i="3" l="1"/>
  <c r="BB46" i="3"/>
  <c r="BC46" i="3" s="1"/>
  <c r="BD46" i="3" s="1"/>
  <c r="AZ47" i="3" s="1"/>
  <c r="BA47" i="3" l="1"/>
  <c r="BE47" i="3" l="1"/>
  <c r="BB47" i="3"/>
  <c r="BC47" i="3" s="1"/>
  <c r="BD47" i="3" s="1"/>
  <c r="AZ48" i="3" s="1"/>
  <c r="BA48" i="3" l="1"/>
  <c r="BE48" i="3" l="1"/>
  <c r="BB48" i="3"/>
  <c r="BC48" i="3" s="1"/>
  <c r="BD48" i="3" s="1"/>
  <c r="AZ49" i="3" s="1"/>
  <c r="BA49" i="3" l="1"/>
  <c r="BE49" i="3" l="1"/>
  <c r="BB49" i="3"/>
  <c r="BC49" i="3" s="1"/>
  <c r="BD49" i="3" s="1"/>
  <c r="AZ50" i="3" s="1"/>
  <c r="BA50" i="3" l="1"/>
  <c r="BE50" i="3" l="1"/>
  <c r="BB50" i="3"/>
  <c r="BC50" i="3" s="1"/>
  <c r="BD50" i="3" s="1"/>
  <c r="AZ51" i="3" s="1"/>
  <c r="BA51" i="3" l="1"/>
  <c r="BE51" i="3" l="1"/>
  <c r="BB51" i="3"/>
  <c r="BC51" i="3" s="1"/>
  <c r="BD51" i="3" s="1"/>
  <c r="AZ52" i="3" s="1"/>
  <c r="BA52" i="3" l="1"/>
  <c r="BE52" i="3" l="1"/>
  <c r="BB52" i="3"/>
  <c r="BC52" i="3" s="1"/>
  <c r="BD52" i="3" s="1"/>
  <c r="AZ53" i="3" s="1"/>
  <c r="BA53" i="3" l="1"/>
  <c r="BE53" i="3" l="1"/>
  <c r="BB53" i="3"/>
  <c r="BC53" i="3" s="1"/>
  <c r="BD53" i="3" s="1"/>
  <c r="AZ54" i="3" s="1"/>
  <c r="BA54" i="3" l="1"/>
  <c r="BE54" i="3" l="1"/>
  <c r="BB54" i="3"/>
  <c r="BC54" i="3" s="1"/>
  <c r="BD54" i="3" s="1"/>
  <c r="AZ55" i="3" s="1"/>
  <c r="BA55" i="3" l="1"/>
  <c r="BB55" i="3" s="1"/>
  <c r="BC55" i="3" s="1"/>
  <c r="BD55" i="3" l="1"/>
  <c r="AZ56" i="3" s="1"/>
  <c r="BE55" i="3"/>
  <c r="BA56" i="3" l="1"/>
  <c r="BB56" i="3" s="1"/>
  <c r="BC56" i="3" s="1"/>
  <c r="BD56" i="3" s="1"/>
  <c r="AZ57" i="3" s="1"/>
  <c r="BE56" i="3"/>
  <c r="BA57" i="3" l="1"/>
  <c r="BE57" i="3" l="1"/>
  <c r="BB57" i="3"/>
  <c r="BC57" i="3" s="1"/>
  <c r="BD57" i="3" s="1"/>
  <c r="AZ58" i="3" s="1"/>
  <c r="BA58" i="3" l="1"/>
  <c r="BE58" i="3" l="1"/>
  <c r="BB58" i="3"/>
  <c r="BC58" i="3" s="1"/>
  <c r="BD58" i="3" s="1"/>
  <c r="AZ59" i="3" s="1"/>
  <c r="BA59" i="3" l="1"/>
  <c r="BE59" i="3" l="1"/>
  <c r="BB59" i="3"/>
  <c r="BC59" i="3" s="1"/>
  <c r="BD59" i="3" s="1"/>
  <c r="AZ60" i="3" s="1"/>
  <c r="BA60" i="3" l="1"/>
  <c r="BE60" i="3" l="1"/>
  <c r="BB60" i="3"/>
  <c r="BC60" i="3" s="1"/>
  <c r="BD60" i="3" s="1"/>
  <c r="AZ61" i="3" s="1"/>
  <c r="BA61" i="3" l="1"/>
  <c r="BE61" i="3" l="1"/>
  <c r="BB61" i="3"/>
  <c r="BC61" i="3" s="1"/>
  <c r="BD61" i="3" s="1"/>
  <c r="AZ62" i="3" s="1"/>
  <c r="BA62" i="3" l="1"/>
  <c r="BE62" i="3" l="1"/>
  <c r="BB62" i="3"/>
  <c r="BC62" i="3" s="1"/>
  <c r="BD62" i="3" s="1"/>
  <c r="AZ63" i="3" s="1"/>
  <c r="BA63" i="3" l="1"/>
  <c r="BE63" i="3" l="1"/>
  <c r="BB63" i="3"/>
  <c r="BC63" i="3" s="1"/>
  <c r="BD63" i="3" s="1"/>
  <c r="AZ64" i="3" s="1"/>
  <c r="BA64" i="3" l="1"/>
  <c r="BE64" i="3" l="1"/>
  <c r="BB64" i="3"/>
  <c r="BC64" i="3" s="1"/>
  <c r="BD64" i="3" s="1"/>
  <c r="AZ65" i="3" s="1"/>
  <c r="BA65" i="3" l="1"/>
  <c r="BE65" i="3" l="1"/>
  <c r="BB65" i="3"/>
  <c r="BC65" i="3" s="1"/>
  <c r="BD65" i="3" s="1"/>
  <c r="AZ66" i="3" s="1"/>
  <c r="BA66" i="3" l="1"/>
  <c r="BE66" i="3" l="1"/>
  <c r="BB66" i="3"/>
  <c r="BC66" i="3" s="1"/>
  <c r="BD66" i="3" s="1"/>
  <c r="AZ67" i="3" s="1"/>
  <c r="BA67" i="3" l="1"/>
  <c r="BE67" i="3" l="1"/>
  <c r="BB67" i="3"/>
  <c r="BC67" i="3" s="1"/>
  <c r="BD67" i="3" s="1"/>
  <c r="AZ68" i="3" s="1"/>
  <c r="BA68" i="3" l="1"/>
  <c r="BE68" i="3" l="1"/>
  <c r="BB68" i="3"/>
  <c r="BC68" i="3" s="1"/>
  <c r="BD68" i="3" s="1"/>
  <c r="AZ69" i="3" s="1"/>
  <c r="BA69" i="3" l="1"/>
  <c r="BE69" i="3" l="1"/>
  <c r="BB69" i="3"/>
  <c r="BC69" i="3" s="1"/>
  <c r="BD69" i="3" s="1"/>
  <c r="AZ70" i="3" s="1"/>
  <c r="BA70" i="3" l="1"/>
  <c r="BE70" i="3" l="1"/>
  <c r="BB70" i="3"/>
  <c r="BC70" i="3" s="1"/>
  <c r="BD70" i="3" s="1"/>
  <c r="AZ71" i="3" s="1"/>
  <c r="BA71" i="3" l="1"/>
  <c r="BE71" i="3" l="1"/>
  <c r="BB71" i="3"/>
  <c r="BC71" i="3" s="1"/>
  <c r="BD71" i="3" s="1"/>
  <c r="AZ72" i="3" s="1"/>
  <c r="BA72" i="3" l="1"/>
  <c r="BE72" i="3" l="1"/>
  <c r="BB72" i="3"/>
  <c r="BC72" i="3" s="1"/>
  <c r="BD72" i="3" s="1"/>
  <c r="AZ73" i="3" s="1"/>
  <c r="BA73" i="3" l="1"/>
  <c r="BE73" i="3" l="1"/>
  <c r="BB73" i="3"/>
  <c r="BC73" i="3" s="1"/>
  <c r="BD73" i="3" s="1"/>
  <c r="AZ74" i="3" s="1"/>
  <c r="BA74" i="3" l="1"/>
  <c r="BE74" i="3" l="1"/>
  <c r="BB74" i="3"/>
  <c r="BC74" i="3" s="1"/>
  <c r="BD74" i="3" s="1"/>
  <c r="AZ75" i="3" s="1"/>
  <c r="BA75" i="3" l="1"/>
  <c r="BE75" i="3" l="1"/>
  <c r="BB75" i="3"/>
  <c r="BC75" i="3" s="1"/>
  <c r="BD75" i="3" s="1"/>
  <c r="AZ76" i="3" s="1"/>
  <c r="BA76" i="3" l="1"/>
  <c r="BE76" i="3" l="1"/>
  <c r="BB76" i="3"/>
  <c r="BC76" i="3" s="1"/>
  <c r="BD76" i="3" s="1"/>
  <c r="AZ77" i="3" s="1"/>
  <c r="BA77" i="3" l="1"/>
  <c r="BE77" i="3" l="1"/>
  <c r="BB77" i="3"/>
  <c r="BC77" i="3" s="1"/>
  <c r="BD77" i="3" s="1"/>
  <c r="AZ78" i="3" s="1"/>
  <c r="BA78" i="3" l="1"/>
  <c r="BE78" i="3" l="1"/>
  <c r="BB78" i="3"/>
  <c r="BC78" i="3" s="1"/>
  <c r="BD78" i="3" s="1"/>
  <c r="AZ79" i="3" s="1"/>
  <c r="BA79" i="3" l="1"/>
  <c r="BE79" i="3" l="1"/>
  <c r="BB79" i="3"/>
  <c r="BC79" i="3" s="1"/>
  <c r="BD79" i="3" s="1"/>
  <c r="AZ80" i="3" s="1"/>
  <c r="BA80" i="3" l="1"/>
  <c r="BE80" i="3" l="1"/>
  <c r="BB80" i="3"/>
  <c r="BC80" i="3" s="1"/>
  <c r="BD80" i="3" s="1"/>
  <c r="AZ81" i="3" s="1"/>
  <c r="BA81" i="3" l="1"/>
  <c r="BE81" i="3" l="1"/>
  <c r="BB81" i="3"/>
  <c r="BC81" i="3" s="1"/>
  <c r="BD81" i="3" s="1"/>
  <c r="AZ82" i="3" s="1"/>
  <c r="BA82" i="3" l="1"/>
  <c r="BE82" i="3" l="1"/>
  <c r="BB82" i="3"/>
  <c r="BC82" i="3" s="1"/>
  <c r="BD82" i="3" s="1"/>
  <c r="AZ83" i="3" s="1"/>
  <c r="BA83" i="3" l="1"/>
  <c r="BE83" i="3" l="1"/>
  <c r="BB83" i="3"/>
  <c r="BC83" i="3" s="1"/>
  <c r="BD83" i="3" s="1"/>
  <c r="AZ84" i="3" s="1"/>
  <c r="BA84" i="3" l="1"/>
  <c r="BE84" i="3" l="1"/>
  <c r="BB84" i="3"/>
  <c r="BC84" i="3" s="1"/>
  <c r="BD84" i="3" s="1"/>
  <c r="AZ85" i="3" s="1"/>
  <c r="BA85" i="3" l="1"/>
  <c r="BE85" i="3" l="1"/>
  <c r="BB85" i="3"/>
  <c r="BC85" i="3" s="1"/>
  <c r="BD85" i="3" s="1"/>
  <c r="AZ86" i="3" s="1"/>
  <c r="BA86" i="3" l="1"/>
  <c r="BE86" i="3" l="1"/>
  <c r="BB86" i="3"/>
  <c r="BC86" i="3" s="1"/>
  <c r="BD86" i="3" s="1"/>
  <c r="AZ87" i="3" s="1"/>
  <c r="BA87" i="3" l="1"/>
  <c r="BE87" i="3" l="1"/>
  <c r="BB87" i="3"/>
  <c r="BC87" i="3" s="1"/>
  <c r="BD87" i="3" s="1"/>
  <c r="AZ88" i="3" s="1"/>
  <c r="BA88" i="3" l="1"/>
  <c r="BE88" i="3" l="1"/>
  <c r="BB88" i="3"/>
  <c r="BC88" i="3" s="1"/>
  <c r="BD88" i="3" s="1"/>
  <c r="AZ89" i="3" s="1"/>
  <c r="BA89" i="3" l="1"/>
  <c r="BE89" i="3" l="1"/>
  <c r="BB89" i="3"/>
  <c r="BC89" i="3" s="1"/>
  <c r="BD89" i="3" s="1"/>
  <c r="AZ90" i="3" s="1"/>
  <c r="BA90" i="3" l="1"/>
  <c r="BE90" i="3" l="1"/>
  <c r="BB90" i="3"/>
  <c r="BC90" i="3" s="1"/>
  <c r="BD90" i="3" s="1"/>
  <c r="AZ91" i="3" s="1"/>
  <c r="BA91" i="3" l="1"/>
  <c r="BE91" i="3" l="1"/>
  <c r="BB91" i="3"/>
  <c r="BC91" i="3" s="1"/>
  <c r="BD91" i="3" s="1"/>
  <c r="AZ92" i="3" s="1"/>
  <c r="BA92" i="3" l="1"/>
  <c r="BE92" i="3" l="1"/>
  <c r="BB92" i="3"/>
  <c r="BC92" i="3" s="1"/>
  <c r="BD92" i="3" s="1"/>
  <c r="AZ93" i="3" s="1"/>
  <c r="BA93" i="3" l="1"/>
  <c r="BE93" i="3" l="1"/>
  <c r="BB93" i="3"/>
  <c r="BC93" i="3" s="1"/>
  <c r="BD93" i="3" s="1"/>
  <c r="AZ94" i="3" s="1"/>
  <c r="BA94" i="3" l="1"/>
  <c r="BE94" i="3" l="1"/>
  <c r="BB94" i="3"/>
  <c r="BC94" i="3" s="1"/>
  <c r="BD94" i="3" s="1"/>
  <c r="AZ95" i="3" s="1"/>
  <c r="BA95" i="3" l="1"/>
  <c r="BB95" i="3" s="1"/>
  <c r="BC95" i="3" s="1"/>
  <c r="BD95" i="3" l="1"/>
  <c r="AZ96" i="3" s="1"/>
  <c r="BE95" i="3"/>
  <c r="BA96" i="3"/>
  <c r="BE96" i="3" l="1"/>
  <c r="BB96" i="3"/>
  <c r="BC96" i="3" s="1"/>
  <c r="BD96" i="3" s="1"/>
  <c r="AZ97" i="3" s="1"/>
  <c r="BA97" i="3" l="1"/>
  <c r="BE97" i="3" l="1"/>
  <c r="BB97" i="3"/>
  <c r="BC97" i="3" s="1"/>
  <c r="BD97" i="3" s="1"/>
  <c r="AZ98" i="3" s="1"/>
  <c r="BA98" i="3" l="1"/>
  <c r="BE98" i="3" l="1"/>
  <c r="BB98" i="3"/>
  <c r="BC98" i="3" s="1"/>
  <c r="BD98" i="3" s="1"/>
  <c r="AZ99" i="3" s="1"/>
  <c r="BA99" i="3" l="1"/>
  <c r="BE99" i="3" l="1"/>
  <c r="BB99" i="3"/>
  <c r="BC99" i="3" s="1"/>
  <c r="BD99" i="3" s="1"/>
  <c r="AZ100" i="3" s="1"/>
  <c r="BA100" i="3" l="1"/>
  <c r="BE100" i="3" l="1"/>
  <c r="BB100" i="3"/>
  <c r="BC100" i="3" s="1"/>
  <c r="BD100" i="3" s="1"/>
  <c r="AZ101" i="3" s="1"/>
  <c r="BA101" i="3" l="1"/>
  <c r="BE101" i="3" l="1"/>
  <c r="BB101" i="3"/>
  <c r="BC101" i="3" s="1"/>
  <c r="BD101" i="3" s="1"/>
  <c r="AZ102" i="3" s="1"/>
  <c r="BA102" i="3" l="1"/>
  <c r="BE102" i="3" l="1"/>
  <c r="BB102" i="3"/>
  <c r="BC102" i="3" s="1"/>
  <c r="BD102" i="3" s="1"/>
  <c r="AZ103" i="3" s="1"/>
  <c r="BA103" i="3" l="1"/>
  <c r="BE103" i="3" l="1"/>
  <c r="BB103" i="3"/>
  <c r="BC103" i="3" s="1"/>
  <c r="BD103" i="3" s="1"/>
  <c r="AZ104" i="3" s="1"/>
  <c r="BA104" i="3" l="1"/>
  <c r="BE104" i="3" l="1"/>
  <c r="BB104" i="3"/>
  <c r="BC104" i="3" s="1"/>
  <c r="BD104" i="3" s="1"/>
  <c r="AZ105" i="3" s="1"/>
  <c r="BA105" i="3" l="1"/>
  <c r="BE105" i="3" l="1"/>
  <c r="BB105" i="3"/>
  <c r="BC105" i="3" s="1"/>
  <c r="BD105" i="3" s="1"/>
  <c r="AZ106" i="3" s="1"/>
  <c r="BA106" i="3" l="1"/>
  <c r="BE106" i="3" l="1"/>
  <c r="BB106" i="3"/>
  <c r="BC106" i="3" s="1"/>
  <c r="BD106" i="3" s="1"/>
  <c r="AZ107" i="3" s="1"/>
  <c r="BA107" i="3" l="1"/>
  <c r="BE107" i="3" l="1"/>
  <c r="BB107" i="3"/>
  <c r="BC107" i="3" s="1"/>
  <c r="BD107" i="3" s="1"/>
  <c r="AZ108" i="3" s="1"/>
  <c r="BA108" i="3" l="1"/>
  <c r="BE108" i="3" l="1"/>
  <c r="BB108" i="3"/>
  <c r="BC108" i="3" s="1"/>
  <c r="BD108" i="3" s="1"/>
  <c r="AZ109" i="3" s="1"/>
  <c r="BA109" i="3" l="1"/>
  <c r="BE109" i="3" l="1"/>
  <c r="BB109" i="3"/>
  <c r="BC109" i="3" s="1"/>
  <c r="BD109" i="3" s="1"/>
  <c r="AZ110" i="3" s="1"/>
  <c r="BA110" i="3" l="1"/>
  <c r="BE110" i="3" l="1"/>
  <c r="BB110" i="3"/>
  <c r="BC110" i="3" s="1"/>
  <c r="BD110" i="3" s="1"/>
  <c r="AZ111" i="3" s="1"/>
  <c r="BA111" i="3" l="1"/>
  <c r="BE111" i="3" l="1"/>
  <c r="BB111" i="3"/>
  <c r="BC111" i="3" s="1"/>
  <c r="BD111" i="3" s="1"/>
  <c r="AZ112" i="3" s="1"/>
  <c r="BA112" i="3" l="1"/>
  <c r="BE112" i="3" l="1"/>
  <c r="BB112" i="3"/>
  <c r="BC112" i="3" s="1"/>
  <c r="BD112" i="3" s="1"/>
  <c r="AZ113" i="3" s="1"/>
  <c r="BA113" i="3" l="1"/>
  <c r="BE113" i="3" l="1"/>
  <c r="BB113" i="3"/>
  <c r="BC113" i="3" s="1"/>
  <c r="BD113" i="3" s="1"/>
  <c r="AZ114" i="3" s="1"/>
  <c r="BA114" i="3" l="1"/>
  <c r="BE114" i="3" l="1"/>
  <c r="BB114" i="3"/>
  <c r="BC114" i="3" s="1"/>
  <c r="BD114" i="3" s="1"/>
  <c r="AZ115" i="3" s="1"/>
  <c r="BA115" i="3" l="1"/>
  <c r="BE115" i="3" l="1"/>
  <c r="BB115" i="3"/>
  <c r="BC115" i="3" s="1"/>
  <c r="BD115" i="3" s="1"/>
  <c r="AZ116" i="3" s="1"/>
  <c r="BA116" i="3" l="1"/>
  <c r="BE116" i="3" l="1"/>
  <c r="BB116" i="3"/>
  <c r="BC116" i="3" s="1"/>
  <c r="BD116" i="3" s="1"/>
  <c r="AZ117" i="3" s="1"/>
  <c r="BA117" i="3" l="1"/>
  <c r="BE117" i="3" l="1"/>
  <c r="BB117" i="3"/>
  <c r="BC117" i="3" s="1"/>
  <c r="BD117" i="3" s="1"/>
  <c r="AZ118" i="3" s="1"/>
  <c r="BA118" i="3" l="1"/>
  <c r="BE118" i="3" l="1"/>
  <c r="BB118" i="3"/>
  <c r="BC118" i="3" s="1"/>
  <c r="BD118" i="3" s="1"/>
  <c r="AZ119" i="3" s="1"/>
  <c r="BA119" i="3" l="1"/>
  <c r="BE119" i="3" l="1"/>
  <c r="BB119" i="3"/>
  <c r="BC119" i="3" s="1"/>
  <c r="BD119" i="3" s="1"/>
  <c r="AZ120" i="3" s="1"/>
  <c r="BA120" i="3" l="1"/>
  <c r="BE120" i="3" l="1"/>
  <c r="BB120" i="3"/>
  <c r="BC120" i="3" s="1"/>
  <c r="BD120" i="3" s="1"/>
  <c r="AZ121" i="3" s="1"/>
  <c r="BA121" i="3" l="1"/>
  <c r="BE121" i="3" l="1"/>
  <c r="BB121" i="3"/>
  <c r="BC121" i="3" s="1"/>
  <c r="BD121" i="3" s="1"/>
  <c r="AZ122" i="3" s="1"/>
  <c r="BA122" i="3" l="1"/>
  <c r="BE122" i="3" l="1"/>
  <c r="BB122" i="3"/>
  <c r="BC122" i="3" s="1"/>
  <c r="BD122" i="3" s="1"/>
  <c r="AZ123" i="3" s="1"/>
  <c r="BA123" i="3" l="1"/>
  <c r="BE123" i="3" l="1"/>
  <c r="BB123" i="3"/>
  <c r="BC123" i="3" s="1"/>
  <c r="BD123" i="3" s="1"/>
  <c r="AZ124" i="3" s="1"/>
  <c r="BA124" i="3" l="1"/>
  <c r="BE124" i="3" l="1"/>
  <c r="BB124" i="3"/>
  <c r="BC124" i="3" s="1"/>
  <c r="BD124" i="3" s="1"/>
  <c r="AZ125" i="3" s="1"/>
  <c r="BA125" i="3" l="1"/>
  <c r="BE125" i="3" l="1"/>
  <c r="BB125" i="3"/>
  <c r="BC125" i="3" s="1"/>
  <c r="BD125" i="3" s="1"/>
  <c r="AZ126" i="3" s="1"/>
  <c r="BA126" i="3" l="1"/>
  <c r="BE126" i="3" l="1"/>
  <c r="BB126" i="3"/>
  <c r="BC126" i="3" s="1"/>
  <c r="BD126" i="3" s="1"/>
  <c r="AZ127" i="3" s="1"/>
  <c r="BA127" i="3" l="1"/>
  <c r="BE127" i="3" l="1"/>
  <c r="BB127" i="3"/>
  <c r="BC127" i="3" s="1"/>
  <c r="BD127" i="3" s="1"/>
  <c r="AZ128" i="3" s="1"/>
  <c r="BA128" i="3" l="1"/>
  <c r="BE128" i="3" l="1"/>
  <c r="BB128" i="3"/>
  <c r="BC128" i="3" s="1"/>
  <c r="BD128" i="3" s="1"/>
  <c r="AZ129" i="3" s="1"/>
  <c r="BA129" i="3" l="1"/>
  <c r="BE129" i="3" l="1"/>
  <c r="BB129" i="3"/>
  <c r="BC129" i="3" s="1"/>
  <c r="BD129" i="3" s="1"/>
  <c r="AZ130" i="3" s="1"/>
  <c r="BA130" i="3" l="1"/>
  <c r="BE130" i="3" l="1"/>
  <c r="BB130" i="3"/>
  <c r="BC130" i="3" s="1"/>
  <c r="BD130" i="3" s="1"/>
  <c r="AZ131" i="3" s="1"/>
  <c r="BA131" i="3" l="1"/>
  <c r="BE131" i="3" l="1"/>
  <c r="BB131" i="3"/>
  <c r="BC131" i="3" s="1"/>
  <c r="BD131" i="3" s="1"/>
  <c r="AZ132" i="3" s="1"/>
  <c r="BA132" i="3" l="1"/>
  <c r="BE132" i="3" l="1"/>
  <c r="BB132" i="3"/>
  <c r="BC132" i="3" s="1"/>
  <c r="BD132" i="3" s="1"/>
  <c r="AZ133" i="3" s="1"/>
  <c r="BA133" i="3" l="1"/>
  <c r="BE133" i="3" l="1"/>
  <c r="BB133" i="3"/>
  <c r="BC133" i="3" s="1"/>
  <c r="BD133" i="3" s="1"/>
  <c r="AZ134" i="3" s="1"/>
  <c r="BN34" i="3" s="1"/>
  <c r="BA134" i="3" l="1"/>
  <c r="BB134" i="3" s="1"/>
  <c r="BC134" i="3" s="1"/>
  <c r="BE134" i="3" l="1"/>
  <c r="N7" i="3" s="1"/>
  <c r="BD134" i="3"/>
  <c r="BS34" i="3" l="1"/>
  <c r="BR34" i="3"/>
  <c r="BN35" i="3" s="1"/>
  <c r="BO35" i="3" l="1"/>
  <c r="BP35" i="3" s="1"/>
  <c r="BQ35" i="3" s="1"/>
  <c r="BR35" i="3" l="1"/>
  <c r="BN36" i="3" s="1"/>
  <c r="BS35" i="3"/>
  <c r="BO36" i="3" l="1"/>
  <c r="BP36" i="3" s="1"/>
  <c r="BQ36" i="3" s="1"/>
  <c r="BR36" i="3" l="1"/>
  <c r="BN37" i="3" s="1"/>
  <c r="BS36" i="3"/>
  <c r="BO37" i="3" l="1"/>
  <c r="BP37" i="3" s="1"/>
  <c r="BQ37" i="3" s="1"/>
  <c r="BR37" i="3" s="1"/>
  <c r="BN38" i="3" s="1"/>
  <c r="BS37" i="3"/>
  <c r="BO38" i="3" l="1"/>
  <c r="BS38" i="3"/>
  <c r="BP38" i="3" l="1"/>
  <c r="BQ38" i="3" s="1"/>
  <c r="BR38" i="3" s="1"/>
  <c r="BN39" i="3" s="1"/>
  <c r="BO39" i="3" l="1"/>
  <c r="BS39" i="3" l="1"/>
  <c r="BP39" i="3"/>
  <c r="BQ39" i="3" s="1"/>
  <c r="BR39" i="3" s="1"/>
  <c r="BN40" i="3" s="1"/>
  <c r="BO40" i="3" l="1"/>
  <c r="BS40" i="3" l="1"/>
  <c r="BP40" i="3"/>
  <c r="BQ40" i="3" s="1"/>
  <c r="BR40" i="3" s="1"/>
  <c r="BN41" i="3" s="1"/>
  <c r="BO41" i="3" l="1"/>
  <c r="BS41" i="3" l="1"/>
  <c r="BP41" i="3"/>
  <c r="BQ41" i="3" s="1"/>
  <c r="BR41" i="3" s="1"/>
  <c r="BN42" i="3" s="1"/>
  <c r="BO42" i="3" l="1"/>
  <c r="BS42" i="3" l="1"/>
  <c r="BP42" i="3"/>
  <c r="BQ42" i="3" s="1"/>
  <c r="BR42" i="3" s="1"/>
  <c r="BN43" i="3" s="1"/>
  <c r="BO43" i="3" l="1"/>
  <c r="BP43" i="3" s="1"/>
  <c r="BQ43" i="3" s="1"/>
  <c r="BS43" i="3" l="1"/>
  <c r="BR43" i="3"/>
  <c r="BO44" i="3" l="1"/>
  <c r="BN44" i="3"/>
  <c r="BP44" i="3"/>
  <c r="BQ44" i="3" s="1"/>
  <c r="BS44" i="3" l="1"/>
  <c r="BR44" i="3"/>
  <c r="BN45" i="3" s="1"/>
  <c r="BO45" i="3" l="1"/>
  <c r="BS45" i="3" l="1"/>
  <c r="BP45" i="3"/>
  <c r="BQ45" i="3" s="1"/>
  <c r="BR45" i="3" s="1"/>
  <c r="BN46" i="3" s="1"/>
  <c r="BO46" i="3" l="1"/>
  <c r="BS46" i="3" l="1"/>
  <c r="BP46" i="3"/>
  <c r="BQ46" i="3" s="1"/>
  <c r="BR46" i="3" s="1"/>
  <c r="BN47" i="3" s="1"/>
  <c r="BO47" i="3" l="1"/>
  <c r="BS47" i="3" l="1"/>
  <c r="BP47" i="3"/>
  <c r="BQ47" i="3" s="1"/>
  <c r="BR47" i="3" s="1"/>
  <c r="BN48" i="3" s="1"/>
  <c r="BO48" i="3" l="1"/>
  <c r="BS48" i="3" l="1"/>
  <c r="BP48" i="3"/>
  <c r="BQ48" i="3" s="1"/>
  <c r="BR48" i="3" s="1"/>
  <c r="BN49" i="3" s="1"/>
  <c r="BO49" i="3" l="1"/>
  <c r="BS49" i="3" l="1"/>
  <c r="BP49" i="3"/>
  <c r="BQ49" i="3" s="1"/>
  <c r="BR49" i="3" s="1"/>
  <c r="BN50" i="3" s="1"/>
  <c r="BO50" i="3" l="1"/>
  <c r="BS50" i="3" l="1"/>
  <c r="BP50" i="3"/>
  <c r="BQ50" i="3" s="1"/>
  <c r="BR50" i="3" s="1"/>
  <c r="BN51" i="3" s="1"/>
  <c r="BO51" i="3" l="1"/>
  <c r="BS51" i="3" l="1"/>
  <c r="BP51" i="3"/>
  <c r="BQ51" i="3" s="1"/>
  <c r="BR51" i="3" s="1"/>
  <c r="BN52" i="3" s="1"/>
  <c r="BO52" i="3" l="1"/>
  <c r="BS52" i="3" l="1"/>
  <c r="BP52" i="3"/>
  <c r="BQ52" i="3" s="1"/>
  <c r="BR52" i="3" s="1"/>
  <c r="BN53" i="3" s="1"/>
  <c r="BO53" i="3" l="1"/>
  <c r="BS53" i="3" l="1"/>
  <c r="BP53" i="3"/>
  <c r="BQ53" i="3" s="1"/>
  <c r="BR53" i="3" s="1"/>
  <c r="BN54" i="3" s="1"/>
  <c r="BO54" i="3" l="1"/>
  <c r="BS54" i="3" l="1"/>
  <c r="BP54" i="3"/>
  <c r="BQ54" i="3" s="1"/>
  <c r="BR54" i="3" s="1"/>
  <c r="BN55" i="3" s="1"/>
  <c r="BO55" i="3" l="1"/>
  <c r="BS55" i="3" l="1"/>
  <c r="BP55" i="3"/>
  <c r="BQ55" i="3" s="1"/>
  <c r="BR55" i="3" s="1"/>
  <c r="BN56" i="3" s="1"/>
  <c r="BO56" i="3" l="1"/>
  <c r="BS56" i="3" l="1"/>
  <c r="BP56" i="3"/>
  <c r="BQ56" i="3" s="1"/>
  <c r="BR56" i="3" s="1"/>
  <c r="BN57" i="3" s="1"/>
  <c r="BO57" i="3" l="1"/>
  <c r="BS57" i="3" l="1"/>
  <c r="BP57" i="3"/>
  <c r="BQ57" i="3" s="1"/>
  <c r="BR57" i="3" s="1"/>
  <c r="BN58" i="3" s="1"/>
  <c r="BO58" i="3" l="1"/>
  <c r="BS58" i="3" l="1"/>
  <c r="BP58" i="3"/>
  <c r="BQ58" i="3" s="1"/>
  <c r="BR58" i="3" s="1"/>
  <c r="BN59" i="3" s="1"/>
  <c r="BO59" i="3" l="1"/>
  <c r="BS59" i="3" l="1"/>
  <c r="BP59" i="3"/>
  <c r="BQ59" i="3" s="1"/>
  <c r="BR59" i="3" s="1"/>
  <c r="BN60" i="3" s="1"/>
  <c r="BO60" i="3" l="1"/>
  <c r="BS60" i="3" l="1"/>
  <c r="BP60" i="3"/>
  <c r="BQ60" i="3" s="1"/>
  <c r="BR60" i="3" s="1"/>
  <c r="BN61" i="3" s="1"/>
  <c r="BO61" i="3" l="1"/>
  <c r="BS61" i="3" l="1"/>
  <c r="BP61" i="3"/>
  <c r="BQ61" i="3" s="1"/>
  <c r="BR61" i="3" s="1"/>
  <c r="BN62" i="3" s="1"/>
  <c r="BO62" i="3" l="1"/>
  <c r="BS62" i="3" l="1"/>
  <c r="BP62" i="3"/>
  <c r="BQ62" i="3" s="1"/>
  <c r="BR62" i="3" s="1"/>
  <c r="BN63" i="3" s="1"/>
  <c r="BO63" i="3" l="1"/>
  <c r="BS63" i="3" l="1"/>
  <c r="BP63" i="3"/>
  <c r="BQ63" i="3" s="1"/>
  <c r="BR63" i="3" s="1"/>
  <c r="BN64" i="3" s="1"/>
  <c r="BO64" i="3" l="1"/>
  <c r="BS64" i="3" l="1"/>
  <c r="BP64" i="3"/>
  <c r="BQ64" i="3" s="1"/>
  <c r="BR64" i="3" s="1"/>
  <c r="BN65" i="3" s="1"/>
  <c r="BO65" i="3" l="1"/>
  <c r="BS65" i="3" l="1"/>
  <c r="BP65" i="3"/>
  <c r="BQ65" i="3" s="1"/>
  <c r="BR65" i="3" s="1"/>
  <c r="BN66" i="3" s="1"/>
  <c r="BO66" i="3" l="1"/>
  <c r="BS66" i="3" l="1"/>
  <c r="BP66" i="3"/>
  <c r="BQ66" i="3" s="1"/>
  <c r="BR66" i="3" s="1"/>
  <c r="BN67" i="3" s="1"/>
  <c r="BO67" i="3" l="1"/>
  <c r="BS67" i="3" l="1"/>
  <c r="BP67" i="3"/>
  <c r="BQ67" i="3" s="1"/>
  <c r="BR67" i="3" s="1"/>
  <c r="BN68" i="3" s="1"/>
  <c r="BO68" i="3" l="1"/>
  <c r="BS68" i="3" l="1"/>
  <c r="BP68" i="3"/>
  <c r="BQ68" i="3" s="1"/>
  <c r="BR68" i="3" s="1"/>
  <c r="BN69" i="3" s="1"/>
  <c r="BO69" i="3" l="1"/>
  <c r="BS69" i="3" l="1"/>
  <c r="BP69" i="3"/>
  <c r="BQ69" i="3" s="1"/>
  <c r="BR69" i="3" s="1"/>
  <c r="BN70" i="3" s="1"/>
  <c r="BO70" i="3" l="1"/>
  <c r="BS70" i="3" l="1"/>
  <c r="BP70" i="3"/>
  <c r="BQ70" i="3" s="1"/>
  <c r="BR70" i="3" s="1"/>
  <c r="BN71" i="3" s="1"/>
  <c r="BO71" i="3" l="1"/>
  <c r="BS71" i="3" l="1"/>
  <c r="BP71" i="3"/>
  <c r="BQ71" i="3" s="1"/>
  <c r="BR71" i="3" s="1"/>
  <c r="BN72" i="3" s="1"/>
  <c r="BO72" i="3" l="1"/>
  <c r="BS72" i="3" l="1"/>
  <c r="BP72" i="3"/>
  <c r="BQ72" i="3" s="1"/>
  <c r="BR72" i="3" s="1"/>
  <c r="BN73" i="3" s="1"/>
  <c r="BO73" i="3" l="1"/>
  <c r="BS73" i="3" l="1"/>
  <c r="BP73" i="3"/>
  <c r="BQ73" i="3" s="1"/>
  <c r="BR73" i="3" s="1"/>
  <c r="BN74" i="3" s="1"/>
  <c r="BO74" i="3" l="1"/>
  <c r="BS74" i="3" l="1"/>
  <c r="BP74" i="3"/>
  <c r="BQ74" i="3" s="1"/>
  <c r="BR74" i="3" s="1"/>
  <c r="BN75" i="3" s="1"/>
  <c r="BO75" i="3" l="1"/>
  <c r="BS75" i="3" l="1"/>
  <c r="BP75" i="3"/>
  <c r="BQ75" i="3" s="1"/>
  <c r="BR75" i="3" s="1"/>
  <c r="BN76" i="3" s="1"/>
  <c r="BO76" i="3" l="1"/>
  <c r="BS76" i="3" l="1"/>
  <c r="BP76" i="3"/>
  <c r="BQ76" i="3" s="1"/>
  <c r="BR76" i="3" s="1"/>
  <c r="BN77" i="3" s="1"/>
  <c r="BO77" i="3" l="1"/>
  <c r="BS77" i="3" l="1"/>
  <c r="BP77" i="3"/>
  <c r="BQ77" i="3" s="1"/>
  <c r="BR77" i="3" s="1"/>
  <c r="BN78" i="3" s="1"/>
  <c r="BO78" i="3" l="1"/>
  <c r="BS78" i="3" l="1"/>
  <c r="BP78" i="3"/>
  <c r="BQ78" i="3" s="1"/>
  <c r="BR78" i="3" s="1"/>
  <c r="BN79" i="3" s="1"/>
  <c r="BO79" i="3" l="1"/>
  <c r="BS79" i="3" l="1"/>
  <c r="BP79" i="3"/>
  <c r="BQ79" i="3" s="1"/>
  <c r="BR79" i="3" s="1"/>
  <c r="BN80" i="3" s="1"/>
  <c r="BO80" i="3" l="1"/>
  <c r="BS80" i="3" l="1"/>
  <c r="BP80" i="3"/>
  <c r="BQ80" i="3" s="1"/>
  <c r="BR80" i="3" s="1"/>
  <c r="BN81" i="3" s="1"/>
  <c r="BO81" i="3" l="1"/>
  <c r="BS81" i="3" l="1"/>
  <c r="BP81" i="3"/>
  <c r="BQ81" i="3" s="1"/>
  <c r="BR81" i="3" s="1"/>
  <c r="BN82" i="3" s="1"/>
  <c r="BO82" i="3" l="1"/>
  <c r="BS82" i="3" l="1"/>
  <c r="BP82" i="3"/>
  <c r="BQ82" i="3" s="1"/>
  <c r="BR82" i="3" s="1"/>
  <c r="BN83" i="3" s="1"/>
  <c r="BO83" i="3" l="1"/>
  <c r="BS83" i="3" l="1"/>
  <c r="BP83" i="3"/>
  <c r="BQ83" i="3" s="1"/>
  <c r="BR83" i="3" s="1"/>
  <c r="BN84" i="3" s="1"/>
  <c r="BO84" i="3" l="1"/>
  <c r="BS84" i="3" l="1"/>
  <c r="BP84" i="3"/>
  <c r="BQ84" i="3" s="1"/>
  <c r="BR84" i="3" s="1"/>
  <c r="BN85" i="3" s="1"/>
  <c r="BO85" i="3" l="1"/>
  <c r="BS85" i="3" l="1"/>
  <c r="BP85" i="3"/>
  <c r="BQ85" i="3" s="1"/>
  <c r="BR85" i="3" s="1"/>
  <c r="BN86" i="3" s="1"/>
  <c r="BO86" i="3" l="1"/>
  <c r="BS86" i="3" l="1"/>
  <c r="BP86" i="3"/>
  <c r="BQ86" i="3" s="1"/>
  <c r="BR86" i="3" s="1"/>
  <c r="BN87" i="3" s="1"/>
  <c r="BO87" i="3" l="1"/>
  <c r="BS87" i="3" l="1"/>
  <c r="BP87" i="3"/>
  <c r="BQ87" i="3" s="1"/>
  <c r="BR87" i="3" s="1"/>
  <c r="BN88" i="3" s="1"/>
  <c r="BO88" i="3" l="1"/>
  <c r="BS88" i="3" l="1"/>
  <c r="BP88" i="3"/>
  <c r="BQ88" i="3" s="1"/>
  <c r="BR88" i="3" s="1"/>
  <c r="BN89" i="3" s="1"/>
  <c r="BO89" i="3" l="1"/>
  <c r="BS89" i="3" l="1"/>
  <c r="BP89" i="3"/>
  <c r="BQ89" i="3" s="1"/>
  <c r="BR89" i="3" s="1"/>
  <c r="BN90" i="3" s="1"/>
  <c r="BO90" i="3" l="1"/>
  <c r="BS90" i="3" l="1"/>
  <c r="BP90" i="3"/>
  <c r="BQ90" i="3" s="1"/>
  <c r="BR90" i="3" s="1"/>
  <c r="BN91" i="3" s="1"/>
  <c r="BO91" i="3" l="1"/>
  <c r="BS91" i="3" l="1"/>
  <c r="BP91" i="3"/>
  <c r="BQ91" i="3" s="1"/>
  <c r="BR91" i="3" s="1"/>
  <c r="BN92" i="3" s="1"/>
  <c r="BO92" i="3" l="1"/>
  <c r="BS92" i="3" l="1"/>
  <c r="BP92" i="3"/>
  <c r="BQ92" i="3" s="1"/>
  <c r="BR92" i="3" s="1"/>
  <c r="BN93" i="3" s="1"/>
  <c r="BO93" i="3" l="1"/>
  <c r="BS93" i="3" l="1"/>
  <c r="BP93" i="3"/>
  <c r="BQ93" i="3" s="1"/>
  <c r="BR93" i="3" s="1"/>
  <c r="BN94" i="3" s="1"/>
  <c r="BO94" i="3" l="1"/>
  <c r="BS94" i="3" l="1"/>
  <c r="BP94" i="3"/>
  <c r="BQ94" i="3" s="1"/>
  <c r="BR94" i="3" s="1"/>
  <c r="BN95" i="3" s="1"/>
  <c r="BO95" i="3" l="1"/>
  <c r="BP95" i="3" s="1"/>
  <c r="BQ95" i="3" s="1"/>
  <c r="BR95" i="3" l="1"/>
  <c r="BN96" i="3" s="1"/>
  <c r="BS95" i="3"/>
  <c r="BS96" i="3" l="1"/>
  <c r="BO96" i="3"/>
  <c r="BP96" i="3" l="1"/>
  <c r="BQ96" i="3" s="1"/>
  <c r="BR96" i="3" s="1"/>
  <c r="BN97" i="3" s="1"/>
  <c r="BO97" i="3" l="1"/>
  <c r="BS97" i="3" l="1"/>
  <c r="BP97" i="3"/>
  <c r="BQ97" i="3" s="1"/>
  <c r="BR97" i="3" s="1"/>
  <c r="BN98" i="3" s="1"/>
  <c r="BO98" i="3" l="1"/>
  <c r="BS98" i="3" l="1"/>
  <c r="BP98" i="3"/>
  <c r="BQ98" i="3" s="1"/>
  <c r="BR98" i="3" s="1"/>
  <c r="BN99" i="3" s="1"/>
  <c r="BO99" i="3" l="1"/>
  <c r="BS99" i="3" l="1"/>
  <c r="BP99" i="3"/>
  <c r="BQ99" i="3" s="1"/>
  <c r="BR99" i="3" s="1"/>
  <c r="BN100" i="3" s="1"/>
  <c r="BO100" i="3" l="1"/>
  <c r="BS100" i="3" l="1"/>
  <c r="BP100" i="3"/>
  <c r="BQ100" i="3" s="1"/>
  <c r="BR100" i="3" s="1"/>
  <c r="BN101" i="3" s="1"/>
  <c r="BO101" i="3" l="1"/>
  <c r="BS101" i="3" l="1"/>
  <c r="BP101" i="3"/>
  <c r="BQ101" i="3" s="1"/>
  <c r="BR101" i="3" s="1"/>
  <c r="BN102" i="3" s="1"/>
  <c r="BO102" i="3" l="1"/>
  <c r="BS102" i="3" l="1"/>
  <c r="BP102" i="3"/>
  <c r="BQ102" i="3" s="1"/>
  <c r="BR102" i="3" s="1"/>
  <c r="BN103" i="3" s="1"/>
  <c r="BO103" i="3" l="1"/>
  <c r="BS103" i="3" l="1"/>
  <c r="BP103" i="3"/>
  <c r="BQ103" i="3" s="1"/>
  <c r="BR103" i="3" s="1"/>
  <c r="BN104" i="3" s="1"/>
  <c r="BO104" i="3" l="1"/>
  <c r="BS104" i="3" l="1"/>
  <c r="BP104" i="3"/>
  <c r="BQ104" i="3" s="1"/>
  <c r="BR104" i="3" s="1"/>
  <c r="BN105" i="3" s="1"/>
  <c r="BO105" i="3" l="1"/>
  <c r="BS105" i="3" l="1"/>
  <c r="BP105" i="3"/>
  <c r="BQ105" i="3" s="1"/>
  <c r="BR105" i="3" s="1"/>
  <c r="BN106" i="3" s="1"/>
  <c r="BO106" i="3" l="1"/>
  <c r="BS106" i="3" l="1"/>
  <c r="BP106" i="3"/>
  <c r="BQ106" i="3" s="1"/>
  <c r="BR106" i="3" s="1"/>
  <c r="BN107" i="3" s="1"/>
  <c r="BO107" i="3" l="1"/>
  <c r="BS107" i="3" l="1"/>
  <c r="BP107" i="3"/>
  <c r="BQ107" i="3" s="1"/>
  <c r="BR107" i="3" s="1"/>
  <c r="BN108" i="3" s="1"/>
  <c r="BO108" i="3" l="1"/>
  <c r="BS108" i="3" l="1"/>
  <c r="BP108" i="3"/>
  <c r="BQ108" i="3" s="1"/>
  <c r="BR108" i="3" s="1"/>
  <c r="BN109" i="3" s="1"/>
  <c r="BO109" i="3" l="1"/>
  <c r="BS109" i="3" l="1"/>
  <c r="BP109" i="3"/>
  <c r="BQ109" i="3" s="1"/>
  <c r="BR109" i="3" s="1"/>
  <c r="BN110" i="3" s="1"/>
  <c r="BO110" i="3" l="1"/>
  <c r="BS110" i="3" l="1"/>
  <c r="BP110" i="3"/>
  <c r="BQ110" i="3" s="1"/>
  <c r="BR110" i="3" s="1"/>
  <c r="BN111" i="3" s="1"/>
  <c r="BO111" i="3" l="1"/>
  <c r="BS111" i="3" l="1"/>
  <c r="BP111" i="3"/>
  <c r="BQ111" i="3" s="1"/>
  <c r="BR111" i="3" s="1"/>
  <c r="BN112" i="3" s="1"/>
  <c r="BO112" i="3" l="1"/>
  <c r="BS112" i="3" l="1"/>
  <c r="BP112" i="3"/>
  <c r="BQ112" i="3" s="1"/>
  <c r="BR112" i="3" s="1"/>
  <c r="BN113" i="3" s="1"/>
  <c r="BO113" i="3" l="1"/>
  <c r="BS113" i="3" l="1"/>
  <c r="BP113" i="3"/>
  <c r="BQ113" i="3" s="1"/>
  <c r="BR113" i="3" s="1"/>
  <c r="BN114" i="3" s="1"/>
  <c r="BO114" i="3" l="1"/>
  <c r="BS114" i="3" l="1"/>
  <c r="BP114" i="3"/>
  <c r="BQ114" i="3" s="1"/>
  <c r="BR114" i="3" s="1"/>
  <c r="BN115" i="3" s="1"/>
  <c r="BO115" i="3" l="1"/>
  <c r="BS115" i="3" l="1"/>
  <c r="BP115" i="3"/>
  <c r="BQ115" i="3" s="1"/>
  <c r="BR115" i="3" s="1"/>
  <c r="BN116" i="3" s="1"/>
  <c r="BO116" i="3" l="1"/>
  <c r="BS116" i="3" l="1"/>
  <c r="BP116" i="3"/>
  <c r="BQ116" i="3" s="1"/>
  <c r="BR116" i="3" s="1"/>
  <c r="BN117" i="3" s="1"/>
  <c r="BO117" i="3" l="1"/>
  <c r="BS117" i="3" l="1"/>
  <c r="BP117" i="3"/>
  <c r="BQ117" i="3" s="1"/>
  <c r="BR117" i="3" s="1"/>
  <c r="BN118" i="3" s="1"/>
  <c r="BO118" i="3" l="1"/>
  <c r="BS118" i="3" l="1"/>
  <c r="BP118" i="3"/>
  <c r="BQ118" i="3" s="1"/>
  <c r="BR118" i="3" s="1"/>
  <c r="BN119" i="3" s="1"/>
  <c r="BO119" i="3" l="1"/>
  <c r="BS119" i="3" l="1"/>
  <c r="BP119" i="3"/>
  <c r="BQ119" i="3" s="1"/>
  <c r="BR119" i="3" s="1"/>
  <c r="BN120" i="3" s="1"/>
  <c r="BO120" i="3" l="1"/>
  <c r="BS120" i="3" l="1"/>
  <c r="BP120" i="3"/>
  <c r="BQ120" i="3" s="1"/>
  <c r="BR120" i="3" s="1"/>
  <c r="BN121" i="3" s="1"/>
  <c r="BO121" i="3" l="1"/>
  <c r="BS121" i="3" l="1"/>
  <c r="BP121" i="3"/>
  <c r="BQ121" i="3" s="1"/>
  <c r="BR121" i="3" s="1"/>
  <c r="BN122" i="3" s="1"/>
  <c r="BO122" i="3" l="1"/>
  <c r="BS122" i="3" l="1"/>
  <c r="BP122" i="3"/>
  <c r="BQ122" i="3" s="1"/>
  <c r="BR122" i="3" s="1"/>
  <c r="BN123" i="3" s="1"/>
  <c r="BO123" i="3" l="1"/>
  <c r="BS123" i="3" l="1"/>
  <c r="BP123" i="3"/>
  <c r="BQ123" i="3" s="1"/>
  <c r="BR123" i="3" s="1"/>
  <c r="BN124" i="3" s="1"/>
  <c r="BO124" i="3" l="1"/>
  <c r="BS124" i="3" l="1"/>
  <c r="BP124" i="3"/>
  <c r="BQ124" i="3" s="1"/>
  <c r="BR124" i="3" s="1"/>
  <c r="BN125" i="3" s="1"/>
  <c r="BO125" i="3" l="1"/>
  <c r="BS125" i="3" l="1"/>
  <c r="BP125" i="3"/>
  <c r="BQ125" i="3" s="1"/>
  <c r="BR125" i="3" s="1"/>
  <c r="BN126" i="3" s="1"/>
  <c r="BO126" i="3" l="1"/>
  <c r="BS126" i="3" l="1"/>
  <c r="BP126" i="3"/>
  <c r="BQ126" i="3" s="1"/>
  <c r="BR126" i="3" s="1"/>
  <c r="BN127" i="3" s="1"/>
  <c r="BO127" i="3" l="1"/>
  <c r="BS127" i="3" l="1"/>
  <c r="BP127" i="3"/>
  <c r="BQ127" i="3" s="1"/>
  <c r="BR127" i="3" s="1"/>
  <c r="BN128" i="3" s="1"/>
  <c r="BO128" i="3" l="1"/>
  <c r="BS128" i="3" l="1"/>
  <c r="BP128" i="3"/>
  <c r="BQ128" i="3" s="1"/>
  <c r="BR128" i="3" s="1"/>
  <c r="BN129" i="3" s="1"/>
  <c r="BO129" i="3" l="1"/>
  <c r="BS129" i="3" l="1"/>
  <c r="BP129" i="3"/>
  <c r="BQ129" i="3" s="1"/>
  <c r="BR129" i="3" s="1"/>
  <c r="BN130" i="3" s="1"/>
  <c r="BO130" i="3" l="1"/>
  <c r="BS130" i="3" l="1"/>
  <c r="BP130" i="3"/>
  <c r="BQ130" i="3" s="1"/>
  <c r="BR130" i="3" s="1"/>
  <c r="BN131" i="3" s="1"/>
  <c r="BO131" i="3" l="1"/>
  <c r="BS131" i="3" l="1"/>
  <c r="BP131" i="3"/>
  <c r="BQ131" i="3" s="1"/>
  <c r="BR131" i="3" s="1"/>
  <c r="BN132" i="3" s="1"/>
  <c r="BO132" i="3" l="1"/>
  <c r="BS132" i="3" l="1"/>
  <c r="BP132" i="3"/>
  <c r="BQ132" i="3" s="1"/>
  <c r="BR132" i="3" s="1"/>
  <c r="BN133" i="3" s="1"/>
  <c r="BO133" i="3" l="1"/>
  <c r="BS133" i="3" l="1"/>
  <c r="BP133" i="3"/>
  <c r="BQ133" i="3" s="1"/>
  <c r="BR133" i="3" s="1"/>
  <c r="BN134" i="3" s="1"/>
  <c r="CB34" i="3" s="1"/>
  <c r="BO134" i="3" l="1"/>
  <c r="BP134" i="3" s="1"/>
  <c r="BQ134" i="3" s="1"/>
  <c r="BS134" i="3" l="1"/>
  <c r="N8" i="3" s="1"/>
  <c r="BR134" i="3"/>
  <c r="CG34" i="3" l="1"/>
  <c r="CF34" i="3"/>
  <c r="CB35" i="3" s="1"/>
  <c r="CC35" i="3" l="1"/>
  <c r="CD35" i="3" s="1"/>
  <c r="CE35" i="3" s="1"/>
  <c r="CF35" i="3" l="1"/>
  <c r="CG35" i="3"/>
  <c r="CC36" i="3" l="1"/>
  <c r="CB36" i="3"/>
  <c r="CG36" i="3" s="1"/>
  <c r="CD36" i="3"/>
  <c r="CE36" i="3" l="1"/>
  <c r="CF36" i="3" s="1"/>
  <c r="CB37" i="3" s="1"/>
  <c r="CC37" i="3" l="1"/>
  <c r="CD37" i="3" s="1"/>
  <c r="CE37" i="3" s="1"/>
  <c r="CF37" i="3" s="1"/>
  <c r="CB38" i="3" s="1"/>
  <c r="CG37" i="3"/>
  <c r="CC38" i="3" l="1"/>
  <c r="CG38" i="3" l="1"/>
  <c r="CD38" i="3"/>
  <c r="CE38" i="3" s="1"/>
  <c r="CF38" i="3" s="1"/>
  <c r="CB39" i="3" s="1"/>
  <c r="CC39" i="3" l="1"/>
  <c r="CG39" i="3" l="1"/>
  <c r="CD39" i="3"/>
  <c r="CE39" i="3" s="1"/>
  <c r="CF39" i="3" s="1"/>
  <c r="CB40" i="3" s="1"/>
  <c r="CC40" i="3" l="1"/>
  <c r="CG40" i="3" l="1"/>
  <c r="CD40" i="3"/>
  <c r="CE40" i="3" s="1"/>
  <c r="CF40" i="3" s="1"/>
  <c r="CB41" i="3" s="1"/>
  <c r="CC41" i="3" l="1"/>
  <c r="CG41" i="3" l="1"/>
  <c r="CD41" i="3"/>
  <c r="CE41" i="3" s="1"/>
  <c r="CF41" i="3" s="1"/>
  <c r="CB42" i="3" s="1"/>
  <c r="CC42" i="3" l="1"/>
  <c r="CG42" i="3" l="1"/>
  <c r="CD42" i="3"/>
  <c r="CE42" i="3" s="1"/>
  <c r="CF42" i="3" s="1"/>
  <c r="CB43" i="3" s="1"/>
  <c r="CC43" i="3" l="1"/>
  <c r="CG43" i="3" l="1"/>
  <c r="CD43" i="3"/>
  <c r="CE43" i="3" s="1"/>
  <c r="CF43" i="3" s="1"/>
  <c r="CB44" i="3" s="1"/>
  <c r="CC44" i="3" l="1"/>
  <c r="CG44" i="3" l="1"/>
  <c r="CD44" i="3"/>
  <c r="CE44" i="3" s="1"/>
  <c r="CF44" i="3" s="1"/>
  <c r="CB45" i="3" s="1"/>
  <c r="CC45" i="3" l="1"/>
  <c r="CG45" i="3" l="1"/>
  <c r="CD45" i="3"/>
  <c r="CE45" i="3" s="1"/>
  <c r="CF45" i="3" s="1"/>
  <c r="CB46" i="3" s="1"/>
  <c r="CC46" i="3" l="1"/>
  <c r="CG46" i="3" l="1"/>
  <c r="CD46" i="3"/>
  <c r="CE46" i="3" s="1"/>
  <c r="CF46" i="3" s="1"/>
  <c r="CB47" i="3" s="1"/>
  <c r="CC47" i="3" l="1"/>
  <c r="CG47" i="3" l="1"/>
  <c r="CD47" i="3"/>
  <c r="CE47" i="3" s="1"/>
  <c r="CF47" i="3" s="1"/>
  <c r="CB48" i="3" s="1"/>
  <c r="CC48" i="3" l="1"/>
  <c r="CG48" i="3" l="1"/>
  <c r="CD48" i="3"/>
  <c r="CE48" i="3" s="1"/>
  <c r="CF48" i="3" s="1"/>
  <c r="CB49" i="3" s="1"/>
  <c r="CC49" i="3" l="1"/>
  <c r="CG49" i="3" l="1"/>
  <c r="CD49" i="3"/>
  <c r="CE49" i="3" s="1"/>
  <c r="CF49" i="3" s="1"/>
  <c r="CB50" i="3" s="1"/>
  <c r="CC50" i="3" l="1"/>
  <c r="CG50" i="3" l="1"/>
  <c r="CD50" i="3"/>
  <c r="CE50" i="3" s="1"/>
  <c r="CF50" i="3" s="1"/>
  <c r="CB51" i="3" s="1"/>
  <c r="CC51" i="3" l="1"/>
  <c r="CG51" i="3" l="1"/>
  <c r="CD51" i="3"/>
  <c r="CE51" i="3" s="1"/>
  <c r="CF51" i="3" s="1"/>
  <c r="CB52" i="3" s="1"/>
  <c r="CC52" i="3" l="1"/>
  <c r="CG52" i="3" l="1"/>
  <c r="CD52" i="3"/>
  <c r="CE52" i="3" s="1"/>
  <c r="CF52" i="3" s="1"/>
  <c r="CB53" i="3" s="1"/>
  <c r="CC53" i="3" l="1"/>
  <c r="CG53" i="3" l="1"/>
  <c r="CD53" i="3"/>
  <c r="CE53" i="3" s="1"/>
  <c r="CF53" i="3" s="1"/>
  <c r="CB54" i="3" s="1"/>
  <c r="CC54" i="3" l="1"/>
  <c r="CG54" i="3" l="1"/>
  <c r="CD54" i="3"/>
  <c r="CE54" i="3" s="1"/>
  <c r="CF54" i="3" s="1"/>
  <c r="CB55" i="3" s="1"/>
  <c r="CC55" i="3" l="1"/>
  <c r="CG55" i="3" l="1"/>
  <c r="CD55" i="3"/>
  <c r="CE55" i="3" s="1"/>
  <c r="CF55" i="3" s="1"/>
  <c r="CB56" i="3" s="1"/>
  <c r="CC56" i="3" l="1"/>
  <c r="CG56" i="3" l="1"/>
  <c r="CD56" i="3"/>
  <c r="CE56" i="3" s="1"/>
  <c r="CF56" i="3" s="1"/>
  <c r="CB57" i="3" s="1"/>
  <c r="CC57" i="3" l="1"/>
  <c r="CG57" i="3" l="1"/>
  <c r="CD57" i="3"/>
  <c r="CE57" i="3" s="1"/>
  <c r="CF57" i="3" s="1"/>
  <c r="CB58" i="3" s="1"/>
  <c r="CC58" i="3" l="1"/>
  <c r="CG58" i="3" l="1"/>
  <c r="CD58" i="3"/>
  <c r="CE58" i="3" s="1"/>
  <c r="CF58" i="3" s="1"/>
  <c r="CB59" i="3" s="1"/>
  <c r="CC59" i="3" l="1"/>
  <c r="CG59" i="3" l="1"/>
  <c r="CD59" i="3"/>
  <c r="CE59" i="3" s="1"/>
  <c r="CF59" i="3" s="1"/>
  <c r="CB60" i="3" s="1"/>
  <c r="CC60" i="3" l="1"/>
  <c r="CG60" i="3" l="1"/>
  <c r="CD60" i="3"/>
  <c r="CE60" i="3" s="1"/>
  <c r="CF60" i="3" s="1"/>
  <c r="CB61" i="3" s="1"/>
  <c r="CC61" i="3" l="1"/>
  <c r="CG61" i="3" l="1"/>
  <c r="CD61" i="3"/>
  <c r="CE61" i="3" s="1"/>
  <c r="CF61" i="3" s="1"/>
  <c r="CB62" i="3" s="1"/>
  <c r="CC62" i="3" l="1"/>
  <c r="CG62" i="3" l="1"/>
  <c r="CD62" i="3"/>
  <c r="CE62" i="3" s="1"/>
  <c r="CF62" i="3" s="1"/>
  <c r="CB63" i="3" s="1"/>
  <c r="CC63" i="3" l="1"/>
  <c r="CG63" i="3" l="1"/>
  <c r="CD63" i="3"/>
  <c r="CE63" i="3" s="1"/>
  <c r="CF63" i="3" s="1"/>
  <c r="CB64" i="3" s="1"/>
  <c r="CC64" i="3" l="1"/>
  <c r="CG64" i="3" l="1"/>
  <c r="CD64" i="3"/>
  <c r="CE64" i="3" s="1"/>
  <c r="CF64" i="3" s="1"/>
  <c r="CB65" i="3" s="1"/>
  <c r="CC65" i="3" l="1"/>
  <c r="CG65" i="3" l="1"/>
  <c r="CD65" i="3"/>
  <c r="CE65" i="3" s="1"/>
  <c r="CF65" i="3" s="1"/>
  <c r="CB66" i="3" s="1"/>
  <c r="CC66" i="3" l="1"/>
  <c r="CG66" i="3" l="1"/>
  <c r="CD66" i="3"/>
  <c r="CE66" i="3" s="1"/>
  <c r="CF66" i="3" s="1"/>
  <c r="CB67" i="3" s="1"/>
  <c r="CC67" i="3" l="1"/>
  <c r="CG67" i="3" l="1"/>
  <c r="CD67" i="3"/>
  <c r="CE67" i="3" s="1"/>
  <c r="CF67" i="3" s="1"/>
  <c r="CB68" i="3" s="1"/>
  <c r="CC68" i="3" l="1"/>
  <c r="CG68" i="3" l="1"/>
  <c r="CD68" i="3"/>
  <c r="CE68" i="3" s="1"/>
  <c r="CF68" i="3" s="1"/>
  <c r="CB69" i="3" s="1"/>
  <c r="CC69" i="3" l="1"/>
  <c r="CG69" i="3" l="1"/>
  <c r="CD69" i="3"/>
  <c r="CE69" i="3" s="1"/>
  <c r="CF69" i="3" s="1"/>
  <c r="CB70" i="3" s="1"/>
  <c r="CC70" i="3" l="1"/>
  <c r="CG70" i="3" l="1"/>
  <c r="CD70" i="3"/>
  <c r="CE70" i="3" s="1"/>
  <c r="CF70" i="3" s="1"/>
  <c r="CB71" i="3" s="1"/>
  <c r="CC71" i="3" l="1"/>
  <c r="CG71" i="3" l="1"/>
  <c r="CD71" i="3"/>
  <c r="CE71" i="3" s="1"/>
  <c r="CF71" i="3" s="1"/>
  <c r="CB72" i="3" s="1"/>
  <c r="CC72" i="3" l="1"/>
  <c r="CG72" i="3" l="1"/>
  <c r="CD72" i="3"/>
  <c r="CE72" i="3" s="1"/>
  <c r="CF72" i="3" s="1"/>
  <c r="CB73" i="3" s="1"/>
  <c r="CC73" i="3" l="1"/>
  <c r="CG73" i="3" l="1"/>
  <c r="CD73" i="3"/>
  <c r="CE73" i="3" s="1"/>
  <c r="CF73" i="3" s="1"/>
  <c r="CB74" i="3" s="1"/>
  <c r="CC74" i="3" l="1"/>
  <c r="CG74" i="3" l="1"/>
  <c r="CD74" i="3"/>
  <c r="CE74" i="3" s="1"/>
  <c r="CF74" i="3" s="1"/>
  <c r="CB75" i="3" s="1"/>
  <c r="CC75" i="3" l="1"/>
  <c r="CG75" i="3" l="1"/>
  <c r="CD75" i="3"/>
  <c r="CE75" i="3" s="1"/>
  <c r="CF75" i="3" s="1"/>
  <c r="CB76" i="3" s="1"/>
  <c r="CC76" i="3" l="1"/>
  <c r="CG76" i="3" l="1"/>
  <c r="CD76" i="3"/>
  <c r="CE76" i="3" s="1"/>
  <c r="CF76" i="3" s="1"/>
  <c r="CB77" i="3" s="1"/>
  <c r="CC77" i="3" l="1"/>
  <c r="CG77" i="3" l="1"/>
  <c r="CD77" i="3"/>
  <c r="CE77" i="3" s="1"/>
  <c r="CF77" i="3" s="1"/>
  <c r="CB78" i="3" s="1"/>
  <c r="CC78" i="3" l="1"/>
  <c r="CG78" i="3" l="1"/>
  <c r="CD78" i="3"/>
  <c r="CE78" i="3" s="1"/>
  <c r="CF78" i="3" s="1"/>
  <c r="CB79" i="3" s="1"/>
  <c r="CC79" i="3" l="1"/>
  <c r="CG79" i="3" l="1"/>
  <c r="CD79" i="3"/>
  <c r="CE79" i="3" s="1"/>
  <c r="CF79" i="3" s="1"/>
  <c r="CB80" i="3" s="1"/>
  <c r="CC80" i="3" l="1"/>
  <c r="CG80" i="3" l="1"/>
  <c r="CD80" i="3"/>
  <c r="CE80" i="3" s="1"/>
  <c r="CF80" i="3" s="1"/>
  <c r="CB81" i="3" s="1"/>
  <c r="CC81" i="3" l="1"/>
  <c r="CG81" i="3" l="1"/>
  <c r="CD81" i="3"/>
  <c r="CE81" i="3" s="1"/>
  <c r="CF81" i="3" s="1"/>
  <c r="CB82" i="3" s="1"/>
  <c r="CC82" i="3" l="1"/>
  <c r="CG82" i="3" l="1"/>
  <c r="CD82" i="3"/>
  <c r="CE82" i="3" s="1"/>
  <c r="CF82" i="3" s="1"/>
  <c r="CB83" i="3" s="1"/>
  <c r="CC83" i="3" l="1"/>
  <c r="CG83" i="3" l="1"/>
  <c r="CD83" i="3"/>
  <c r="CE83" i="3" s="1"/>
  <c r="CF83" i="3" s="1"/>
  <c r="CB84" i="3" s="1"/>
  <c r="CC84" i="3" l="1"/>
  <c r="CG84" i="3" l="1"/>
  <c r="CD84" i="3"/>
  <c r="CE84" i="3" s="1"/>
  <c r="CF84" i="3" s="1"/>
  <c r="CB85" i="3" s="1"/>
  <c r="CC85" i="3" l="1"/>
  <c r="CG85" i="3" l="1"/>
  <c r="CD85" i="3"/>
  <c r="CE85" i="3" s="1"/>
  <c r="CF85" i="3" s="1"/>
  <c r="CB86" i="3" s="1"/>
  <c r="CC86" i="3" l="1"/>
  <c r="CG86" i="3" l="1"/>
  <c r="CD86" i="3"/>
  <c r="CE86" i="3" s="1"/>
  <c r="CF86" i="3" s="1"/>
  <c r="CB87" i="3" s="1"/>
  <c r="CC87" i="3" l="1"/>
  <c r="CG87" i="3" l="1"/>
  <c r="CD87" i="3"/>
  <c r="CE87" i="3" s="1"/>
  <c r="CF87" i="3" s="1"/>
  <c r="CB88" i="3" s="1"/>
  <c r="CC88" i="3" l="1"/>
  <c r="CG88" i="3" l="1"/>
  <c r="CD88" i="3"/>
  <c r="CE88" i="3" s="1"/>
  <c r="CF88" i="3" s="1"/>
  <c r="CB89" i="3" s="1"/>
  <c r="CC89" i="3" l="1"/>
  <c r="CG89" i="3" l="1"/>
  <c r="CD89" i="3"/>
  <c r="CE89" i="3" s="1"/>
  <c r="CF89" i="3" s="1"/>
  <c r="CB90" i="3" s="1"/>
  <c r="CC90" i="3" l="1"/>
  <c r="CG90" i="3" l="1"/>
  <c r="CD90" i="3"/>
  <c r="CE90" i="3" s="1"/>
  <c r="CF90" i="3" s="1"/>
  <c r="CB91" i="3" s="1"/>
  <c r="CC91" i="3" l="1"/>
  <c r="CG91" i="3" l="1"/>
  <c r="CD91" i="3"/>
  <c r="CE91" i="3" s="1"/>
  <c r="CF91" i="3" s="1"/>
  <c r="CB92" i="3" s="1"/>
  <c r="CC92" i="3" l="1"/>
  <c r="CG92" i="3" l="1"/>
  <c r="CD92" i="3"/>
  <c r="CE92" i="3" s="1"/>
  <c r="CF92" i="3" s="1"/>
  <c r="CB93" i="3" s="1"/>
  <c r="CC93" i="3" l="1"/>
  <c r="CG93" i="3" l="1"/>
  <c r="CD93" i="3"/>
  <c r="CE93" i="3" s="1"/>
  <c r="CF93" i="3" s="1"/>
  <c r="CB94" i="3" s="1"/>
  <c r="CC94" i="3" l="1"/>
  <c r="CG94" i="3" l="1"/>
  <c r="CD94" i="3"/>
  <c r="CE94" i="3" s="1"/>
  <c r="CF94" i="3" s="1"/>
  <c r="CB95" i="3" s="1"/>
  <c r="CC95" i="3" l="1"/>
  <c r="CG95" i="3" l="1"/>
  <c r="CD95" i="3"/>
  <c r="CE95" i="3" s="1"/>
  <c r="CF95" i="3" s="1"/>
  <c r="CB96" i="3" s="1"/>
  <c r="CC96" i="3" l="1"/>
  <c r="CG96" i="3" l="1"/>
  <c r="CD96" i="3"/>
  <c r="CE96" i="3" s="1"/>
  <c r="CF96" i="3" s="1"/>
  <c r="CB97" i="3" s="1"/>
  <c r="CC97" i="3" l="1"/>
  <c r="CG97" i="3" l="1"/>
  <c r="CD97" i="3"/>
  <c r="CE97" i="3" s="1"/>
  <c r="CF97" i="3" s="1"/>
  <c r="CB98" i="3" s="1"/>
  <c r="CC98" i="3" l="1"/>
  <c r="CG98" i="3" l="1"/>
  <c r="CD98" i="3"/>
  <c r="CE98" i="3" s="1"/>
  <c r="CF98" i="3" s="1"/>
  <c r="CB99" i="3" s="1"/>
  <c r="CC99" i="3" l="1"/>
  <c r="CG99" i="3" l="1"/>
  <c r="CD99" i="3"/>
  <c r="CE99" i="3" s="1"/>
  <c r="CF99" i="3" s="1"/>
  <c r="CB100" i="3" s="1"/>
  <c r="CC100" i="3" l="1"/>
  <c r="CG100" i="3" l="1"/>
  <c r="CD100" i="3"/>
  <c r="CE100" i="3" s="1"/>
  <c r="CF100" i="3" s="1"/>
  <c r="CB101" i="3" s="1"/>
  <c r="CC101" i="3" l="1"/>
  <c r="CG101" i="3" l="1"/>
  <c r="CD101" i="3"/>
  <c r="CE101" i="3" s="1"/>
  <c r="CF101" i="3" s="1"/>
  <c r="CB102" i="3" s="1"/>
  <c r="CC102" i="3" l="1"/>
  <c r="CG102" i="3" l="1"/>
  <c r="CD102" i="3"/>
  <c r="CE102" i="3" s="1"/>
  <c r="CF102" i="3" s="1"/>
  <c r="CB103" i="3" s="1"/>
  <c r="CC103" i="3" l="1"/>
  <c r="CG103" i="3" l="1"/>
  <c r="CD103" i="3"/>
  <c r="CE103" i="3" s="1"/>
  <c r="CF103" i="3" s="1"/>
  <c r="CB104" i="3" s="1"/>
  <c r="CC104" i="3" l="1"/>
  <c r="CG104" i="3" l="1"/>
  <c r="CD104" i="3"/>
  <c r="CE104" i="3" s="1"/>
  <c r="CF104" i="3" s="1"/>
  <c r="CB105" i="3" s="1"/>
  <c r="CC105" i="3" l="1"/>
  <c r="CG105" i="3" l="1"/>
  <c r="CD105" i="3"/>
  <c r="CE105" i="3" s="1"/>
  <c r="CF105" i="3" s="1"/>
  <c r="CB106" i="3" s="1"/>
  <c r="CC106" i="3" l="1"/>
  <c r="CG106" i="3" l="1"/>
  <c r="CD106" i="3"/>
  <c r="CE106" i="3" s="1"/>
  <c r="CF106" i="3" s="1"/>
  <c r="CB107" i="3" s="1"/>
  <c r="CC107" i="3" l="1"/>
  <c r="CG107" i="3" l="1"/>
  <c r="CD107" i="3"/>
  <c r="CE107" i="3" s="1"/>
  <c r="CF107" i="3" s="1"/>
  <c r="CB108" i="3" s="1"/>
  <c r="CC108" i="3" l="1"/>
  <c r="CG108" i="3" l="1"/>
  <c r="CD108" i="3"/>
  <c r="CE108" i="3" s="1"/>
  <c r="CF108" i="3" s="1"/>
  <c r="CB109" i="3" s="1"/>
  <c r="CC109" i="3" l="1"/>
  <c r="CG109" i="3" l="1"/>
  <c r="CD109" i="3"/>
  <c r="CE109" i="3" s="1"/>
  <c r="CF109" i="3" s="1"/>
  <c r="CB110" i="3" s="1"/>
  <c r="CC110" i="3" l="1"/>
  <c r="CD110" i="3" s="1"/>
  <c r="CE110" i="3" s="1"/>
  <c r="CG110" i="3" l="1"/>
  <c r="CF110" i="3"/>
  <c r="CC111" i="3" l="1"/>
  <c r="CB111" i="3"/>
  <c r="CD111" i="3"/>
  <c r="CE111" i="3" s="1"/>
  <c r="CF111" i="3" l="1"/>
  <c r="CB112" i="3" s="1"/>
  <c r="CG111" i="3"/>
  <c r="CG112" i="3" l="1"/>
  <c r="CC112" i="3"/>
  <c r="CD112" i="3" l="1"/>
  <c r="CE112" i="3" s="1"/>
  <c r="CF112" i="3" s="1"/>
  <c r="CB113" i="3" s="1"/>
  <c r="CC113" i="3" l="1"/>
  <c r="CG113" i="3" l="1"/>
  <c r="CD113" i="3"/>
  <c r="CE113" i="3" s="1"/>
  <c r="CF113" i="3" s="1"/>
  <c r="CB114" i="3" s="1"/>
  <c r="CC114" i="3" l="1"/>
  <c r="CG114" i="3" l="1"/>
  <c r="CD114" i="3"/>
  <c r="CE114" i="3" s="1"/>
  <c r="CF114" i="3" s="1"/>
  <c r="CB115" i="3" s="1"/>
  <c r="CC115" i="3" l="1"/>
  <c r="CG115" i="3" l="1"/>
  <c r="CD115" i="3"/>
  <c r="CE115" i="3" s="1"/>
  <c r="CF115" i="3" s="1"/>
  <c r="CB116" i="3" s="1"/>
  <c r="CC116" i="3" l="1"/>
  <c r="CG116" i="3" l="1"/>
  <c r="CD116" i="3"/>
  <c r="CE116" i="3" s="1"/>
  <c r="CF116" i="3" s="1"/>
  <c r="CB117" i="3" s="1"/>
  <c r="CC117" i="3" l="1"/>
  <c r="CG117" i="3" l="1"/>
  <c r="CD117" i="3"/>
  <c r="CE117" i="3" s="1"/>
  <c r="CF117" i="3" s="1"/>
  <c r="CB118" i="3" s="1"/>
  <c r="CC118" i="3" l="1"/>
  <c r="CG118" i="3" l="1"/>
  <c r="CD118" i="3"/>
  <c r="CE118" i="3" s="1"/>
  <c r="CF118" i="3" s="1"/>
  <c r="CB119" i="3" s="1"/>
  <c r="CC119" i="3" l="1"/>
  <c r="CG119" i="3" l="1"/>
  <c r="CD119" i="3"/>
  <c r="CE119" i="3" s="1"/>
  <c r="CF119" i="3" s="1"/>
  <c r="CB120" i="3" s="1"/>
  <c r="CC120" i="3" l="1"/>
  <c r="CG120" i="3" l="1"/>
  <c r="CD120" i="3"/>
  <c r="CE120" i="3" s="1"/>
  <c r="CF120" i="3" s="1"/>
  <c r="CB121" i="3" s="1"/>
  <c r="CC121" i="3" l="1"/>
  <c r="CG121" i="3" l="1"/>
  <c r="CD121" i="3"/>
  <c r="CE121" i="3" s="1"/>
  <c r="CF121" i="3" s="1"/>
  <c r="CB122" i="3" s="1"/>
  <c r="CC122" i="3" l="1"/>
  <c r="CG122" i="3" l="1"/>
  <c r="CD122" i="3"/>
  <c r="CE122" i="3" s="1"/>
  <c r="CF122" i="3" s="1"/>
  <c r="CB123" i="3" s="1"/>
  <c r="CC123" i="3" l="1"/>
  <c r="CG123" i="3" l="1"/>
  <c r="CD123" i="3"/>
  <c r="CE123" i="3" s="1"/>
  <c r="CF123" i="3" s="1"/>
  <c r="CB124" i="3" s="1"/>
  <c r="CC124" i="3" l="1"/>
  <c r="CG124" i="3" l="1"/>
  <c r="CD124" i="3"/>
  <c r="CE124" i="3" s="1"/>
  <c r="CF124" i="3" s="1"/>
  <c r="CB125" i="3" s="1"/>
  <c r="CC125" i="3" l="1"/>
  <c r="CG125" i="3" l="1"/>
  <c r="CD125" i="3"/>
  <c r="CE125" i="3" s="1"/>
  <c r="CF125" i="3" s="1"/>
  <c r="CB126" i="3" s="1"/>
  <c r="CC126" i="3" l="1"/>
  <c r="CD126" i="3" s="1"/>
  <c r="CE126" i="3" s="1"/>
  <c r="CF126" i="3" l="1"/>
  <c r="CB127" i="3" s="1"/>
  <c r="CG126" i="3"/>
  <c r="CC127" i="3"/>
  <c r="CG127" i="3" l="1"/>
  <c r="CD127" i="3"/>
  <c r="CE127" i="3" s="1"/>
  <c r="CF127" i="3" s="1"/>
  <c r="CB128" i="3" s="1"/>
  <c r="CC128" i="3" l="1"/>
  <c r="CG128" i="3" l="1"/>
  <c r="CD128" i="3"/>
  <c r="CE128" i="3" s="1"/>
  <c r="CF128" i="3" s="1"/>
  <c r="CB129" i="3" s="1"/>
  <c r="CC129" i="3" l="1"/>
  <c r="CG129" i="3" l="1"/>
  <c r="CD129" i="3"/>
  <c r="CE129" i="3" s="1"/>
  <c r="CF129" i="3" s="1"/>
  <c r="CB130" i="3" s="1"/>
  <c r="CC130" i="3" l="1"/>
  <c r="CG130" i="3" l="1"/>
  <c r="CD130" i="3"/>
  <c r="CE130" i="3" s="1"/>
  <c r="CF130" i="3" s="1"/>
  <c r="CB131" i="3" s="1"/>
  <c r="CC131" i="3" l="1"/>
  <c r="CG131" i="3" l="1"/>
  <c r="CD131" i="3"/>
  <c r="CE131" i="3" s="1"/>
  <c r="CF131" i="3" s="1"/>
  <c r="CB132" i="3" s="1"/>
  <c r="CC132" i="3" l="1"/>
  <c r="CG132" i="3" l="1"/>
  <c r="CD132" i="3"/>
  <c r="CE132" i="3" s="1"/>
  <c r="CF132" i="3" s="1"/>
  <c r="CB133" i="3" s="1"/>
  <c r="CC133" i="3" l="1"/>
  <c r="CG133" i="3" l="1"/>
  <c r="CD133" i="3"/>
  <c r="CE133" i="3" s="1"/>
  <c r="CF133" i="3" s="1"/>
  <c r="CB134" i="3" s="1"/>
  <c r="CP34" i="3" s="1"/>
  <c r="CC134" i="3" l="1"/>
  <c r="CD134" i="3" s="1"/>
  <c r="CE134" i="3" s="1"/>
  <c r="CF134" i="3" l="1"/>
  <c r="CG134" i="3"/>
  <c r="N9" i="3" s="1"/>
  <c r="CU34" i="3" l="1"/>
  <c r="CT34" i="3"/>
  <c r="CP35" i="3" s="1"/>
  <c r="CQ35" i="3" l="1"/>
  <c r="CR35" i="3" s="1"/>
  <c r="CS35" i="3" s="1"/>
  <c r="CT35" i="3" l="1"/>
  <c r="CP36" i="3" s="1"/>
  <c r="CU35" i="3"/>
  <c r="CQ36" i="3" l="1"/>
  <c r="CU36" i="3"/>
  <c r="CR36" i="3" l="1"/>
  <c r="CS36" i="3" s="1"/>
  <c r="CT36" i="3" s="1"/>
  <c r="CP37" i="3" s="1"/>
  <c r="CQ37" i="3" l="1"/>
  <c r="CU37" i="3" l="1"/>
  <c r="CR37" i="3"/>
  <c r="CS37" i="3" s="1"/>
  <c r="CT37" i="3" s="1"/>
  <c r="CP38" i="3" s="1"/>
  <c r="CQ38" i="3" l="1"/>
  <c r="CU38" i="3" l="1"/>
  <c r="CR38" i="3"/>
  <c r="CS38" i="3" s="1"/>
  <c r="CT38" i="3" s="1"/>
  <c r="CP39" i="3" s="1"/>
  <c r="CQ39" i="3" l="1"/>
  <c r="CU39" i="3" l="1"/>
  <c r="CR39" i="3"/>
  <c r="CS39" i="3" s="1"/>
  <c r="CT39" i="3" s="1"/>
  <c r="CP40" i="3" s="1"/>
  <c r="CQ40" i="3" l="1"/>
  <c r="CU40" i="3" l="1"/>
  <c r="CR40" i="3"/>
  <c r="CS40" i="3" s="1"/>
  <c r="CT40" i="3" s="1"/>
  <c r="CP41" i="3" s="1"/>
  <c r="CQ41" i="3" l="1"/>
  <c r="CU41" i="3" l="1"/>
  <c r="CR41" i="3"/>
  <c r="CS41" i="3" s="1"/>
  <c r="CT41" i="3" s="1"/>
  <c r="CP42" i="3" s="1"/>
  <c r="CQ42" i="3" l="1"/>
  <c r="CU42" i="3" l="1"/>
  <c r="CR42" i="3"/>
  <c r="CS42" i="3" s="1"/>
  <c r="CT42" i="3" s="1"/>
  <c r="CP43" i="3" s="1"/>
  <c r="CQ43" i="3" l="1"/>
  <c r="CU43" i="3" l="1"/>
  <c r="CR43" i="3"/>
  <c r="CS43" i="3" s="1"/>
  <c r="CT43" i="3" s="1"/>
  <c r="CP44" i="3" s="1"/>
  <c r="CQ44" i="3" l="1"/>
  <c r="CU44" i="3" l="1"/>
  <c r="CR44" i="3"/>
  <c r="CS44" i="3" s="1"/>
  <c r="CT44" i="3" s="1"/>
  <c r="CP45" i="3" s="1"/>
  <c r="CQ45" i="3" l="1"/>
  <c r="CU45" i="3" l="1"/>
  <c r="CR45" i="3"/>
  <c r="CS45" i="3" s="1"/>
  <c r="CT45" i="3" s="1"/>
  <c r="CP46" i="3" s="1"/>
  <c r="CQ46" i="3" l="1"/>
  <c r="CU46" i="3" l="1"/>
  <c r="CR46" i="3"/>
  <c r="CS46" i="3" s="1"/>
  <c r="CT46" i="3" s="1"/>
  <c r="CP47" i="3" s="1"/>
  <c r="CQ47" i="3" l="1"/>
  <c r="CU47" i="3" l="1"/>
  <c r="CR47" i="3"/>
  <c r="CS47" i="3" s="1"/>
  <c r="CT47" i="3" s="1"/>
  <c r="CP48" i="3" s="1"/>
  <c r="CQ48" i="3" l="1"/>
  <c r="CU48" i="3" l="1"/>
  <c r="CR48" i="3"/>
  <c r="CS48" i="3" s="1"/>
  <c r="CT48" i="3" s="1"/>
  <c r="CP49" i="3" s="1"/>
  <c r="CQ49" i="3" l="1"/>
  <c r="CU49" i="3" l="1"/>
  <c r="CR49" i="3"/>
  <c r="CS49" i="3" s="1"/>
  <c r="CT49" i="3" s="1"/>
  <c r="CP50" i="3" s="1"/>
  <c r="CQ50" i="3" l="1"/>
  <c r="CU50" i="3" l="1"/>
  <c r="CR50" i="3"/>
  <c r="CS50" i="3" s="1"/>
  <c r="CT50" i="3" s="1"/>
  <c r="CP51" i="3" s="1"/>
  <c r="CQ51" i="3" l="1"/>
  <c r="CU51" i="3" l="1"/>
  <c r="CR51" i="3"/>
  <c r="CS51" i="3" s="1"/>
  <c r="CT51" i="3" s="1"/>
  <c r="CP52" i="3" s="1"/>
  <c r="CQ52" i="3" l="1"/>
  <c r="CU52" i="3" l="1"/>
  <c r="CR52" i="3"/>
  <c r="CS52" i="3" s="1"/>
  <c r="CT52" i="3" s="1"/>
  <c r="CP53" i="3" s="1"/>
  <c r="CQ53" i="3" l="1"/>
  <c r="CU53" i="3" l="1"/>
  <c r="CR53" i="3"/>
  <c r="CS53" i="3" s="1"/>
  <c r="CT53" i="3" s="1"/>
  <c r="CP54" i="3" s="1"/>
  <c r="CQ54" i="3" l="1"/>
  <c r="CU54" i="3" l="1"/>
  <c r="CR54" i="3"/>
  <c r="CS54" i="3" s="1"/>
  <c r="CT54" i="3" s="1"/>
  <c r="CP55" i="3" s="1"/>
  <c r="CQ55" i="3" l="1"/>
  <c r="CU55" i="3" l="1"/>
  <c r="CR55" i="3"/>
  <c r="CS55" i="3" s="1"/>
  <c r="CT55" i="3" s="1"/>
  <c r="CP56" i="3" s="1"/>
  <c r="CQ56" i="3" l="1"/>
  <c r="CU56" i="3" l="1"/>
  <c r="CR56" i="3"/>
  <c r="CS56" i="3" s="1"/>
  <c r="CT56" i="3" s="1"/>
  <c r="CP57" i="3" s="1"/>
  <c r="CQ57" i="3" l="1"/>
  <c r="CU57" i="3" l="1"/>
  <c r="CR57" i="3"/>
  <c r="CS57" i="3" s="1"/>
  <c r="CT57" i="3" s="1"/>
  <c r="CP58" i="3" s="1"/>
  <c r="CQ58" i="3" l="1"/>
  <c r="CU58" i="3" l="1"/>
  <c r="CR58" i="3"/>
  <c r="CS58" i="3" s="1"/>
  <c r="CT58" i="3" s="1"/>
  <c r="CP59" i="3" s="1"/>
  <c r="CQ59" i="3" l="1"/>
  <c r="CU59" i="3" l="1"/>
  <c r="CR59" i="3"/>
  <c r="CS59" i="3" s="1"/>
  <c r="CT59" i="3" s="1"/>
  <c r="CP60" i="3" s="1"/>
  <c r="CQ60" i="3" l="1"/>
  <c r="CU60" i="3" l="1"/>
  <c r="CR60" i="3"/>
  <c r="CS60" i="3" s="1"/>
  <c r="CT60" i="3" s="1"/>
  <c r="CP61" i="3" s="1"/>
  <c r="CQ61" i="3" l="1"/>
  <c r="CU61" i="3" l="1"/>
  <c r="CR61" i="3"/>
  <c r="CS61" i="3" s="1"/>
  <c r="CT61" i="3" s="1"/>
  <c r="CP62" i="3" s="1"/>
  <c r="CQ62" i="3" l="1"/>
  <c r="CU62" i="3" l="1"/>
  <c r="CR62" i="3"/>
  <c r="CS62" i="3" s="1"/>
  <c r="CT62" i="3" s="1"/>
  <c r="CP63" i="3" s="1"/>
  <c r="CQ63" i="3" l="1"/>
  <c r="CR63" i="3" s="1"/>
  <c r="CS63" i="3" s="1"/>
  <c r="CT63" i="3" l="1"/>
  <c r="CP64" i="3" s="1"/>
  <c r="CU63" i="3"/>
  <c r="CQ64" i="3"/>
  <c r="CU64" i="3" l="1"/>
  <c r="CR64" i="3"/>
  <c r="CS64" i="3" s="1"/>
  <c r="CT64" i="3" s="1"/>
  <c r="CP65" i="3" s="1"/>
  <c r="CQ65" i="3" l="1"/>
  <c r="CU65" i="3" l="1"/>
  <c r="CR65" i="3"/>
  <c r="CS65" i="3" s="1"/>
  <c r="CT65" i="3" s="1"/>
  <c r="CP66" i="3" s="1"/>
  <c r="CQ66" i="3" l="1"/>
  <c r="CU66" i="3" l="1"/>
  <c r="CR66" i="3"/>
  <c r="CS66" i="3" s="1"/>
  <c r="CT66" i="3" s="1"/>
  <c r="CP67" i="3" s="1"/>
  <c r="CQ67" i="3" l="1"/>
  <c r="CU67" i="3" l="1"/>
  <c r="CR67" i="3"/>
  <c r="CS67" i="3" s="1"/>
  <c r="CT67" i="3" s="1"/>
  <c r="CP68" i="3" s="1"/>
  <c r="CQ68" i="3" l="1"/>
  <c r="CU68" i="3" l="1"/>
  <c r="CR68" i="3"/>
  <c r="CS68" i="3" s="1"/>
  <c r="CT68" i="3" s="1"/>
  <c r="CP69" i="3" s="1"/>
  <c r="CQ69" i="3" l="1"/>
  <c r="CU69" i="3" l="1"/>
  <c r="CR69" i="3"/>
  <c r="CS69" i="3" s="1"/>
  <c r="CT69" i="3" s="1"/>
  <c r="CP70" i="3" s="1"/>
  <c r="CQ70" i="3" l="1"/>
  <c r="CU70" i="3" l="1"/>
  <c r="CR70" i="3"/>
  <c r="CS70" i="3" s="1"/>
  <c r="CT70" i="3" s="1"/>
  <c r="CP71" i="3" s="1"/>
  <c r="CQ71" i="3" l="1"/>
  <c r="CU71" i="3" l="1"/>
  <c r="CR71" i="3"/>
  <c r="CS71" i="3" s="1"/>
  <c r="CT71" i="3" s="1"/>
  <c r="CP72" i="3" s="1"/>
  <c r="CQ72" i="3" l="1"/>
  <c r="CU72" i="3" l="1"/>
  <c r="CR72" i="3"/>
  <c r="CS72" i="3" s="1"/>
  <c r="CT72" i="3" s="1"/>
  <c r="CP73" i="3" s="1"/>
  <c r="CQ73" i="3" l="1"/>
  <c r="CU73" i="3" l="1"/>
  <c r="CR73" i="3"/>
  <c r="CS73" i="3" s="1"/>
  <c r="CT73" i="3" s="1"/>
  <c r="CP74" i="3" s="1"/>
  <c r="CQ74" i="3" l="1"/>
  <c r="CU74" i="3" l="1"/>
  <c r="CR74" i="3"/>
  <c r="CS74" i="3" s="1"/>
  <c r="CT74" i="3" s="1"/>
  <c r="CP75" i="3" s="1"/>
  <c r="CQ75" i="3" l="1"/>
  <c r="CU75" i="3" l="1"/>
  <c r="CR75" i="3"/>
  <c r="CS75" i="3" s="1"/>
  <c r="CT75" i="3" s="1"/>
  <c r="CP76" i="3" s="1"/>
  <c r="CQ76" i="3" l="1"/>
  <c r="CU76" i="3" l="1"/>
  <c r="CR76" i="3"/>
  <c r="CS76" i="3" s="1"/>
  <c r="CT76" i="3" s="1"/>
  <c r="CP77" i="3" s="1"/>
  <c r="CQ77" i="3" l="1"/>
  <c r="CU77" i="3" l="1"/>
  <c r="CR77" i="3"/>
  <c r="CS77" i="3" s="1"/>
  <c r="CT77" i="3" s="1"/>
  <c r="CP78" i="3" s="1"/>
  <c r="CQ78" i="3" l="1"/>
  <c r="CU78" i="3" l="1"/>
  <c r="CR78" i="3"/>
  <c r="CS78" i="3" s="1"/>
  <c r="CT78" i="3" s="1"/>
  <c r="CP79" i="3" s="1"/>
  <c r="CQ79" i="3" l="1"/>
  <c r="CU79" i="3" l="1"/>
  <c r="CR79" i="3"/>
  <c r="CS79" i="3" s="1"/>
  <c r="CT79" i="3" s="1"/>
  <c r="CP80" i="3" s="1"/>
  <c r="CQ80" i="3" l="1"/>
  <c r="CU80" i="3" l="1"/>
  <c r="CR80" i="3"/>
  <c r="CS80" i="3" s="1"/>
  <c r="CT80" i="3" s="1"/>
  <c r="CP81" i="3" s="1"/>
  <c r="CQ81" i="3" l="1"/>
  <c r="CU81" i="3" l="1"/>
  <c r="CR81" i="3"/>
  <c r="CS81" i="3" s="1"/>
  <c r="CT81" i="3" s="1"/>
  <c r="CP82" i="3" s="1"/>
  <c r="CQ82" i="3" l="1"/>
  <c r="CU82" i="3" l="1"/>
  <c r="CR82" i="3"/>
  <c r="CS82" i="3" s="1"/>
  <c r="CT82" i="3" s="1"/>
  <c r="CP83" i="3" s="1"/>
  <c r="CQ83" i="3" l="1"/>
  <c r="CU83" i="3" l="1"/>
  <c r="CR83" i="3"/>
  <c r="CS83" i="3" s="1"/>
  <c r="CT83" i="3" s="1"/>
  <c r="CP84" i="3" s="1"/>
  <c r="CQ84" i="3" l="1"/>
  <c r="CU84" i="3" l="1"/>
  <c r="CR84" i="3"/>
  <c r="CS84" i="3" s="1"/>
  <c r="CT84" i="3" s="1"/>
  <c r="CP85" i="3" s="1"/>
  <c r="CQ85" i="3" l="1"/>
  <c r="CU85" i="3" l="1"/>
  <c r="CR85" i="3"/>
  <c r="CS85" i="3" s="1"/>
  <c r="CT85" i="3" s="1"/>
  <c r="CP86" i="3" s="1"/>
  <c r="CQ86" i="3" l="1"/>
  <c r="CU86" i="3" l="1"/>
  <c r="CR86" i="3"/>
  <c r="CS86" i="3" s="1"/>
  <c r="CT86" i="3" s="1"/>
  <c r="CP87" i="3" s="1"/>
  <c r="CQ87" i="3" l="1"/>
  <c r="CU87" i="3" l="1"/>
  <c r="CR87" i="3"/>
  <c r="CS87" i="3" s="1"/>
  <c r="CT87" i="3" s="1"/>
  <c r="CP88" i="3" s="1"/>
  <c r="CQ88" i="3" l="1"/>
  <c r="CU88" i="3" l="1"/>
  <c r="CR88" i="3"/>
  <c r="CS88" i="3" s="1"/>
  <c r="CT88" i="3" s="1"/>
  <c r="CP89" i="3" s="1"/>
  <c r="CQ89" i="3" l="1"/>
  <c r="CU89" i="3" l="1"/>
  <c r="CR89" i="3"/>
  <c r="CS89" i="3" s="1"/>
  <c r="CT89" i="3" s="1"/>
  <c r="CP90" i="3" s="1"/>
  <c r="CQ90" i="3" l="1"/>
  <c r="CU90" i="3" l="1"/>
  <c r="CR90" i="3"/>
  <c r="CS90" i="3" s="1"/>
  <c r="CT90" i="3" s="1"/>
  <c r="CP91" i="3" s="1"/>
  <c r="CQ91" i="3" l="1"/>
  <c r="CU91" i="3" l="1"/>
  <c r="CR91" i="3"/>
  <c r="CS91" i="3" s="1"/>
  <c r="CT91" i="3" s="1"/>
  <c r="CP92" i="3" s="1"/>
  <c r="CQ92" i="3" l="1"/>
  <c r="CU92" i="3" l="1"/>
  <c r="CR92" i="3"/>
  <c r="CS92" i="3" s="1"/>
  <c r="CT92" i="3" s="1"/>
  <c r="CP93" i="3" s="1"/>
  <c r="CQ93" i="3" l="1"/>
  <c r="CU93" i="3" l="1"/>
  <c r="CR93" i="3"/>
  <c r="CS93" i="3" s="1"/>
  <c r="CT93" i="3" s="1"/>
  <c r="CP94" i="3" s="1"/>
  <c r="CQ94" i="3" l="1"/>
  <c r="CU94" i="3" l="1"/>
  <c r="CR94" i="3"/>
  <c r="CS94" i="3" s="1"/>
  <c r="CT94" i="3" s="1"/>
  <c r="CP95" i="3" s="1"/>
  <c r="CQ95" i="3" l="1"/>
  <c r="CU95" i="3" l="1"/>
  <c r="CR95" i="3"/>
  <c r="CS95" i="3" s="1"/>
  <c r="CT95" i="3" s="1"/>
  <c r="CP96" i="3" s="1"/>
  <c r="CQ96" i="3" l="1"/>
  <c r="CU96" i="3" l="1"/>
  <c r="CR96" i="3"/>
  <c r="CS96" i="3" s="1"/>
  <c r="CT96" i="3" s="1"/>
  <c r="CP97" i="3" s="1"/>
  <c r="CQ97" i="3" l="1"/>
  <c r="CU97" i="3" l="1"/>
  <c r="CR97" i="3"/>
  <c r="CS97" i="3" s="1"/>
  <c r="CT97" i="3" s="1"/>
  <c r="CP98" i="3" s="1"/>
  <c r="CQ98" i="3" l="1"/>
  <c r="CU98" i="3" l="1"/>
  <c r="CR98" i="3"/>
  <c r="CS98" i="3" s="1"/>
  <c r="CT98" i="3" s="1"/>
  <c r="CP99" i="3" s="1"/>
  <c r="CQ99" i="3" l="1"/>
  <c r="CU99" i="3" l="1"/>
  <c r="CR99" i="3"/>
  <c r="CS99" i="3" s="1"/>
  <c r="CT99" i="3" s="1"/>
  <c r="CP100" i="3" s="1"/>
  <c r="CQ100" i="3" l="1"/>
  <c r="CU100" i="3" l="1"/>
  <c r="CR100" i="3"/>
  <c r="CS100" i="3" s="1"/>
  <c r="CT100" i="3" s="1"/>
  <c r="CP101" i="3" s="1"/>
  <c r="CQ101" i="3" l="1"/>
  <c r="CU101" i="3" l="1"/>
  <c r="CR101" i="3"/>
  <c r="CS101" i="3" s="1"/>
  <c r="CT101" i="3" s="1"/>
  <c r="CP102" i="3" s="1"/>
  <c r="CQ102" i="3" l="1"/>
  <c r="CU102" i="3" l="1"/>
  <c r="CR102" i="3"/>
  <c r="CS102" i="3" s="1"/>
  <c r="CT102" i="3" s="1"/>
  <c r="CP103" i="3" s="1"/>
  <c r="CQ103" i="3" l="1"/>
  <c r="CU103" i="3" l="1"/>
  <c r="CR103" i="3"/>
  <c r="CS103" i="3" s="1"/>
  <c r="CT103" i="3" s="1"/>
  <c r="CP104" i="3" s="1"/>
  <c r="CQ104" i="3" l="1"/>
  <c r="CU104" i="3" l="1"/>
  <c r="CR104" i="3"/>
  <c r="CS104" i="3" s="1"/>
  <c r="CT104" i="3" s="1"/>
  <c r="CP105" i="3" s="1"/>
  <c r="CQ105" i="3" l="1"/>
  <c r="CU105" i="3" l="1"/>
  <c r="CR105" i="3"/>
  <c r="CS105" i="3" s="1"/>
  <c r="CT105" i="3" s="1"/>
  <c r="CP106" i="3" s="1"/>
  <c r="CQ106" i="3" l="1"/>
  <c r="CU106" i="3" l="1"/>
  <c r="CR106" i="3"/>
  <c r="CS106" i="3" s="1"/>
  <c r="CT106" i="3" s="1"/>
  <c r="CP107" i="3" s="1"/>
  <c r="CQ107" i="3" l="1"/>
  <c r="CU107" i="3" l="1"/>
  <c r="CR107" i="3"/>
  <c r="CS107" i="3" s="1"/>
  <c r="CT107" i="3" s="1"/>
  <c r="CP108" i="3" s="1"/>
  <c r="CQ108" i="3" l="1"/>
  <c r="CU108" i="3" l="1"/>
  <c r="CR108" i="3"/>
  <c r="CS108" i="3" s="1"/>
  <c r="CT108" i="3" s="1"/>
  <c r="CP109" i="3" s="1"/>
  <c r="CQ109" i="3" l="1"/>
  <c r="CU109" i="3" l="1"/>
  <c r="CR109" i="3"/>
  <c r="CS109" i="3" s="1"/>
  <c r="CT109" i="3" s="1"/>
  <c r="CP110" i="3" s="1"/>
  <c r="CQ110" i="3" l="1"/>
  <c r="CU110" i="3" l="1"/>
  <c r="CR110" i="3"/>
  <c r="CS110" i="3" s="1"/>
  <c r="CT110" i="3" s="1"/>
  <c r="CP111" i="3" s="1"/>
  <c r="CQ111" i="3" l="1"/>
  <c r="CU111" i="3" l="1"/>
  <c r="CR111" i="3"/>
  <c r="CS111" i="3" s="1"/>
  <c r="CT111" i="3" s="1"/>
  <c r="CP112" i="3" s="1"/>
  <c r="CQ112" i="3" l="1"/>
  <c r="CU112" i="3" l="1"/>
  <c r="CR112" i="3"/>
  <c r="CS112" i="3" s="1"/>
  <c r="CT112" i="3" s="1"/>
  <c r="CP113" i="3" s="1"/>
  <c r="CQ113" i="3" l="1"/>
  <c r="CU113" i="3" l="1"/>
  <c r="CR113" i="3"/>
  <c r="CS113" i="3" s="1"/>
  <c r="CT113" i="3" s="1"/>
  <c r="CP114" i="3" s="1"/>
  <c r="CQ114" i="3" l="1"/>
  <c r="CU114" i="3" l="1"/>
  <c r="CR114" i="3"/>
  <c r="CS114" i="3" s="1"/>
  <c r="CT114" i="3" s="1"/>
  <c r="CP115" i="3" s="1"/>
  <c r="CQ115" i="3" l="1"/>
  <c r="CU115" i="3" l="1"/>
  <c r="CR115" i="3"/>
  <c r="CS115" i="3" s="1"/>
  <c r="CT115" i="3" s="1"/>
  <c r="CP116" i="3" s="1"/>
  <c r="CQ116" i="3" l="1"/>
  <c r="CU116" i="3" l="1"/>
  <c r="CR116" i="3"/>
  <c r="CS116" i="3" s="1"/>
  <c r="CT116" i="3" s="1"/>
  <c r="CP117" i="3" s="1"/>
  <c r="CQ117" i="3" l="1"/>
  <c r="CU117" i="3" l="1"/>
  <c r="CR117" i="3"/>
  <c r="CS117" i="3" s="1"/>
  <c r="CT117" i="3" s="1"/>
  <c r="CP118" i="3" s="1"/>
  <c r="CQ118" i="3" l="1"/>
  <c r="CU118" i="3" l="1"/>
  <c r="CR118" i="3"/>
  <c r="CS118" i="3" s="1"/>
  <c r="CT118" i="3" s="1"/>
  <c r="CP119" i="3" s="1"/>
  <c r="CQ119" i="3" l="1"/>
  <c r="CU119" i="3" l="1"/>
  <c r="CR119" i="3"/>
  <c r="CS119" i="3" s="1"/>
  <c r="CT119" i="3" s="1"/>
  <c r="CP120" i="3" s="1"/>
  <c r="CQ120" i="3" l="1"/>
  <c r="CU120" i="3" l="1"/>
  <c r="CR120" i="3"/>
  <c r="CS120" i="3" s="1"/>
  <c r="CT120" i="3" s="1"/>
  <c r="CP121" i="3" s="1"/>
  <c r="CQ121" i="3" l="1"/>
  <c r="CU121" i="3" l="1"/>
  <c r="CR121" i="3"/>
  <c r="CS121" i="3" s="1"/>
  <c r="CT121" i="3" s="1"/>
  <c r="CP122" i="3" s="1"/>
  <c r="CQ122" i="3" l="1"/>
  <c r="CU122" i="3" l="1"/>
  <c r="CR122" i="3"/>
  <c r="CS122" i="3" s="1"/>
  <c r="CT122" i="3" s="1"/>
  <c r="CP123" i="3" s="1"/>
  <c r="CQ123" i="3" l="1"/>
  <c r="CU123" i="3" l="1"/>
  <c r="CR123" i="3"/>
  <c r="CS123" i="3" s="1"/>
  <c r="CT123" i="3" s="1"/>
  <c r="CP124" i="3" s="1"/>
  <c r="CQ124" i="3" l="1"/>
  <c r="CU124" i="3" l="1"/>
  <c r="CR124" i="3"/>
  <c r="CS124" i="3" s="1"/>
  <c r="CT124" i="3" s="1"/>
  <c r="CP125" i="3" s="1"/>
  <c r="CQ125" i="3" l="1"/>
  <c r="CU125" i="3" l="1"/>
  <c r="CR125" i="3"/>
  <c r="CS125" i="3" s="1"/>
  <c r="CT125" i="3" s="1"/>
  <c r="CP126" i="3" s="1"/>
  <c r="CQ126" i="3" l="1"/>
  <c r="CU126" i="3" l="1"/>
  <c r="CR126" i="3"/>
  <c r="CS126" i="3" s="1"/>
  <c r="CT126" i="3" s="1"/>
  <c r="CP127" i="3" s="1"/>
  <c r="CQ127" i="3" l="1"/>
  <c r="CU127" i="3" l="1"/>
  <c r="CR127" i="3"/>
  <c r="CS127" i="3" s="1"/>
  <c r="CT127" i="3" s="1"/>
  <c r="CP128" i="3" s="1"/>
  <c r="CQ128" i="3" l="1"/>
  <c r="CU128" i="3" l="1"/>
  <c r="CR128" i="3"/>
  <c r="CS128" i="3" s="1"/>
  <c r="CT128" i="3" s="1"/>
  <c r="CP129" i="3" s="1"/>
  <c r="CQ129" i="3" l="1"/>
  <c r="CU129" i="3" l="1"/>
  <c r="CR129" i="3"/>
  <c r="CS129" i="3" s="1"/>
  <c r="CT129" i="3" s="1"/>
  <c r="CP130" i="3" s="1"/>
  <c r="CQ130" i="3" l="1"/>
  <c r="CU130" i="3" l="1"/>
  <c r="CR130" i="3"/>
  <c r="CS130" i="3" s="1"/>
  <c r="CT130" i="3" s="1"/>
  <c r="CP131" i="3" s="1"/>
  <c r="CQ131" i="3" l="1"/>
  <c r="CU131" i="3" l="1"/>
  <c r="CR131" i="3"/>
  <c r="CS131" i="3" s="1"/>
  <c r="CT131" i="3" s="1"/>
  <c r="CP132" i="3" s="1"/>
  <c r="CQ132" i="3" l="1"/>
  <c r="CU132" i="3" l="1"/>
  <c r="CR132" i="3"/>
  <c r="CS132" i="3" s="1"/>
  <c r="CT132" i="3" s="1"/>
  <c r="CP133" i="3" s="1"/>
  <c r="CQ133" i="3" l="1"/>
  <c r="CU133" i="3" l="1"/>
  <c r="CR133" i="3"/>
  <c r="CS133" i="3" s="1"/>
  <c r="CT133" i="3" s="1"/>
  <c r="CP134" i="3" s="1"/>
  <c r="DD34" i="3" s="1"/>
  <c r="DI34" i="3" l="1"/>
  <c r="DH34" i="3"/>
  <c r="DE35" i="3" s="1"/>
  <c r="CQ134" i="3"/>
  <c r="CR134" i="3" s="1"/>
  <c r="CS134" i="3" s="1"/>
  <c r="DF35" i="3" l="1"/>
  <c r="DG35" i="3" s="1"/>
  <c r="DD35" i="3"/>
  <c r="CT134" i="3"/>
  <c r="CU134" i="3"/>
  <c r="N10" i="3" s="1"/>
  <c r="DI35" i="3" l="1"/>
  <c r="DH35" i="3"/>
  <c r="DD36" i="3" l="1"/>
  <c r="DI36" i="3" s="1"/>
  <c r="DE36" i="3"/>
  <c r="DF36" i="3" l="1"/>
  <c r="DG36" i="3" s="1"/>
  <c r="DH36" i="3" s="1"/>
  <c r="DD37" i="3" s="1"/>
  <c r="DI37" i="3" l="1"/>
  <c r="DE37" i="3"/>
  <c r="DF37" i="3" s="1"/>
  <c r="DG37" i="3" s="1"/>
  <c r="DH37" i="3" s="1"/>
  <c r="DE38" i="3" l="1"/>
  <c r="DF38" i="3" s="1"/>
  <c r="DG38" i="3" s="1"/>
  <c r="DD38" i="3"/>
  <c r="DI38" i="3" l="1"/>
  <c r="DH38" i="3"/>
  <c r="DE39" i="3" s="1"/>
  <c r="DF39" i="3" s="1"/>
  <c r="DG39" i="3" s="1"/>
  <c r="DD39" i="3" l="1"/>
  <c r="DI39" i="3"/>
  <c r="DH39" i="3"/>
  <c r="DE40" i="3" s="1"/>
  <c r="DF40" i="3" s="1"/>
  <c r="DG40" i="3" s="1"/>
  <c r="DD40" i="3" l="1"/>
  <c r="DI40" i="3" s="1"/>
  <c r="DH40" i="3" l="1"/>
  <c r="DE41" i="3" s="1"/>
  <c r="DF41" i="3" s="1"/>
  <c r="DG41" i="3" s="1"/>
  <c r="DD41" i="3"/>
  <c r="DI41" i="3" s="1"/>
  <c r="DH41" i="3" l="1"/>
  <c r="DE42" i="3" s="1"/>
  <c r="DF42" i="3" s="1"/>
  <c r="DG42" i="3" s="1"/>
  <c r="DD42" i="3"/>
  <c r="DI42" i="3" s="1"/>
  <c r="DH42" i="3" l="1"/>
  <c r="DE43" i="3" s="1"/>
  <c r="DF43" i="3" s="1"/>
  <c r="DG43" i="3" s="1"/>
  <c r="DD43" i="3"/>
  <c r="DI43" i="3" s="1"/>
  <c r="DH43" i="3" l="1"/>
  <c r="DE44" i="3" s="1"/>
  <c r="DF44" i="3" s="1"/>
  <c r="DG44" i="3" s="1"/>
  <c r="DD44" i="3"/>
  <c r="DI44" i="3" s="1"/>
  <c r="DH44" i="3" l="1"/>
  <c r="DE45" i="3" s="1"/>
  <c r="DF45" i="3" s="1"/>
  <c r="DG45" i="3" s="1"/>
  <c r="DD45" i="3" l="1"/>
  <c r="DI45" i="3" s="1"/>
  <c r="DH45" i="3"/>
  <c r="DE46" i="3" s="1"/>
  <c r="DF46" i="3" s="1"/>
  <c r="DG46" i="3" s="1"/>
  <c r="DD46" i="3" l="1"/>
  <c r="DI46" i="3" s="1"/>
  <c r="DH46" i="3"/>
  <c r="DE47" i="3" s="1"/>
  <c r="DF47" i="3" s="1"/>
  <c r="DG47" i="3" s="1"/>
  <c r="DD47" i="3" l="1"/>
  <c r="DI47" i="3" s="1"/>
  <c r="DH47" i="3"/>
  <c r="DE48" i="3" s="1"/>
  <c r="DF48" i="3" s="1"/>
  <c r="DG48" i="3" s="1"/>
  <c r="DD48" i="3" l="1"/>
  <c r="DI48" i="3" l="1"/>
  <c r="DH48" i="3"/>
  <c r="DE49" i="3" l="1"/>
  <c r="DF49" i="3" s="1"/>
  <c r="DG49" i="3" s="1"/>
  <c r="DD49" i="3"/>
  <c r="DI49" i="3" l="1"/>
  <c r="DH49" i="3"/>
  <c r="DE50" i="3" s="1"/>
  <c r="DF50" i="3" s="1"/>
  <c r="DG50" i="3" s="1"/>
  <c r="DD50" i="3" l="1"/>
  <c r="DH50" i="3"/>
  <c r="DE51" i="3" s="1"/>
  <c r="DF51" i="3" s="1"/>
  <c r="DG51" i="3" s="1"/>
  <c r="DI50" i="3"/>
  <c r="DD51" i="3"/>
  <c r="DI51" i="3" l="1"/>
  <c r="DH51" i="3"/>
  <c r="DE52" i="3" s="1"/>
  <c r="DF52" i="3" s="1"/>
  <c r="DG52" i="3" s="1"/>
  <c r="DD52" i="3" l="1"/>
  <c r="DH52" i="3" l="1"/>
  <c r="DE53" i="3" s="1"/>
  <c r="DF53" i="3" s="1"/>
  <c r="DG53" i="3" s="1"/>
  <c r="DI52" i="3"/>
  <c r="DD53" i="3"/>
  <c r="DI53" i="3" l="1"/>
  <c r="DH53" i="3"/>
  <c r="DE54" i="3" s="1"/>
  <c r="DF54" i="3" s="1"/>
  <c r="DG54" i="3" s="1"/>
  <c r="DD54" i="3"/>
  <c r="DI54" i="3" l="1"/>
  <c r="DH54" i="3"/>
  <c r="DE55" i="3" s="1"/>
  <c r="DF55" i="3" s="1"/>
  <c r="DG55" i="3" s="1"/>
  <c r="DD55" i="3" l="1"/>
  <c r="DH55" i="3"/>
  <c r="DE56" i="3" s="1"/>
  <c r="DF56" i="3" s="1"/>
  <c r="DG56" i="3" s="1"/>
  <c r="DI55" i="3"/>
  <c r="DD56" i="3"/>
  <c r="DI56" i="3" l="1"/>
  <c r="DH56" i="3"/>
  <c r="DE57" i="3" s="1"/>
  <c r="DF57" i="3" s="1"/>
  <c r="DG57" i="3" s="1"/>
  <c r="DD57" i="3" l="1"/>
  <c r="DI57" i="3"/>
  <c r="DH57" i="3"/>
  <c r="DE58" i="3" s="1"/>
  <c r="DF58" i="3" s="1"/>
  <c r="DG58" i="3" s="1"/>
  <c r="DD58" i="3" l="1"/>
  <c r="DH58" i="3"/>
  <c r="DE59" i="3" s="1"/>
  <c r="DF59" i="3" s="1"/>
  <c r="DG59" i="3" s="1"/>
  <c r="DI58" i="3"/>
  <c r="DD59" i="3"/>
  <c r="DH59" i="3" l="1"/>
  <c r="DE60" i="3" s="1"/>
  <c r="DF60" i="3" s="1"/>
  <c r="DG60" i="3" s="1"/>
  <c r="DI59" i="3"/>
  <c r="DD60" i="3"/>
  <c r="DH60" i="3" l="1"/>
  <c r="DE61" i="3" s="1"/>
  <c r="DF61" i="3" s="1"/>
  <c r="DG61" i="3" s="1"/>
  <c r="DI60" i="3"/>
  <c r="DD61" i="3"/>
  <c r="DI61" i="3" l="1"/>
  <c r="DH61" i="3"/>
  <c r="DE62" i="3" s="1"/>
  <c r="DF62" i="3" s="1"/>
  <c r="DG62" i="3" s="1"/>
  <c r="DD62" i="3" l="1"/>
  <c r="DI62" i="3" l="1"/>
  <c r="DH62" i="3"/>
  <c r="DE63" i="3" s="1"/>
  <c r="DF63" i="3" s="1"/>
  <c r="DG63" i="3" s="1"/>
  <c r="DD63" i="3" l="1"/>
  <c r="DI63" i="3" s="1"/>
  <c r="DH63" i="3"/>
  <c r="DE64" i="3" s="1"/>
  <c r="DF64" i="3" s="1"/>
  <c r="DG64" i="3" s="1"/>
  <c r="DD64" i="3" l="1"/>
  <c r="DI64" i="3" s="1"/>
  <c r="DH64" i="3"/>
  <c r="DE65" i="3" s="1"/>
  <c r="DF65" i="3" s="1"/>
  <c r="DG65" i="3" s="1"/>
  <c r="DD65" i="3" l="1"/>
  <c r="DI65" i="3"/>
  <c r="DH65" i="3"/>
  <c r="DE66" i="3" s="1"/>
  <c r="DF66" i="3" s="1"/>
  <c r="DG66" i="3" s="1"/>
  <c r="DD66" i="3"/>
  <c r="DI66" i="3" l="1"/>
  <c r="DH66" i="3"/>
  <c r="DE67" i="3" s="1"/>
  <c r="DF67" i="3" s="1"/>
  <c r="DG67" i="3" s="1"/>
  <c r="DD67" i="3" l="1"/>
  <c r="DH67" i="3"/>
  <c r="DE68" i="3" s="1"/>
  <c r="DF68" i="3" s="1"/>
  <c r="DG68" i="3" s="1"/>
  <c r="DD68" i="3"/>
  <c r="DI67" i="3"/>
  <c r="DI68" i="3" l="1"/>
  <c r="DH68" i="3"/>
  <c r="DE69" i="3" s="1"/>
  <c r="DF69" i="3" s="1"/>
  <c r="DG69" i="3" s="1"/>
  <c r="DD69" i="3" l="1"/>
  <c r="DI69" i="3"/>
  <c r="DH69" i="3"/>
  <c r="DE70" i="3" s="1"/>
  <c r="DF70" i="3" s="1"/>
  <c r="DG70" i="3" s="1"/>
  <c r="DD70" i="3"/>
  <c r="DI70" i="3" l="1"/>
  <c r="DH70" i="3"/>
  <c r="DE71" i="3" s="1"/>
  <c r="DF71" i="3" s="1"/>
  <c r="DG71" i="3" s="1"/>
  <c r="DD71" i="3" l="1"/>
  <c r="DI71" i="3" l="1"/>
  <c r="DH71" i="3"/>
  <c r="DE72" i="3" s="1"/>
  <c r="DF72" i="3" s="1"/>
  <c r="DG72" i="3" s="1"/>
  <c r="DD72" i="3" l="1"/>
  <c r="DI72" i="3" l="1"/>
  <c r="DH72" i="3"/>
  <c r="DE73" i="3" s="1"/>
  <c r="DF73" i="3" s="1"/>
  <c r="DG73" i="3" s="1"/>
  <c r="DD73" i="3" l="1"/>
  <c r="DI73" i="3" l="1"/>
  <c r="DH73" i="3"/>
  <c r="DE74" i="3" s="1"/>
  <c r="DF74" i="3" s="1"/>
  <c r="DG74" i="3" s="1"/>
  <c r="DD74" i="3" l="1"/>
  <c r="DI74" i="3"/>
  <c r="DH74" i="3"/>
  <c r="DE75" i="3" s="1"/>
  <c r="DF75" i="3" s="1"/>
  <c r="DG75" i="3" s="1"/>
  <c r="DD75" i="3"/>
  <c r="DI75" i="3" l="1"/>
  <c r="DH75" i="3"/>
  <c r="DE76" i="3" s="1"/>
  <c r="DF76" i="3" s="1"/>
  <c r="DG76" i="3" s="1"/>
  <c r="DD76" i="3"/>
  <c r="DI76" i="3" l="1"/>
  <c r="DH76" i="3"/>
  <c r="DE77" i="3" s="1"/>
  <c r="DF77" i="3" s="1"/>
  <c r="DG77" i="3" s="1"/>
  <c r="DD77" i="3" l="1"/>
  <c r="DI77" i="3"/>
  <c r="DH77" i="3"/>
  <c r="DE78" i="3" s="1"/>
  <c r="DF78" i="3" s="1"/>
  <c r="DG78" i="3" s="1"/>
  <c r="DD78" i="3" l="1"/>
  <c r="DH78" i="3" l="1"/>
  <c r="DE79" i="3" s="1"/>
  <c r="DF79" i="3" s="1"/>
  <c r="DG79" i="3" s="1"/>
  <c r="DI78" i="3"/>
  <c r="DD79" i="3" l="1"/>
  <c r="DI79" i="3"/>
  <c r="DH79" i="3"/>
  <c r="DE80" i="3" s="1"/>
  <c r="DF80" i="3" s="1"/>
  <c r="DG80" i="3" s="1"/>
  <c r="DD80" i="3" l="1"/>
  <c r="DI80" i="3"/>
  <c r="DH80" i="3"/>
  <c r="DE81" i="3" s="1"/>
  <c r="DF81" i="3" s="1"/>
  <c r="DG81" i="3" s="1"/>
  <c r="DD81" i="3"/>
  <c r="DI81" i="3" l="1"/>
  <c r="DH81" i="3"/>
  <c r="DE82" i="3" s="1"/>
  <c r="DF82" i="3" s="1"/>
  <c r="DG82" i="3" s="1"/>
  <c r="DD82" i="3"/>
  <c r="DI82" i="3" l="1"/>
  <c r="DH82" i="3"/>
  <c r="DE83" i="3" s="1"/>
  <c r="DF83" i="3" s="1"/>
  <c r="DG83" i="3" s="1"/>
  <c r="DD83" i="3" l="1"/>
  <c r="DI83" i="3"/>
  <c r="DH83" i="3"/>
  <c r="DE84" i="3" s="1"/>
  <c r="DF84" i="3" s="1"/>
  <c r="DG84" i="3" s="1"/>
  <c r="DD84" i="3"/>
  <c r="DH84" i="3" l="1"/>
  <c r="DE85" i="3" s="1"/>
  <c r="DF85" i="3" s="1"/>
  <c r="DG85" i="3" s="1"/>
  <c r="DI84" i="3"/>
  <c r="DD85" i="3" l="1"/>
  <c r="DI85" i="3" l="1"/>
  <c r="DH85" i="3"/>
  <c r="DE86" i="3" s="1"/>
  <c r="DD86" i="3"/>
  <c r="DI86" i="3" l="1"/>
  <c r="DF86" i="3"/>
  <c r="DG86" i="3" s="1"/>
  <c r="DH86" i="3" s="1"/>
  <c r="DD87" i="3" l="1"/>
  <c r="DE87" i="3"/>
  <c r="DF87" i="3" l="1"/>
  <c r="DG87" i="3" s="1"/>
  <c r="DH87" i="3" s="1"/>
  <c r="DI87" i="3"/>
  <c r="DE88" i="3" l="1"/>
  <c r="DF88" i="3" s="1"/>
  <c r="DG88" i="3" s="1"/>
  <c r="DD88" i="3"/>
  <c r="DI88" i="3" s="1"/>
  <c r="DH88" i="3"/>
  <c r="DE89" i="3" s="1"/>
  <c r="DF89" i="3" s="1"/>
  <c r="DG89" i="3" s="1"/>
  <c r="DD89" i="3" l="1"/>
  <c r="DI89" i="3"/>
  <c r="DH89" i="3"/>
  <c r="DE90" i="3" s="1"/>
  <c r="DD90" i="3"/>
  <c r="DI90" i="3" l="1"/>
  <c r="DF90" i="3"/>
  <c r="DG90" i="3" s="1"/>
  <c r="DH90" i="3" s="1"/>
  <c r="DD91" i="3" l="1"/>
  <c r="DE91" i="3"/>
  <c r="DF91" i="3" s="1"/>
  <c r="DG91" i="3" s="1"/>
  <c r="DI91" i="3" l="1"/>
  <c r="DH91" i="3"/>
  <c r="DE92" i="3" s="1"/>
  <c r="DF92" i="3" s="1"/>
  <c r="DG92" i="3" s="1"/>
  <c r="DD92" i="3" l="1"/>
  <c r="DI92" i="3"/>
  <c r="DH92" i="3"/>
  <c r="DE93" i="3" s="1"/>
  <c r="DF93" i="3" s="1"/>
  <c r="DG93" i="3" s="1"/>
  <c r="DD93" i="3" l="1"/>
  <c r="DI93" i="3"/>
  <c r="DH93" i="3"/>
  <c r="DE94" i="3" s="1"/>
  <c r="DF94" i="3" s="1"/>
  <c r="DG94" i="3" s="1"/>
  <c r="DD94" i="3" l="1"/>
  <c r="DI94" i="3"/>
  <c r="DH94" i="3"/>
  <c r="DE95" i="3" s="1"/>
  <c r="DF95" i="3" s="1"/>
  <c r="DG95" i="3" s="1"/>
  <c r="DD95" i="3" l="1"/>
  <c r="DH95" i="3"/>
  <c r="DE96" i="3" s="1"/>
  <c r="DF96" i="3" s="1"/>
  <c r="DG96" i="3" s="1"/>
  <c r="DI95" i="3"/>
  <c r="DD96" i="3"/>
  <c r="DH96" i="3" l="1"/>
  <c r="DE97" i="3" s="1"/>
  <c r="DF97" i="3" s="1"/>
  <c r="DG97" i="3" s="1"/>
  <c r="DI96" i="3"/>
  <c r="DD97" i="3"/>
  <c r="DH97" i="3" l="1"/>
  <c r="DE98" i="3" s="1"/>
  <c r="DF98" i="3" s="1"/>
  <c r="DG98" i="3" s="1"/>
  <c r="DI97" i="3"/>
  <c r="DD98" i="3"/>
  <c r="DH98" i="3" l="1"/>
  <c r="DE99" i="3" s="1"/>
  <c r="DF99" i="3" s="1"/>
  <c r="DG99" i="3" s="1"/>
  <c r="DI98" i="3"/>
  <c r="DD99" i="3"/>
  <c r="DI99" i="3" l="1"/>
  <c r="DH99" i="3"/>
  <c r="DE100" i="3" s="1"/>
  <c r="DF100" i="3" s="1"/>
  <c r="DG100" i="3" s="1"/>
  <c r="DD100" i="3" l="1"/>
  <c r="DI100" i="3"/>
  <c r="DH100" i="3"/>
  <c r="DE101" i="3" s="1"/>
  <c r="DF101" i="3" s="1"/>
  <c r="DG101" i="3" s="1"/>
  <c r="DD101" i="3"/>
  <c r="DH101" i="3" l="1"/>
  <c r="DE102" i="3" s="1"/>
  <c r="DF102" i="3" s="1"/>
  <c r="DG102" i="3" s="1"/>
  <c r="DI101" i="3"/>
  <c r="DD102" i="3"/>
  <c r="DI102" i="3" l="1"/>
  <c r="DH102" i="3"/>
  <c r="DE103" i="3" s="1"/>
  <c r="DF103" i="3" s="1"/>
  <c r="DG103" i="3" s="1"/>
  <c r="DD103" i="3" l="1"/>
  <c r="DH103" i="3"/>
  <c r="DE104" i="3" s="1"/>
  <c r="DF104" i="3" s="1"/>
  <c r="DG104" i="3" s="1"/>
  <c r="DI103" i="3"/>
  <c r="DD104" i="3"/>
  <c r="DI104" i="3" l="1"/>
  <c r="DH104" i="3"/>
  <c r="DE105" i="3" s="1"/>
  <c r="DF105" i="3" s="1"/>
  <c r="DG105" i="3" s="1"/>
  <c r="DD105" i="3" l="1"/>
  <c r="DH105" i="3"/>
  <c r="DE106" i="3" s="1"/>
  <c r="DF106" i="3" s="1"/>
  <c r="DG106" i="3" s="1"/>
  <c r="DI105" i="3"/>
  <c r="DD106" i="3"/>
  <c r="DI106" i="3" l="1"/>
  <c r="DH106" i="3"/>
  <c r="DE107" i="3" s="1"/>
  <c r="DF107" i="3" s="1"/>
  <c r="DG107" i="3" s="1"/>
  <c r="DD107" i="3" l="1"/>
  <c r="DI107" i="3"/>
  <c r="DH107" i="3"/>
  <c r="DE108" i="3" s="1"/>
  <c r="DF108" i="3" s="1"/>
  <c r="DG108" i="3" s="1"/>
  <c r="DD108" i="3"/>
  <c r="DI108" i="3" l="1"/>
  <c r="DH108" i="3"/>
  <c r="DE109" i="3" s="1"/>
  <c r="DF109" i="3" s="1"/>
  <c r="DG109" i="3" s="1"/>
  <c r="DD109" i="3" l="1"/>
  <c r="DI109" i="3"/>
  <c r="DH109" i="3"/>
  <c r="DE110" i="3" s="1"/>
  <c r="DF110" i="3" s="1"/>
  <c r="DG110" i="3" s="1"/>
  <c r="DD110" i="3" l="1"/>
  <c r="DI110" i="3"/>
  <c r="DH110" i="3"/>
  <c r="DE111" i="3" s="1"/>
  <c r="DF111" i="3" s="1"/>
  <c r="DG111" i="3" s="1"/>
  <c r="DD111" i="3" l="1"/>
  <c r="DH111" i="3"/>
  <c r="DE112" i="3" s="1"/>
  <c r="DF112" i="3" s="1"/>
  <c r="DG112" i="3" s="1"/>
  <c r="DI111" i="3"/>
  <c r="DD112" i="3"/>
  <c r="DI112" i="3" l="1"/>
  <c r="DH112" i="3"/>
  <c r="DE113" i="3" s="1"/>
  <c r="DF113" i="3" s="1"/>
  <c r="DG113" i="3" s="1"/>
  <c r="DD113" i="3"/>
  <c r="DI113" i="3" l="1"/>
  <c r="DH113" i="3"/>
  <c r="DE114" i="3" s="1"/>
  <c r="DF114" i="3" s="1"/>
  <c r="DG114" i="3" s="1"/>
  <c r="DD114" i="3"/>
  <c r="DH114" i="3" l="1"/>
  <c r="DE115" i="3" s="1"/>
  <c r="DF115" i="3" s="1"/>
  <c r="DG115" i="3" s="1"/>
  <c r="DI114" i="3"/>
  <c r="DD115" i="3"/>
  <c r="DI115" i="3" l="1"/>
  <c r="DH115" i="3"/>
  <c r="DE116" i="3" s="1"/>
  <c r="DF116" i="3" s="1"/>
  <c r="DG116" i="3" s="1"/>
  <c r="DD116" i="3" l="1"/>
  <c r="DH116" i="3"/>
  <c r="DE117" i="3" s="1"/>
  <c r="DF117" i="3" s="1"/>
  <c r="DG117" i="3" s="1"/>
  <c r="DI116" i="3"/>
  <c r="DD117" i="3"/>
  <c r="DH117" i="3" l="1"/>
  <c r="DE118" i="3" s="1"/>
  <c r="DF118" i="3" s="1"/>
  <c r="DG118" i="3" s="1"/>
  <c r="DI117" i="3"/>
  <c r="DD118" i="3"/>
  <c r="DH118" i="3" l="1"/>
  <c r="DE119" i="3" s="1"/>
  <c r="DF119" i="3" s="1"/>
  <c r="DG119" i="3" s="1"/>
  <c r="DI118" i="3"/>
  <c r="DD119" i="3"/>
  <c r="DI119" i="3" l="1"/>
  <c r="DH119" i="3"/>
  <c r="DE120" i="3" s="1"/>
  <c r="DF120" i="3" s="1"/>
  <c r="DG120" i="3" s="1"/>
  <c r="DD120" i="3"/>
  <c r="DH120" i="3" l="1"/>
  <c r="DE121" i="3" s="1"/>
  <c r="DF121" i="3" s="1"/>
  <c r="DG121" i="3" s="1"/>
  <c r="DI120" i="3"/>
  <c r="DD121" i="3"/>
  <c r="DH121" i="3" l="1"/>
  <c r="DE122" i="3" s="1"/>
  <c r="DF122" i="3" s="1"/>
  <c r="DG122" i="3" s="1"/>
  <c r="DD122" i="3"/>
  <c r="DI121" i="3"/>
  <c r="DI122" i="3" l="1"/>
  <c r="DH122" i="3"/>
  <c r="DE123" i="3" s="1"/>
  <c r="DF123" i="3" s="1"/>
  <c r="DG123" i="3" s="1"/>
  <c r="DD123" i="3" l="1"/>
  <c r="DI123" i="3"/>
  <c r="DH123" i="3"/>
  <c r="DE124" i="3" s="1"/>
  <c r="DF124" i="3" s="1"/>
  <c r="DG124" i="3" s="1"/>
  <c r="DD124" i="3"/>
  <c r="DI124" i="3" l="1"/>
  <c r="DH124" i="3"/>
  <c r="DE125" i="3" s="1"/>
  <c r="DF125" i="3" s="1"/>
  <c r="DG125" i="3" s="1"/>
  <c r="DD125" i="3" l="1"/>
  <c r="DI125" i="3"/>
  <c r="DH125" i="3"/>
  <c r="DE126" i="3" s="1"/>
  <c r="DF126" i="3" s="1"/>
  <c r="DG126" i="3" s="1"/>
  <c r="DD126" i="3"/>
  <c r="DH126" i="3" l="1"/>
  <c r="DE127" i="3" s="1"/>
  <c r="DF127" i="3" s="1"/>
  <c r="DG127" i="3" s="1"/>
  <c r="DI126" i="3"/>
  <c r="DD127" i="3"/>
  <c r="DH127" i="3" l="1"/>
  <c r="DE128" i="3" s="1"/>
  <c r="DF128" i="3" s="1"/>
  <c r="DG128" i="3" s="1"/>
  <c r="DI127" i="3"/>
  <c r="DD128" i="3"/>
  <c r="DI128" i="3" l="1"/>
  <c r="DH128" i="3"/>
  <c r="DE129" i="3" s="1"/>
  <c r="DF129" i="3" s="1"/>
  <c r="DG129" i="3" s="1"/>
  <c r="DD129" i="3" l="1"/>
  <c r="DI129" i="3" s="1"/>
  <c r="DH129" i="3"/>
  <c r="DE130" i="3" s="1"/>
  <c r="DF130" i="3" s="1"/>
  <c r="DG130" i="3" s="1"/>
  <c r="DD130" i="3" l="1"/>
  <c r="DH130" i="3"/>
  <c r="DE131" i="3" s="1"/>
  <c r="DF131" i="3" s="1"/>
  <c r="DG131" i="3" s="1"/>
  <c r="DI130" i="3"/>
  <c r="DD131" i="3"/>
  <c r="DI131" i="3" l="1"/>
  <c r="DH131" i="3"/>
  <c r="DE132" i="3" s="1"/>
  <c r="DF132" i="3" s="1"/>
  <c r="DG132" i="3" s="1"/>
  <c r="DD132" i="3"/>
  <c r="DH132" i="3" l="1"/>
  <c r="DE133" i="3" s="1"/>
  <c r="DF133" i="3" s="1"/>
  <c r="DG133" i="3" s="1"/>
  <c r="DI132" i="3"/>
  <c r="DD133" i="3"/>
  <c r="DI133" i="3" l="1"/>
  <c r="DH133" i="3"/>
  <c r="DE134" i="3" s="1"/>
  <c r="DF134" i="3" s="1"/>
  <c r="DG134" i="3" s="1"/>
  <c r="DD134" i="3"/>
  <c r="DR34" i="3" l="1"/>
  <c r="DI134" i="3"/>
  <c r="N11" i="3" s="1"/>
  <c r="DH134" i="3"/>
  <c r="DW34" i="3" l="1"/>
  <c r="DV34" i="3"/>
  <c r="DS35" i="3" s="1"/>
  <c r="DR35" i="3" l="1"/>
  <c r="DW35" i="3" s="1"/>
  <c r="DT35" i="3"/>
  <c r="DU35" i="3" s="1"/>
  <c r="DV35" i="3" s="1"/>
  <c r="DR36" i="3" s="1"/>
  <c r="DS36" i="3" l="1"/>
  <c r="DT36" i="3" s="1"/>
  <c r="DU36" i="3" s="1"/>
  <c r="DV36" i="3" s="1"/>
  <c r="DS37" i="3" s="1"/>
  <c r="DT37" i="3" s="1"/>
  <c r="DU37" i="3" s="1"/>
  <c r="DW36" i="3"/>
  <c r="DR37" i="3" l="1"/>
  <c r="DW37" i="3"/>
  <c r="DV37" i="3"/>
  <c r="DS38" i="3" s="1"/>
  <c r="DT38" i="3" s="1"/>
  <c r="DU38" i="3" s="1"/>
  <c r="DR38" i="3" l="1"/>
  <c r="DW38" i="3"/>
  <c r="DV38" i="3"/>
  <c r="DS39" i="3" s="1"/>
  <c r="DT39" i="3" s="1"/>
  <c r="DU39" i="3" s="1"/>
  <c r="DR39" i="3" l="1"/>
  <c r="DW39" i="3" l="1"/>
  <c r="DV39" i="3"/>
  <c r="DS40" i="3" l="1"/>
  <c r="DT40" i="3" s="1"/>
  <c r="DU40" i="3" s="1"/>
  <c r="DR40" i="3"/>
  <c r="DW40" i="3" l="1"/>
  <c r="DV40" i="3"/>
  <c r="DS41" i="3" s="1"/>
  <c r="DT41" i="3" s="1"/>
  <c r="DU41" i="3" s="1"/>
  <c r="DR41" i="3" l="1"/>
  <c r="DW41" i="3" l="1"/>
  <c r="DV41" i="3"/>
  <c r="DS42" i="3" s="1"/>
  <c r="DT42" i="3" l="1"/>
  <c r="DU42" i="3" s="1"/>
  <c r="DR42" i="3"/>
  <c r="DW42" i="3" l="1"/>
  <c r="DV42" i="3"/>
  <c r="DS43" i="3" s="1"/>
  <c r="DR43" i="3"/>
  <c r="DW43" i="3" l="1"/>
  <c r="DT43" i="3"/>
  <c r="DU43" i="3" s="1"/>
  <c r="DV43" i="3" s="1"/>
  <c r="DR44" i="3" l="1"/>
  <c r="DS44" i="3"/>
  <c r="DT44" i="3" s="1"/>
  <c r="DU44" i="3" s="1"/>
  <c r="DV44" i="3" l="1"/>
  <c r="DS45" i="3" s="1"/>
  <c r="DW44" i="3"/>
  <c r="DR45" i="3"/>
  <c r="DW45" i="3" l="1"/>
  <c r="DT45" i="3"/>
  <c r="DU45" i="3" s="1"/>
  <c r="DV45" i="3" s="1"/>
  <c r="DR46" i="3" l="1"/>
  <c r="DS46" i="3"/>
  <c r="DT46" i="3" s="1"/>
  <c r="DU46" i="3" s="1"/>
  <c r="DW46" i="3" l="1"/>
  <c r="DV46" i="3"/>
  <c r="DS47" i="3" s="1"/>
  <c r="DT47" i="3" s="1"/>
  <c r="DU47" i="3" s="1"/>
  <c r="DR47" i="3" l="1"/>
  <c r="DW47" i="3"/>
  <c r="DV47" i="3"/>
  <c r="DS48" i="3" s="1"/>
  <c r="DT48" i="3" s="1"/>
  <c r="DU48" i="3" s="1"/>
  <c r="DR48" i="3" l="1"/>
  <c r="DV48" i="3"/>
  <c r="DW48" i="3"/>
  <c r="DS49" i="3" l="1"/>
  <c r="DT49" i="3" s="1"/>
  <c r="DU49" i="3" s="1"/>
  <c r="DR49" i="3"/>
  <c r="DV49" i="3" l="1"/>
  <c r="DS50" i="3" s="1"/>
  <c r="DT50" i="3" s="1"/>
  <c r="DU50" i="3" s="1"/>
  <c r="DW49" i="3"/>
  <c r="DR50" i="3"/>
  <c r="DW50" i="3" l="1"/>
  <c r="DV50" i="3"/>
  <c r="DS51" i="3" s="1"/>
  <c r="DT51" i="3" s="1"/>
  <c r="DU51" i="3" s="1"/>
  <c r="DR51" i="3" l="1"/>
  <c r="DW51" i="3"/>
  <c r="DV51" i="3"/>
  <c r="DS52" i="3" s="1"/>
  <c r="DT52" i="3" s="1"/>
  <c r="DU52" i="3" s="1"/>
  <c r="DR52" i="3" l="1"/>
  <c r="DV52" i="3" l="1"/>
  <c r="DW52" i="3"/>
  <c r="DS53" i="3" l="1"/>
  <c r="DT53" i="3" s="1"/>
  <c r="DU53" i="3" s="1"/>
  <c r="DR53" i="3"/>
  <c r="DW53" i="3" l="1"/>
  <c r="DV53" i="3"/>
  <c r="DS54" i="3" s="1"/>
  <c r="DT54" i="3" s="1"/>
  <c r="DU54" i="3" s="1"/>
  <c r="DV54" i="3" s="1"/>
  <c r="DS55" i="3" s="1"/>
  <c r="DT55" i="3" s="1"/>
  <c r="DU55" i="3" s="1"/>
  <c r="DR54" i="3"/>
  <c r="DW54" i="3"/>
  <c r="DR55" i="3" l="1"/>
  <c r="DW55" i="3" l="1"/>
  <c r="DV55" i="3"/>
  <c r="DS56" i="3" s="1"/>
  <c r="DT56" i="3" s="1"/>
  <c r="DU56" i="3" s="1"/>
  <c r="DR56" i="3" l="1"/>
  <c r="DW56" i="3" l="1"/>
  <c r="DV56" i="3"/>
  <c r="DS57" i="3" s="1"/>
  <c r="DT57" i="3" s="1"/>
  <c r="DU57" i="3" s="1"/>
  <c r="DR57" i="3"/>
  <c r="DV57" i="3" l="1"/>
  <c r="DS58" i="3" s="1"/>
  <c r="DT58" i="3" s="1"/>
  <c r="DU58" i="3" s="1"/>
  <c r="DW57" i="3"/>
  <c r="DR58" i="3"/>
  <c r="DW58" i="3" l="1"/>
  <c r="DV58" i="3"/>
  <c r="DS59" i="3" s="1"/>
  <c r="DT59" i="3" s="1"/>
  <c r="DU59" i="3" s="1"/>
  <c r="DR59" i="3" l="1"/>
  <c r="DW59" i="3"/>
  <c r="DV59" i="3"/>
  <c r="DS60" i="3" s="1"/>
  <c r="DT60" i="3" s="1"/>
  <c r="DU60" i="3" s="1"/>
  <c r="DR60" i="3" l="1"/>
  <c r="DW60" i="3" l="1"/>
  <c r="DV60" i="3"/>
  <c r="DS61" i="3" s="1"/>
  <c r="DT61" i="3" s="1"/>
  <c r="DU61" i="3" s="1"/>
  <c r="DR61" i="3" l="1"/>
  <c r="DV61" i="3" l="1"/>
  <c r="DS62" i="3" s="1"/>
  <c r="DT62" i="3" s="1"/>
  <c r="DU62" i="3" s="1"/>
  <c r="DW61" i="3"/>
  <c r="DR62" i="3"/>
  <c r="DW62" i="3" l="1"/>
  <c r="DV62" i="3"/>
  <c r="DS63" i="3" s="1"/>
  <c r="DT63" i="3" s="1"/>
  <c r="DU63" i="3" s="1"/>
  <c r="DR63" i="3" l="1"/>
  <c r="DW63" i="3" s="1"/>
  <c r="DV63" i="3"/>
  <c r="DS64" i="3" s="1"/>
  <c r="DT64" i="3" s="1"/>
  <c r="DU64" i="3" s="1"/>
  <c r="DR64" i="3" l="1"/>
  <c r="DV64" i="3" l="1"/>
  <c r="DS65" i="3" s="1"/>
  <c r="DT65" i="3" s="1"/>
  <c r="DU65" i="3" s="1"/>
  <c r="DW64" i="3"/>
  <c r="DR65" i="3"/>
  <c r="DW65" i="3" l="1"/>
  <c r="DV65" i="3"/>
  <c r="DS66" i="3" s="1"/>
  <c r="DT66" i="3" s="1"/>
  <c r="DU66" i="3" s="1"/>
  <c r="DR66" i="3" l="1"/>
  <c r="DW66" i="3" s="1"/>
  <c r="DV66" i="3" l="1"/>
  <c r="DS67" i="3" s="1"/>
  <c r="DT67" i="3" s="1"/>
  <c r="DU67" i="3" s="1"/>
  <c r="DR67" i="3"/>
  <c r="DW67" i="3" l="1"/>
  <c r="DV67" i="3"/>
  <c r="DS68" i="3" s="1"/>
  <c r="DT68" i="3" s="1"/>
  <c r="DU68" i="3" s="1"/>
  <c r="DR68" i="3" l="1"/>
  <c r="DW68" i="3" l="1"/>
  <c r="DV68" i="3"/>
  <c r="DS69" i="3" s="1"/>
  <c r="DT69" i="3" s="1"/>
  <c r="DU69" i="3" s="1"/>
  <c r="DR69" i="3" l="1"/>
  <c r="DV69" i="3"/>
  <c r="DS70" i="3" s="1"/>
  <c r="DT70" i="3" s="1"/>
  <c r="DU70" i="3" s="1"/>
  <c r="DW69" i="3"/>
  <c r="DR70" i="3" l="1"/>
  <c r="DW70" i="3"/>
  <c r="DV70" i="3"/>
  <c r="DS71" i="3" s="1"/>
  <c r="DT71" i="3" s="1"/>
  <c r="DU71" i="3" s="1"/>
  <c r="DR71" i="3" l="1"/>
  <c r="DW71" i="3" l="1"/>
  <c r="DV71" i="3"/>
  <c r="DS72" i="3" s="1"/>
  <c r="DT72" i="3" s="1"/>
  <c r="DU72" i="3" s="1"/>
  <c r="DR72" i="3" l="1"/>
  <c r="DW72" i="3" s="1"/>
  <c r="DV72" i="3" l="1"/>
  <c r="DS73" i="3" s="1"/>
  <c r="DT73" i="3" s="1"/>
  <c r="DU73" i="3" s="1"/>
  <c r="DR73" i="3"/>
  <c r="DW73" i="3" s="1"/>
  <c r="DV73" i="3"/>
  <c r="DS74" i="3" s="1"/>
  <c r="DT74" i="3" s="1"/>
  <c r="DU74" i="3" s="1"/>
  <c r="DR74" i="3" l="1"/>
  <c r="DW74" i="3" l="1"/>
  <c r="DV74" i="3"/>
  <c r="DS75" i="3" s="1"/>
  <c r="DT75" i="3" s="1"/>
  <c r="DU75" i="3" s="1"/>
  <c r="DR75" i="3" l="1"/>
  <c r="DW75" i="3"/>
  <c r="DV75" i="3"/>
  <c r="DS76" i="3" s="1"/>
  <c r="DT76" i="3" s="1"/>
  <c r="DU76" i="3" s="1"/>
  <c r="DR76" i="3" l="1"/>
  <c r="DW76" i="3"/>
  <c r="DV76" i="3"/>
  <c r="DS77" i="3" s="1"/>
  <c r="DT77" i="3" s="1"/>
  <c r="DU77" i="3" s="1"/>
  <c r="DR77" i="3" l="1"/>
  <c r="DV77" i="3" s="1"/>
  <c r="DS78" i="3" s="1"/>
  <c r="DT78" i="3" s="1"/>
  <c r="DU78" i="3" s="1"/>
  <c r="DW77" i="3"/>
  <c r="DR78" i="3" l="1"/>
  <c r="DV78" i="3"/>
  <c r="DS79" i="3" s="1"/>
  <c r="DT79" i="3" s="1"/>
  <c r="DU79" i="3" s="1"/>
  <c r="DW78" i="3"/>
  <c r="DR79" i="3" l="1"/>
  <c r="DV79" i="3"/>
  <c r="DS80" i="3" s="1"/>
  <c r="DT80" i="3" s="1"/>
  <c r="DU80" i="3" s="1"/>
  <c r="DW79" i="3"/>
  <c r="DR80" i="3" l="1"/>
  <c r="DW80" i="3"/>
  <c r="DV80" i="3"/>
  <c r="DS81" i="3" s="1"/>
  <c r="DT81" i="3" s="1"/>
  <c r="DU81" i="3" s="1"/>
  <c r="DR81" i="3" l="1"/>
  <c r="DW81" i="3" s="1"/>
  <c r="DV81" i="3"/>
  <c r="DS82" i="3" s="1"/>
  <c r="DT82" i="3" s="1"/>
  <c r="DU82" i="3" s="1"/>
  <c r="DR82" i="3" l="1"/>
  <c r="DW82" i="3"/>
  <c r="DV82" i="3"/>
  <c r="DS83" i="3" s="1"/>
  <c r="DT83" i="3" s="1"/>
  <c r="DU83" i="3" s="1"/>
  <c r="DR83" i="3" l="1"/>
  <c r="DW83" i="3"/>
  <c r="DV83" i="3"/>
  <c r="DS84" i="3" s="1"/>
  <c r="DT84" i="3" s="1"/>
  <c r="DU84" i="3" s="1"/>
  <c r="DR84" i="3" l="1"/>
  <c r="DV84" i="3"/>
  <c r="DS85" i="3" s="1"/>
  <c r="DT85" i="3" s="1"/>
  <c r="DU85" i="3" s="1"/>
  <c r="DR85" i="3"/>
  <c r="DW84" i="3"/>
  <c r="DW85" i="3" l="1"/>
  <c r="DV85" i="3"/>
  <c r="DS86" i="3" s="1"/>
  <c r="DT86" i="3" s="1"/>
  <c r="DU86" i="3" s="1"/>
  <c r="DR86" i="3" l="1"/>
  <c r="DW86" i="3" s="1"/>
  <c r="DV86" i="3"/>
  <c r="DS87" i="3" s="1"/>
  <c r="DT87" i="3" s="1"/>
  <c r="DU87" i="3" s="1"/>
  <c r="DR87" i="3" l="1"/>
  <c r="DV87" i="3"/>
  <c r="DS88" i="3" s="1"/>
  <c r="DT88" i="3" s="1"/>
  <c r="DU88" i="3" s="1"/>
  <c r="DW87" i="3"/>
  <c r="DR88" i="3" l="1"/>
  <c r="DW88" i="3"/>
  <c r="DV88" i="3"/>
  <c r="DS89" i="3" s="1"/>
  <c r="DT89" i="3" s="1"/>
  <c r="DU89" i="3" s="1"/>
  <c r="DR89" i="3" l="1"/>
  <c r="DW89" i="3" l="1"/>
  <c r="DV89" i="3"/>
  <c r="DS90" i="3" s="1"/>
  <c r="DT90" i="3" s="1"/>
  <c r="DU90" i="3" s="1"/>
  <c r="DR90" i="3" l="1"/>
  <c r="DW90" i="3"/>
  <c r="DV90" i="3"/>
  <c r="DS91" i="3" s="1"/>
  <c r="DT91" i="3" s="1"/>
  <c r="DU91" i="3" s="1"/>
  <c r="DR91" i="3" l="1"/>
  <c r="DW91" i="3"/>
  <c r="DV91" i="3"/>
  <c r="DS92" i="3" s="1"/>
  <c r="DT92" i="3" s="1"/>
  <c r="DU92" i="3" s="1"/>
  <c r="DR92" i="3" l="1"/>
  <c r="DV92" i="3" s="1"/>
  <c r="DW92" i="3"/>
  <c r="DS93" i="3" l="1"/>
  <c r="DT93" i="3" s="1"/>
  <c r="DU93" i="3" s="1"/>
  <c r="DR93" i="3"/>
  <c r="DW93" i="3" s="1"/>
  <c r="DV93" i="3"/>
  <c r="DS94" i="3" s="1"/>
  <c r="DT94" i="3" s="1"/>
  <c r="DU94" i="3" s="1"/>
  <c r="DR94" i="3" l="1"/>
  <c r="DV94" i="3" l="1"/>
  <c r="DS95" i="3" s="1"/>
  <c r="DT95" i="3" s="1"/>
  <c r="DU95" i="3" s="1"/>
  <c r="DW94" i="3"/>
  <c r="DR95" i="3" l="1"/>
  <c r="DV95" i="3"/>
  <c r="DS96" i="3" s="1"/>
  <c r="DT96" i="3" s="1"/>
  <c r="DU96" i="3" s="1"/>
  <c r="DW95" i="3"/>
  <c r="DR96" i="3" l="1"/>
  <c r="DV96" i="3" s="1"/>
  <c r="DS97" i="3" s="1"/>
  <c r="DT97" i="3" s="1"/>
  <c r="DU97" i="3" s="1"/>
  <c r="DW96" i="3"/>
  <c r="DR97" i="3" l="1"/>
  <c r="DV97" i="3"/>
  <c r="DS98" i="3" s="1"/>
  <c r="DT98" i="3" s="1"/>
  <c r="DU98" i="3" s="1"/>
  <c r="DW97" i="3"/>
  <c r="DR98" i="3" l="1"/>
  <c r="DW98" i="3" s="1"/>
  <c r="DV98" i="3"/>
  <c r="DS99" i="3" s="1"/>
  <c r="DT99" i="3" s="1"/>
  <c r="DU99" i="3" s="1"/>
  <c r="DR99" i="3" l="1"/>
  <c r="DW99" i="3" l="1"/>
  <c r="DV99" i="3"/>
  <c r="DS100" i="3" s="1"/>
  <c r="DT100" i="3" s="1"/>
  <c r="DU100" i="3" s="1"/>
  <c r="DR100" i="3" l="1"/>
  <c r="DV100" i="3"/>
  <c r="DS101" i="3" s="1"/>
  <c r="DW100" i="3"/>
  <c r="DR101" i="3"/>
  <c r="DW101" i="3" l="1"/>
  <c r="DT101" i="3"/>
  <c r="DU101" i="3" s="1"/>
  <c r="DV101" i="3" s="1"/>
  <c r="DR102" i="3" s="1"/>
  <c r="DS102" i="3" l="1"/>
  <c r="DT102" i="3" s="1"/>
  <c r="DU102" i="3" s="1"/>
  <c r="DW102" i="3"/>
  <c r="DV102" i="3"/>
  <c r="DS103" i="3" s="1"/>
  <c r="DT103" i="3" s="1"/>
  <c r="DU103" i="3" s="1"/>
  <c r="DR103" i="3" l="1"/>
  <c r="DW103" i="3"/>
  <c r="DV103" i="3"/>
  <c r="DS104" i="3" s="1"/>
  <c r="DT104" i="3" s="1"/>
  <c r="DU104" i="3" s="1"/>
  <c r="DR104" i="3" l="1"/>
  <c r="DV104" i="3"/>
  <c r="DS105" i="3" s="1"/>
  <c r="DW104" i="3"/>
  <c r="DR105" i="3" l="1"/>
  <c r="DW105" i="3"/>
  <c r="DT105" i="3"/>
  <c r="DU105" i="3" s="1"/>
  <c r="DV105" i="3" s="1"/>
  <c r="DR106" i="3" s="1"/>
  <c r="DS106" i="3" l="1"/>
  <c r="DT106" i="3" s="1"/>
  <c r="DU106" i="3" s="1"/>
  <c r="DW106" i="3"/>
  <c r="DV106" i="3"/>
  <c r="DS107" i="3" s="1"/>
  <c r="DT107" i="3" s="1"/>
  <c r="DU107" i="3" s="1"/>
  <c r="DR107" i="3"/>
  <c r="DW107" i="3" l="1"/>
  <c r="DV107" i="3"/>
  <c r="DS108" i="3" s="1"/>
  <c r="DT108" i="3" s="1"/>
  <c r="DU108" i="3" s="1"/>
  <c r="DR108" i="3" l="1"/>
  <c r="DW108" i="3" l="1"/>
  <c r="DV108" i="3"/>
  <c r="DS109" i="3" s="1"/>
  <c r="DT109" i="3" s="1"/>
  <c r="DU109" i="3" s="1"/>
  <c r="DR109" i="3" l="1"/>
  <c r="DW109" i="3"/>
  <c r="DV109" i="3"/>
  <c r="DS110" i="3" s="1"/>
  <c r="DT110" i="3" s="1"/>
  <c r="DU110" i="3" s="1"/>
  <c r="DR110" i="3" l="1"/>
  <c r="DV110" i="3"/>
  <c r="DS111" i="3" s="1"/>
  <c r="DT111" i="3" s="1"/>
  <c r="DU111" i="3" s="1"/>
  <c r="DW110" i="3"/>
  <c r="DR111" i="3" l="1"/>
  <c r="DW111" i="3"/>
  <c r="DV111" i="3"/>
  <c r="DS112" i="3" s="1"/>
  <c r="DT112" i="3" s="1"/>
  <c r="DU112" i="3" s="1"/>
  <c r="DR112" i="3"/>
  <c r="DV112" i="3" l="1"/>
  <c r="DS113" i="3" s="1"/>
  <c r="DT113" i="3" s="1"/>
  <c r="DU113" i="3" s="1"/>
  <c r="DR113" i="3"/>
  <c r="DW112" i="3"/>
  <c r="DV113" i="3" l="1"/>
  <c r="DS114" i="3" s="1"/>
  <c r="DW113" i="3"/>
  <c r="DR114" i="3"/>
  <c r="DW114" i="3" l="1"/>
  <c r="DT114" i="3"/>
  <c r="DU114" i="3" s="1"/>
  <c r="DV114" i="3" s="1"/>
  <c r="DR115" i="3" l="1"/>
  <c r="DS115" i="3"/>
  <c r="DT115" i="3" l="1"/>
  <c r="DU115" i="3" s="1"/>
  <c r="DW115" i="3"/>
  <c r="DV115" i="3"/>
  <c r="DS116" i="3" s="1"/>
  <c r="DT116" i="3" l="1"/>
  <c r="DU116" i="3" s="1"/>
  <c r="DR116" i="3"/>
  <c r="DW116" i="3" l="1"/>
  <c r="DV116" i="3"/>
  <c r="DS117" i="3" s="1"/>
  <c r="DT117" i="3" s="1"/>
  <c r="DU117" i="3" s="1"/>
  <c r="DR117" i="3" l="1"/>
  <c r="DW117" i="3" l="1"/>
  <c r="DV117" i="3"/>
  <c r="DS118" i="3" s="1"/>
  <c r="DT118" i="3" s="1"/>
  <c r="DU118" i="3" s="1"/>
  <c r="DR118" i="3"/>
  <c r="DV118" i="3" l="1"/>
  <c r="DS119" i="3" s="1"/>
  <c r="DW118" i="3"/>
  <c r="DR119" i="3" l="1"/>
  <c r="DW119" i="3" s="1"/>
  <c r="DT119" i="3"/>
  <c r="DU119" i="3" s="1"/>
  <c r="DV119" i="3" s="1"/>
  <c r="DR120" i="3" l="1"/>
  <c r="DW120" i="3" s="1"/>
  <c r="DS120" i="3"/>
  <c r="DT120" i="3" l="1"/>
  <c r="DU120" i="3" s="1"/>
  <c r="DV120" i="3" s="1"/>
  <c r="DR121" i="3" s="1"/>
  <c r="DW121" i="3" s="1"/>
  <c r="DS121" i="3" l="1"/>
  <c r="DT121" i="3"/>
  <c r="DU121" i="3" s="1"/>
  <c r="DV121" i="3" s="1"/>
  <c r="DR122" i="3" s="1"/>
  <c r="DS122" i="3" l="1"/>
  <c r="DW122" i="3"/>
  <c r="DT122" i="3" l="1"/>
  <c r="DU122" i="3" s="1"/>
  <c r="DV122" i="3" s="1"/>
  <c r="DR123" i="3" s="1"/>
  <c r="DS123" i="3" l="1"/>
  <c r="DW123" i="3"/>
  <c r="DT123" i="3" l="1"/>
  <c r="DU123" i="3" s="1"/>
  <c r="DV123" i="3" s="1"/>
  <c r="DR124" i="3" s="1"/>
  <c r="DS124" i="3" l="1"/>
  <c r="DT124" i="3" s="1"/>
  <c r="DU124" i="3" s="1"/>
  <c r="DV124" i="3" s="1"/>
  <c r="DS125" i="3" s="1"/>
  <c r="DW124" i="3"/>
  <c r="DR125" i="3" l="1"/>
  <c r="DT125" i="3"/>
  <c r="DU125" i="3" s="1"/>
  <c r="DW125" i="3" l="1"/>
  <c r="DV125" i="3"/>
  <c r="DS126" i="3" s="1"/>
  <c r="DT126" i="3" s="1"/>
  <c r="DU126" i="3" s="1"/>
  <c r="DR126" i="3" l="1"/>
  <c r="DW126" i="3"/>
  <c r="DV126" i="3"/>
  <c r="DS127" i="3" s="1"/>
  <c r="DT127" i="3" s="1"/>
  <c r="DU127" i="3" s="1"/>
  <c r="DR127" i="3" l="1"/>
  <c r="DV127" i="3"/>
  <c r="DS128" i="3" s="1"/>
  <c r="DT128" i="3" s="1"/>
  <c r="DU128" i="3" s="1"/>
  <c r="DW127" i="3"/>
  <c r="DR128" i="3" l="1"/>
  <c r="DW128" i="3"/>
  <c r="DV128" i="3"/>
  <c r="DS129" i="3" s="1"/>
  <c r="DT129" i="3" s="1"/>
  <c r="DU129" i="3" s="1"/>
  <c r="DR129" i="3" l="1"/>
  <c r="DW129" i="3"/>
  <c r="DV129" i="3"/>
  <c r="DS130" i="3" s="1"/>
  <c r="DT130" i="3" s="1"/>
  <c r="DU130" i="3" s="1"/>
  <c r="DR130" i="3" l="1"/>
  <c r="DV130" i="3"/>
  <c r="DS131" i="3" s="1"/>
  <c r="DT131" i="3" s="1"/>
  <c r="DU131" i="3" s="1"/>
  <c r="DW130" i="3"/>
  <c r="DR131" i="3"/>
  <c r="DW131" i="3" l="1"/>
  <c r="DV131" i="3"/>
  <c r="DS132" i="3" s="1"/>
  <c r="DT132" i="3" s="1"/>
  <c r="DU132" i="3" s="1"/>
  <c r="DR132" i="3"/>
  <c r="DW132" i="3" l="1"/>
  <c r="DV132" i="3"/>
  <c r="DS133" i="3" s="1"/>
  <c r="DT133" i="3" s="1"/>
  <c r="DU133" i="3" s="1"/>
  <c r="DR133" i="3"/>
  <c r="DW133" i="3" l="1"/>
  <c r="DV133" i="3"/>
  <c r="DS134" i="3" s="1"/>
  <c r="DT134" i="3" s="1"/>
  <c r="DU134" i="3" s="1"/>
  <c r="DR134" i="3" l="1"/>
  <c r="DW134" i="3"/>
  <c r="N12" i="3" s="1"/>
  <c r="DV134" i="3"/>
  <c r="EF34" i="3"/>
  <c r="EJ34" i="3" l="1"/>
  <c r="EG35" i="3" s="1"/>
  <c r="EK34" i="3"/>
  <c r="EF35" i="3" l="1"/>
  <c r="EK35" i="3" s="1"/>
  <c r="EH35" i="3"/>
  <c r="EI35" i="3" s="1"/>
  <c r="EJ35" i="3" s="1"/>
  <c r="EF36" i="3" s="1"/>
  <c r="EK36" i="3" s="1"/>
  <c r="EG36" i="3" l="1"/>
  <c r="EH36" i="3" l="1"/>
  <c r="EI36" i="3" s="1"/>
  <c r="EJ36" i="3" s="1"/>
  <c r="EF37" i="3" s="1"/>
  <c r="EG37" i="3" l="1"/>
  <c r="EH37" i="3" s="1"/>
  <c r="EI37" i="3" s="1"/>
  <c r="EK37" i="3"/>
  <c r="EJ37" i="3"/>
  <c r="EG38" i="3" s="1"/>
  <c r="EH38" i="3" s="1"/>
  <c r="EI38" i="3" s="1"/>
  <c r="EF38" i="3"/>
  <c r="EJ38" i="3" l="1"/>
  <c r="EG39" i="3" s="1"/>
  <c r="EH39" i="3" s="1"/>
  <c r="EI39" i="3" s="1"/>
  <c r="EK38" i="3"/>
  <c r="EF39" i="3"/>
  <c r="EJ39" i="3" l="1"/>
  <c r="EG40" i="3" s="1"/>
  <c r="EH40" i="3" s="1"/>
  <c r="EI40" i="3" s="1"/>
  <c r="EK39" i="3"/>
  <c r="EF40" i="3"/>
  <c r="EK40" i="3" l="1"/>
  <c r="EJ40" i="3"/>
  <c r="EG41" i="3" s="1"/>
  <c r="EH41" i="3" s="1"/>
  <c r="EI41" i="3" s="1"/>
  <c r="EF41" i="3"/>
  <c r="EK41" i="3" l="1"/>
  <c r="EJ41" i="3"/>
  <c r="EG42" i="3" s="1"/>
  <c r="EH42" i="3" s="1"/>
  <c r="EI42" i="3" s="1"/>
  <c r="EF42" i="3" l="1"/>
  <c r="EK42" i="3" s="1"/>
  <c r="EJ42" i="3" l="1"/>
  <c r="EG43" i="3" l="1"/>
  <c r="EH43" i="3" s="1"/>
  <c r="EI43" i="3" s="1"/>
  <c r="EF43" i="3"/>
  <c r="EK43" i="3" l="1"/>
  <c r="EJ43" i="3"/>
  <c r="EG44" i="3" l="1"/>
  <c r="EH44" i="3" s="1"/>
  <c r="EI44" i="3" s="1"/>
  <c r="EF44" i="3"/>
  <c r="EJ44" i="3" l="1"/>
  <c r="EG45" i="3" s="1"/>
  <c r="EH45" i="3" s="1"/>
  <c r="EI45" i="3" s="1"/>
  <c r="EK44" i="3"/>
  <c r="EF45" i="3"/>
  <c r="EJ45" i="3" l="1"/>
  <c r="EG46" i="3" s="1"/>
  <c r="EH46" i="3" s="1"/>
  <c r="EI46" i="3" s="1"/>
  <c r="EK45" i="3"/>
  <c r="EF46" i="3"/>
  <c r="EK46" i="3" l="1"/>
  <c r="EJ46" i="3"/>
  <c r="EG47" i="3" s="1"/>
  <c r="EH47" i="3" s="1"/>
  <c r="EI47" i="3" s="1"/>
  <c r="EF47" i="3"/>
  <c r="EK47" i="3" l="1"/>
  <c r="EJ47" i="3"/>
  <c r="EG48" i="3" s="1"/>
  <c r="EH48" i="3" s="1"/>
  <c r="EI48" i="3" s="1"/>
  <c r="EF48" i="3" l="1"/>
  <c r="EJ48" i="3" l="1"/>
  <c r="EG49" i="3" s="1"/>
  <c r="EH49" i="3" s="1"/>
  <c r="EI49" i="3" s="1"/>
  <c r="EF49" i="3"/>
  <c r="EK48" i="3"/>
  <c r="EJ49" i="3" l="1"/>
  <c r="EG50" i="3" s="1"/>
  <c r="EH50" i="3" s="1"/>
  <c r="EI50" i="3" s="1"/>
  <c r="EF50" i="3"/>
  <c r="EK49" i="3"/>
  <c r="EK50" i="3" l="1"/>
  <c r="EJ50" i="3"/>
  <c r="EG51" i="3" s="1"/>
  <c r="EH51" i="3" s="1"/>
  <c r="EI51" i="3" s="1"/>
  <c r="EF51" i="3"/>
  <c r="EK51" i="3" l="1"/>
  <c r="EJ51" i="3"/>
  <c r="EG52" i="3" s="1"/>
  <c r="EH52" i="3" s="1"/>
  <c r="EI52" i="3" s="1"/>
  <c r="EF52" i="3" l="1"/>
  <c r="EK52" i="3"/>
  <c r="EJ52" i="3"/>
  <c r="EG53" i="3" s="1"/>
  <c r="EF53" i="3" l="1"/>
  <c r="EK53" i="3"/>
  <c r="EH53" i="3"/>
  <c r="EI53" i="3" s="1"/>
  <c r="EJ53" i="3" s="1"/>
  <c r="EF54" i="3" l="1"/>
  <c r="EG54" i="3"/>
  <c r="EH54" i="3" s="1"/>
  <c r="EI54" i="3" s="1"/>
  <c r="EK54" i="3" l="1"/>
  <c r="EJ54" i="3"/>
  <c r="EG55" i="3" s="1"/>
  <c r="EH55" i="3" s="1"/>
  <c r="EI55" i="3" s="1"/>
  <c r="EF55" i="3"/>
  <c r="EJ55" i="3" l="1"/>
  <c r="EG56" i="3" s="1"/>
  <c r="EH56" i="3" s="1"/>
  <c r="EI56" i="3" s="1"/>
  <c r="EK55" i="3"/>
  <c r="EF56" i="3"/>
  <c r="EK56" i="3" l="1"/>
  <c r="EJ56" i="3"/>
  <c r="EG57" i="3" s="1"/>
  <c r="EF57" i="3"/>
  <c r="EK57" i="3" l="1"/>
  <c r="EH57" i="3"/>
  <c r="EI57" i="3" s="1"/>
  <c r="EJ57" i="3" s="1"/>
  <c r="EF58" i="3" l="1"/>
  <c r="EG58" i="3"/>
  <c r="EH58" i="3" s="1"/>
  <c r="EI58" i="3" s="1"/>
  <c r="EJ58" i="3" l="1"/>
  <c r="EG59" i="3" s="1"/>
  <c r="EH59" i="3" s="1"/>
  <c r="EI59" i="3" s="1"/>
  <c r="EK58" i="3"/>
  <c r="EF59" i="3"/>
  <c r="EJ59" i="3" l="1"/>
  <c r="EK59" i="3"/>
  <c r="EG60" i="3" l="1"/>
  <c r="EH60" i="3" s="1"/>
  <c r="EI60" i="3" s="1"/>
  <c r="EF60" i="3"/>
  <c r="EK60" i="3" l="1"/>
  <c r="EJ60" i="3"/>
  <c r="EG61" i="3" s="1"/>
  <c r="EH61" i="3" s="1"/>
  <c r="EI61" i="3" s="1"/>
  <c r="EF61" i="3"/>
  <c r="EK61" i="3" l="1"/>
  <c r="EJ61" i="3"/>
  <c r="EG62" i="3" l="1"/>
  <c r="EF62" i="3"/>
  <c r="EK62" i="3" l="1"/>
  <c r="EH62" i="3"/>
  <c r="EI62" i="3" s="1"/>
  <c r="EJ62" i="3" s="1"/>
  <c r="EF63" i="3" l="1"/>
  <c r="EG63" i="3"/>
  <c r="EH63" i="3" s="1"/>
  <c r="EI63" i="3" s="1"/>
  <c r="EK63" i="3" l="1"/>
  <c r="EJ63" i="3"/>
  <c r="EG64" i="3" s="1"/>
  <c r="EF64" i="3" l="1"/>
  <c r="EK64" i="3"/>
  <c r="EH64" i="3"/>
  <c r="EI64" i="3" s="1"/>
  <c r="EJ64" i="3" s="1"/>
  <c r="EF65" i="3" l="1"/>
  <c r="EG65" i="3"/>
  <c r="EH65" i="3" s="1"/>
  <c r="EI65" i="3" s="1"/>
  <c r="EK65" i="3" l="1"/>
  <c r="EJ65" i="3"/>
  <c r="EG66" i="3" s="1"/>
  <c r="EH66" i="3" s="1"/>
  <c r="EI66" i="3" s="1"/>
  <c r="EF66" i="3" l="1"/>
  <c r="EK66" i="3" l="1"/>
  <c r="EJ66" i="3"/>
  <c r="EG67" i="3" s="1"/>
  <c r="EF67" i="3"/>
  <c r="EK67" i="3" l="1"/>
  <c r="EH67" i="3"/>
  <c r="EI67" i="3" s="1"/>
  <c r="EJ67" i="3" s="1"/>
  <c r="EF68" i="3" l="1"/>
  <c r="EG68" i="3"/>
  <c r="EH68" i="3" s="1"/>
  <c r="EI68" i="3" s="1"/>
  <c r="EJ68" i="3" l="1"/>
  <c r="EG69" i="3" s="1"/>
  <c r="EH69" i="3" s="1"/>
  <c r="EI69" i="3" s="1"/>
  <c r="EK68" i="3"/>
  <c r="EF69" i="3"/>
  <c r="EK69" i="3" l="1"/>
  <c r="EJ69" i="3"/>
  <c r="EG70" i="3" s="1"/>
  <c r="EH70" i="3" s="1"/>
  <c r="EI70" i="3" s="1"/>
  <c r="EF70" i="3" l="1"/>
  <c r="EJ70" i="3" l="1"/>
  <c r="EG71" i="3" s="1"/>
  <c r="EH71" i="3" s="1"/>
  <c r="EI71" i="3" s="1"/>
  <c r="EK70" i="3"/>
  <c r="EF71" i="3"/>
  <c r="EJ71" i="3" l="1"/>
  <c r="EG72" i="3" s="1"/>
  <c r="EH72" i="3" s="1"/>
  <c r="EI72" i="3" s="1"/>
  <c r="EK71" i="3"/>
  <c r="EF72" i="3"/>
  <c r="EK72" i="3" l="1"/>
  <c r="EJ72" i="3"/>
  <c r="EG73" i="3" s="1"/>
  <c r="EH73" i="3" s="1"/>
  <c r="EI73" i="3" s="1"/>
  <c r="EF73" i="3"/>
  <c r="EK73" i="3" l="1"/>
  <c r="EJ73" i="3"/>
  <c r="EG74" i="3" s="1"/>
  <c r="EH74" i="3" s="1"/>
  <c r="EI74" i="3" s="1"/>
  <c r="EF74" i="3" l="1"/>
  <c r="EK74" i="3"/>
  <c r="EJ74" i="3"/>
  <c r="EG75" i="3" s="1"/>
  <c r="EH75" i="3" s="1"/>
  <c r="EI75" i="3" s="1"/>
  <c r="EF75" i="3"/>
  <c r="EK75" i="3" l="1"/>
  <c r="EJ75" i="3"/>
  <c r="EG76" i="3" s="1"/>
  <c r="EH76" i="3" s="1"/>
  <c r="EI76" i="3" s="1"/>
  <c r="EF76" i="3"/>
  <c r="EK76" i="3" s="1"/>
  <c r="EJ76" i="3" l="1"/>
  <c r="EG77" i="3" s="1"/>
  <c r="EF77" i="3"/>
  <c r="EK77" i="3"/>
  <c r="EH77" i="3"/>
  <c r="EI77" i="3" s="1"/>
  <c r="EJ77" i="3" s="1"/>
  <c r="EF78" i="3" l="1"/>
  <c r="EG78" i="3"/>
  <c r="EH78" i="3" s="1"/>
  <c r="EI78" i="3" s="1"/>
  <c r="EK78" i="3" l="1"/>
  <c r="EJ78" i="3"/>
  <c r="EG79" i="3" s="1"/>
  <c r="EF79" i="3"/>
  <c r="EK79" i="3" l="1"/>
  <c r="EH79" i="3"/>
  <c r="EI79" i="3" s="1"/>
  <c r="EJ79" i="3" s="1"/>
  <c r="EF80" i="3" l="1"/>
  <c r="EG80" i="3"/>
  <c r="EH80" i="3" s="1"/>
  <c r="EI80" i="3" s="1"/>
  <c r="EK80" i="3" l="1"/>
  <c r="EJ80" i="3"/>
  <c r="EG81" i="3" s="1"/>
  <c r="EH81" i="3" s="1"/>
  <c r="EI81" i="3" s="1"/>
  <c r="EF81" i="3" l="1"/>
  <c r="EJ81" i="3" l="1"/>
  <c r="EG82" i="3" s="1"/>
  <c r="EF82" i="3"/>
  <c r="EK81" i="3"/>
  <c r="EK82" i="3" l="1"/>
  <c r="EH82" i="3"/>
  <c r="EI82" i="3" s="1"/>
  <c r="EJ82" i="3" s="1"/>
  <c r="EF83" i="3" l="1"/>
  <c r="EG83" i="3"/>
  <c r="EH83" i="3" s="1"/>
  <c r="EI83" i="3" s="1"/>
  <c r="EJ83" i="3" l="1"/>
  <c r="EG84" i="3" s="1"/>
  <c r="EH84" i="3" s="1"/>
  <c r="EI84" i="3" s="1"/>
  <c r="EK83" i="3"/>
  <c r="EF84" i="3"/>
  <c r="EK84" i="3" l="1"/>
  <c r="EJ84" i="3"/>
  <c r="EG85" i="3" s="1"/>
  <c r="EH85" i="3" s="1"/>
  <c r="EI85" i="3" s="1"/>
  <c r="EF85" i="3" l="1"/>
  <c r="EJ85" i="3"/>
  <c r="EG86" i="3" s="1"/>
  <c r="EH86" i="3" s="1"/>
  <c r="EI86" i="3" s="1"/>
  <c r="EF86" i="3"/>
  <c r="EK85" i="3"/>
  <c r="EK86" i="3" l="1"/>
  <c r="EJ86" i="3"/>
  <c r="EG87" i="3" s="1"/>
  <c r="EH87" i="3" s="1"/>
  <c r="EI87" i="3" s="1"/>
  <c r="EF87" i="3" l="1"/>
  <c r="EK87" i="3" l="1"/>
  <c r="EJ87" i="3"/>
  <c r="EG88" i="3" s="1"/>
  <c r="EH88" i="3" l="1"/>
  <c r="EI88" i="3" s="1"/>
  <c r="EF88" i="3"/>
  <c r="EK88" i="3" l="1"/>
  <c r="EJ88" i="3"/>
  <c r="EG89" i="3" s="1"/>
  <c r="EF89" i="3"/>
  <c r="EK89" i="3" l="1"/>
  <c r="EH89" i="3"/>
  <c r="EI89" i="3" s="1"/>
  <c r="EJ89" i="3" s="1"/>
  <c r="EF90" i="3" l="1"/>
  <c r="EG90" i="3"/>
  <c r="EH90" i="3" l="1"/>
  <c r="EI90" i="3" s="1"/>
  <c r="EJ90" i="3" s="1"/>
  <c r="EG91" i="3" s="1"/>
  <c r="EH91" i="3" s="1"/>
  <c r="EI91" i="3" s="1"/>
  <c r="EK90" i="3"/>
  <c r="EF91" i="3" l="1"/>
  <c r="EK91" i="3" l="1"/>
  <c r="EJ91" i="3"/>
  <c r="EG92" i="3" s="1"/>
  <c r="EH92" i="3" s="1"/>
  <c r="EI92" i="3" s="1"/>
  <c r="EF92" i="3" l="1"/>
  <c r="EK92" i="3"/>
  <c r="EJ92" i="3"/>
  <c r="EG93" i="3" s="1"/>
  <c r="EF93" i="3"/>
  <c r="EK93" i="3" l="1"/>
  <c r="EH93" i="3"/>
  <c r="EI93" i="3" s="1"/>
  <c r="EJ93" i="3" s="1"/>
  <c r="EF94" i="3" l="1"/>
  <c r="EG94" i="3"/>
  <c r="EH94" i="3" s="1"/>
  <c r="EI94" i="3" s="1"/>
  <c r="EJ94" i="3" l="1"/>
  <c r="EG95" i="3" s="1"/>
  <c r="EH95" i="3" s="1"/>
  <c r="EI95" i="3" s="1"/>
  <c r="EK94" i="3"/>
  <c r="EF95" i="3"/>
  <c r="EK95" i="3" l="1"/>
  <c r="EJ95" i="3"/>
  <c r="EG96" i="3" s="1"/>
  <c r="EH96" i="3" s="1"/>
  <c r="EI96" i="3" s="1"/>
  <c r="EF96" i="3" l="1"/>
  <c r="EK96" i="3"/>
  <c r="EJ96" i="3"/>
  <c r="EG97" i="3" s="1"/>
  <c r="EH97" i="3" s="1"/>
  <c r="EI97" i="3" s="1"/>
  <c r="EF97" i="3"/>
  <c r="EJ97" i="3" l="1"/>
  <c r="EG98" i="3" s="1"/>
  <c r="EK97" i="3"/>
  <c r="EH98" i="3" l="1"/>
  <c r="EI98" i="3" s="1"/>
  <c r="EF98" i="3"/>
  <c r="EK98" i="3" l="1"/>
  <c r="EJ98" i="3"/>
  <c r="EG99" i="3" s="1"/>
  <c r="EH99" i="3" l="1"/>
  <c r="EI99" i="3" s="1"/>
  <c r="EF99" i="3"/>
  <c r="EK99" i="3" l="1"/>
  <c r="EJ99" i="3"/>
  <c r="EG100" i="3" s="1"/>
  <c r="EH100" i="3" s="1"/>
  <c r="EI100" i="3" s="1"/>
  <c r="EF100" i="3" l="1"/>
  <c r="EK100" i="3" l="1"/>
  <c r="EJ100" i="3"/>
  <c r="EG101" i="3" s="1"/>
  <c r="EF101" i="3" l="1"/>
  <c r="EK101" i="3"/>
  <c r="EH101" i="3"/>
  <c r="EI101" i="3" s="1"/>
  <c r="EJ101" i="3" s="1"/>
  <c r="EF102" i="3" s="1"/>
  <c r="EK102" i="3" l="1"/>
  <c r="EG102" i="3"/>
  <c r="EH102" i="3" s="1"/>
  <c r="EI102" i="3" s="1"/>
  <c r="EJ102" i="3" s="1"/>
  <c r="EG103" i="3" l="1"/>
  <c r="EH103" i="3" s="1"/>
  <c r="EI103" i="3" s="1"/>
  <c r="EF103" i="3"/>
  <c r="EJ103" i="3" l="1"/>
  <c r="EG104" i="3" s="1"/>
  <c r="EH104" i="3" s="1"/>
  <c r="EI104" i="3" s="1"/>
  <c r="EF104" i="3"/>
  <c r="EK103" i="3"/>
  <c r="EK104" i="3" l="1"/>
  <c r="EJ104" i="3"/>
  <c r="EG105" i="3" s="1"/>
  <c r="EF105" i="3" l="1"/>
  <c r="EK105" i="3"/>
  <c r="EH105" i="3"/>
  <c r="EI105" i="3" s="1"/>
  <c r="EJ105" i="3" s="1"/>
  <c r="EF106" i="3" l="1"/>
  <c r="EG106" i="3"/>
  <c r="EH106" i="3" s="1"/>
  <c r="EI106" i="3" s="1"/>
  <c r="EJ106" i="3" l="1"/>
  <c r="EG107" i="3" s="1"/>
  <c r="EK106" i="3"/>
  <c r="EF107" i="3"/>
  <c r="EK107" i="3" l="1"/>
  <c r="EH107" i="3"/>
  <c r="EI107" i="3" s="1"/>
  <c r="EJ107" i="3" s="1"/>
  <c r="EF108" i="3" l="1"/>
  <c r="EG108" i="3"/>
  <c r="EH108" i="3" s="1"/>
  <c r="EI108" i="3" s="1"/>
  <c r="EK108" i="3" l="1"/>
  <c r="EJ108" i="3"/>
  <c r="EG109" i="3" s="1"/>
  <c r="EH109" i="3" s="1"/>
  <c r="EI109" i="3" s="1"/>
  <c r="EF109" i="3" l="1"/>
  <c r="EJ109" i="3"/>
  <c r="EG110" i="3" s="1"/>
  <c r="EH110" i="3" s="1"/>
  <c r="EI110" i="3" s="1"/>
  <c r="EK109" i="3"/>
  <c r="EF110" i="3"/>
  <c r="EJ110" i="3" l="1"/>
  <c r="EG111" i="3" s="1"/>
  <c r="EH111" i="3" s="1"/>
  <c r="EI111" i="3" s="1"/>
  <c r="EK110" i="3"/>
  <c r="EF111" i="3"/>
  <c r="EJ111" i="3" l="1"/>
  <c r="EG112" i="3" s="1"/>
  <c r="EH112" i="3" s="1"/>
  <c r="EI112" i="3" s="1"/>
  <c r="EF112" i="3"/>
  <c r="EK111" i="3"/>
  <c r="EJ112" i="3" l="1"/>
  <c r="EG113" i="3" s="1"/>
  <c r="EH113" i="3" s="1"/>
  <c r="EI113" i="3" s="1"/>
  <c r="EF113" i="3"/>
  <c r="EK112" i="3"/>
  <c r="EJ113" i="3" l="1"/>
  <c r="EG114" i="3" s="1"/>
  <c r="EH114" i="3" s="1"/>
  <c r="EI114" i="3" s="1"/>
  <c r="EK113" i="3"/>
  <c r="EF114" i="3" l="1"/>
  <c r="EK114" i="3"/>
  <c r="EJ114" i="3"/>
  <c r="EG115" i="3" s="1"/>
  <c r="EH115" i="3" s="1"/>
  <c r="EI115" i="3" s="1"/>
  <c r="EF115" i="3" l="1"/>
  <c r="EK115" i="3" s="1"/>
  <c r="EJ115" i="3"/>
  <c r="EG116" i="3" s="1"/>
  <c r="EH116" i="3" s="1"/>
  <c r="EI116" i="3" s="1"/>
  <c r="EF116" i="3" l="1"/>
  <c r="EJ116" i="3" l="1"/>
  <c r="EG117" i="3" s="1"/>
  <c r="EH117" i="3" s="1"/>
  <c r="EI117" i="3" s="1"/>
  <c r="EK116" i="3"/>
  <c r="EF117" i="3" l="1"/>
  <c r="EK117" i="3" s="1"/>
  <c r="EJ117" i="3" l="1"/>
  <c r="EG118" i="3" s="1"/>
  <c r="EH118" i="3" s="1"/>
  <c r="EI118" i="3" s="1"/>
  <c r="EF118" i="3"/>
  <c r="EK118" i="3" l="1"/>
  <c r="EJ118" i="3"/>
  <c r="EG119" i="3" s="1"/>
  <c r="EH119" i="3" s="1"/>
  <c r="EI119" i="3" s="1"/>
  <c r="EF119" i="3" l="1"/>
  <c r="EJ119" i="3"/>
  <c r="EG120" i="3" s="1"/>
  <c r="EH120" i="3" s="1"/>
  <c r="EI120" i="3" s="1"/>
  <c r="EK119" i="3"/>
  <c r="EF120" i="3" l="1"/>
  <c r="EJ120" i="3" l="1"/>
  <c r="EG121" i="3" s="1"/>
  <c r="EH121" i="3" s="1"/>
  <c r="EI121" i="3" s="1"/>
  <c r="EK120" i="3"/>
  <c r="EF121" i="3"/>
  <c r="EJ121" i="3" l="1"/>
  <c r="EG122" i="3" s="1"/>
  <c r="EH122" i="3" s="1"/>
  <c r="EI122" i="3" s="1"/>
  <c r="EK121" i="3"/>
  <c r="EF122" i="3"/>
  <c r="EK122" i="3" l="1"/>
  <c r="EJ122" i="3"/>
  <c r="EG123" i="3" s="1"/>
  <c r="EH123" i="3" s="1"/>
  <c r="EI123" i="3" s="1"/>
  <c r="EF123" i="3"/>
  <c r="EJ123" i="3" l="1"/>
  <c r="EG124" i="3" s="1"/>
  <c r="EH124" i="3" s="1"/>
  <c r="EI124" i="3" s="1"/>
  <c r="EF124" i="3"/>
  <c r="EK123" i="3"/>
  <c r="EK124" i="3" l="1"/>
  <c r="EJ124" i="3"/>
  <c r="EG125" i="3" s="1"/>
  <c r="EH125" i="3" s="1"/>
  <c r="EI125" i="3" s="1"/>
  <c r="EF125" i="3" l="1"/>
  <c r="EK125" i="3" l="1"/>
  <c r="EJ125" i="3"/>
  <c r="EG126" i="3" s="1"/>
  <c r="EH126" i="3" s="1"/>
  <c r="EI126" i="3" s="1"/>
  <c r="EF126" i="3" l="1"/>
  <c r="EK126" i="3" l="1"/>
  <c r="EJ126" i="3"/>
  <c r="EG127" i="3" s="1"/>
  <c r="EH127" i="3" s="1"/>
  <c r="EI127" i="3" s="1"/>
  <c r="EF127" i="3" l="1"/>
  <c r="EJ127" i="3" l="1"/>
  <c r="EG128" i="3" s="1"/>
  <c r="EH128" i="3" s="1"/>
  <c r="EI128" i="3" s="1"/>
  <c r="EK127" i="3"/>
  <c r="EF128" i="3" l="1"/>
  <c r="EJ128" i="3" l="1"/>
  <c r="EG129" i="3" s="1"/>
  <c r="EK128" i="3"/>
  <c r="EF129" i="3"/>
  <c r="EK129" i="3" l="1"/>
  <c r="EH129" i="3"/>
  <c r="EI129" i="3" s="1"/>
  <c r="EJ129" i="3" s="1"/>
  <c r="EF130" i="3" l="1"/>
  <c r="EG130" i="3"/>
  <c r="EH130" i="3" s="1"/>
  <c r="EI130" i="3" s="1"/>
  <c r="EK130" i="3" l="1"/>
  <c r="EJ130" i="3"/>
  <c r="EG131" i="3" s="1"/>
  <c r="EH131" i="3" s="1"/>
  <c r="EI131" i="3" s="1"/>
  <c r="EF131" i="3"/>
  <c r="EJ131" i="3" l="1"/>
  <c r="EG132" i="3" s="1"/>
  <c r="EH132" i="3" s="1"/>
  <c r="EI132" i="3" s="1"/>
  <c r="EK131" i="3"/>
  <c r="EF132" i="3"/>
  <c r="EK132" i="3" l="1"/>
  <c r="EJ132" i="3"/>
  <c r="EG133" i="3" s="1"/>
  <c r="EH133" i="3" s="1"/>
  <c r="EI133" i="3" s="1"/>
  <c r="EF133" i="3" l="1"/>
  <c r="EJ133" i="3"/>
  <c r="EG134" i="3" s="1"/>
  <c r="EH134" i="3" s="1"/>
  <c r="EI134" i="3" s="1"/>
  <c r="EK133" i="3"/>
  <c r="EF134" i="3" l="1"/>
  <c r="ET34" i="3"/>
  <c r="EK134" i="3"/>
  <c r="N13" i="3" s="1"/>
  <c r="EJ134" i="3"/>
  <c r="EY34" i="3" l="1"/>
  <c r="EX34" i="3"/>
  <c r="EU35" i="3" s="1"/>
  <c r="EV35" i="3" s="1"/>
  <c r="EW35" i="3" s="1"/>
  <c r="ET35" i="3" l="1"/>
  <c r="EY35" i="3"/>
  <c r="EX35" i="3"/>
  <c r="EU36" i="3" s="1"/>
  <c r="EV36" i="3" l="1"/>
  <c r="EW36" i="3" s="1"/>
  <c r="ET36" i="3"/>
  <c r="EY36" i="3" l="1"/>
  <c r="EX36" i="3"/>
  <c r="EU37" i="3" s="1"/>
  <c r="EV37" i="3" s="1"/>
  <c r="EW37" i="3" s="1"/>
  <c r="ET37" i="3" l="1"/>
  <c r="EY37" i="3" l="1"/>
  <c r="EX37" i="3"/>
  <c r="EU38" i="3" s="1"/>
  <c r="EV38" i="3" l="1"/>
  <c r="EW38" i="3" s="1"/>
  <c r="ET38" i="3"/>
  <c r="EY38" i="3" l="1"/>
  <c r="EX38" i="3"/>
  <c r="EU39" i="3" s="1"/>
  <c r="EV39" i="3" l="1"/>
  <c r="EW39" i="3" s="1"/>
  <c r="ET39" i="3"/>
  <c r="EY39" i="3" l="1"/>
  <c r="EX39" i="3"/>
  <c r="EU40" i="3" s="1"/>
  <c r="EV40" i="3" s="1"/>
  <c r="EW40" i="3" s="1"/>
  <c r="ET40" i="3" l="1"/>
  <c r="EX40" i="3" l="1"/>
  <c r="EU41" i="3" s="1"/>
  <c r="EV41" i="3" s="1"/>
  <c r="EW41" i="3" s="1"/>
  <c r="ET41" i="3"/>
  <c r="EY40" i="3"/>
  <c r="EX41" i="3" l="1"/>
  <c r="EU42" i="3" s="1"/>
  <c r="EV42" i="3" s="1"/>
  <c r="EW42" i="3" s="1"/>
  <c r="EY41" i="3"/>
  <c r="ET42" i="3"/>
  <c r="EX42" i="3" l="1"/>
  <c r="EU43" i="3" s="1"/>
  <c r="EV43" i="3" s="1"/>
  <c r="EW43" i="3" s="1"/>
  <c r="EY42" i="3"/>
  <c r="ET43" i="3"/>
  <c r="EY43" i="3" l="1"/>
  <c r="EX43" i="3"/>
  <c r="EU44" i="3" s="1"/>
  <c r="EV44" i="3" s="1"/>
  <c r="EW44" i="3" s="1"/>
  <c r="ET44" i="3"/>
  <c r="EX44" i="3" l="1"/>
  <c r="EU45" i="3" s="1"/>
  <c r="EV45" i="3" s="1"/>
  <c r="EW45" i="3" s="1"/>
  <c r="EY44" i="3"/>
  <c r="ET45" i="3" l="1"/>
  <c r="EX45" i="3" l="1"/>
  <c r="EU46" i="3" s="1"/>
  <c r="EV46" i="3" s="1"/>
  <c r="EW46" i="3" s="1"/>
  <c r="EY45" i="3"/>
  <c r="ET46" i="3"/>
  <c r="EX46" i="3" l="1"/>
  <c r="EU47" i="3" s="1"/>
  <c r="EV47" i="3" s="1"/>
  <c r="EW47" i="3" s="1"/>
  <c r="EY46" i="3"/>
  <c r="ET47" i="3"/>
  <c r="EY47" i="3" l="1"/>
  <c r="EX47" i="3"/>
  <c r="EU48" i="3" s="1"/>
  <c r="EV48" i="3" s="1"/>
  <c r="EW48" i="3" s="1"/>
  <c r="ET48" i="3"/>
  <c r="EX48" i="3" l="1"/>
  <c r="EU49" i="3" s="1"/>
  <c r="EV49" i="3" s="1"/>
  <c r="EW49" i="3" s="1"/>
  <c r="EY48" i="3"/>
  <c r="ET49" i="3"/>
  <c r="EX49" i="3" l="1"/>
  <c r="EU50" i="3" s="1"/>
  <c r="EV50" i="3" s="1"/>
  <c r="EW50" i="3" s="1"/>
  <c r="EY49" i="3"/>
  <c r="ET50" i="3"/>
  <c r="EY50" i="3" l="1"/>
  <c r="EX50" i="3"/>
  <c r="EU51" i="3" s="1"/>
  <c r="EV51" i="3" s="1"/>
  <c r="EW51" i="3" s="1"/>
  <c r="ET51" i="3"/>
  <c r="EX51" i="3" l="1"/>
  <c r="EU52" i="3" s="1"/>
  <c r="EV52" i="3" s="1"/>
  <c r="EW52" i="3" s="1"/>
  <c r="ET52" i="3"/>
  <c r="EY51" i="3"/>
  <c r="EX52" i="3" l="1"/>
  <c r="EU53" i="3" s="1"/>
  <c r="EV53" i="3" s="1"/>
  <c r="EW53" i="3" s="1"/>
  <c r="EY52" i="3"/>
  <c r="ET53" i="3"/>
  <c r="EY53" i="3" l="1"/>
  <c r="EX53" i="3"/>
  <c r="EU54" i="3" s="1"/>
  <c r="EV54" i="3" s="1"/>
  <c r="EW54" i="3" s="1"/>
  <c r="ET54" i="3" l="1"/>
  <c r="EX54" i="3" l="1"/>
  <c r="EU55" i="3" s="1"/>
  <c r="EV55" i="3" s="1"/>
  <c r="EW55" i="3" s="1"/>
  <c r="EY54" i="3"/>
  <c r="ET55" i="3"/>
  <c r="EY55" i="3" l="1"/>
  <c r="EX55" i="3"/>
  <c r="EU56" i="3" s="1"/>
  <c r="EV56" i="3" s="1"/>
  <c r="EW56" i="3" s="1"/>
  <c r="ET56" i="3" l="1"/>
  <c r="EY56" i="3" l="1"/>
  <c r="EX56" i="3"/>
  <c r="EU57" i="3" s="1"/>
  <c r="EV57" i="3" s="1"/>
  <c r="EW57" i="3" s="1"/>
  <c r="ET57" i="3" l="1"/>
  <c r="EX57" i="3" l="1"/>
  <c r="EU58" i="3" s="1"/>
  <c r="EV58" i="3" s="1"/>
  <c r="EW58" i="3" s="1"/>
  <c r="ET58" i="3"/>
  <c r="EY57" i="3"/>
  <c r="EY58" i="3" l="1"/>
  <c r="EX58" i="3"/>
  <c r="EU59" i="3" s="1"/>
  <c r="EV59" i="3" s="1"/>
  <c r="EW59" i="3" s="1"/>
  <c r="ET59" i="3" l="1"/>
  <c r="EY59" i="3"/>
  <c r="EX59" i="3"/>
  <c r="EU60" i="3" s="1"/>
  <c r="ET60" i="3" l="1"/>
  <c r="EY60" i="3"/>
  <c r="EV60" i="3"/>
  <c r="EW60" i="3" s="1"/>
  <c r="EX60" i="3" s="1"/>
  <c r="ET61" i="3" l="1"/>
  <c r="EY61" i="3" s="1"/>
  <c r="EU61" i="3"/>
  <c r="EV61" i="3" l="1"/>
  <c r="EW61" i="3" s="1"/>
  <c r="EX61" i="3" s="1"/>
  <c r="ET62" i="3" s="1"/>
  <c r="EU62" i="3" l="1"/>
  <c r="EV62" i="3" s="1"/>
  <c r="EW62" i="3" s="1"/>
  <c r="EY62" i="3"/>
  <c r="EX62" i="3"/>
  <c r="EU63" i="3" s="1"/>
  <c r="EV63" i="3" s="1"/>
  <c r="EW63" i="3" s="1"/>
  <c r="ET63" i="3" l="1"/>
  <c r="EY63" i="3" l="1"/>
  <c r="EX63" i="3"/>
  <c r="EU64" i="3" s="1"/>
  <c r="EV64" i="3" s="1"/>
  <c r="EW64" i="3" s="1"/>
  <c r="ET64" i="3" l="1"/>
  <c r="EY64" i="3" l="1"/>
  <c r="EX64" i="3"/>
  <c r="EU65" i="3" s="1"/>
  <c r="EV65" i="3" s="1"/>
  <c r="EW65" i="3" s="1"/>
  <c r="ET65" i="3" l="1"/>
  <c r="EY65" i="3"/>
  <c r="EX65" i="3"/>
  <c r="EU66" i="3" s="1"/>
  <c r="EV66" i="3" s="1"/>
  <c r="EW66" i="3" s="1"/>
  <c r="ET66" i="3" l="1"/>
  <c r="EX66" i="3"/>
  <c r="EU67" i="3" s="1"/>
  <c r="EV67" i="3" s="1"/>
  <c r="EW67" i="3" s="1"/>
  <c r="EY66" i="3"/>
  <c r="ET67" i="3" l="1"/>
  <c r="EX67" i="3" s="1"/>
  <c r="EY67" i="3"/>
  <c r="EU68" i="3" l="1"/>
  <c r="ET68" i="3"/>
  <c r="EY68" i="3" s="1"/>
  <c r="EV68" i="3"/>
  <c r="EW68" i="3" s="1"/>
  <c r="EX68" i="3" s="1"/>
  <c r="ET69" i="3" s="1"/>
  <c r="EU69" i="3" l="1"/>
  <c r="EV69" i="3" s="1"/>
  <c r="EW69" i="3" s="1"/>
  <c r="EY69" i="3"/>
  <c r="EX69" i="3"/>
  <c r="EU70" i="3" s="1"/>
  <c r="EV70" i="3" s="1"/>
  <c r="EW70" i="3" s="1"/>
  <c r="ET70" i="3"/>
  <c r="EX70" i="3" l="1"/>
  <c r="EU71" i="3" s="1"/>
  <c r="EV71" i="3" s="1"/>
  <c r="EW71" i="3" s="1"/>
  <c r="EY70" i="3"/>
  <c r="ET71" i="3"/>
  <c r="EX71" i="3" l="1"/>
  <c r="EU72" i="3" s="1"/>
  <c r="EY71" i="3"/>
  <c r="ET72" i="3" l="1"/>
  <c r="EY72" i="3" s="1"/>
  <c r="EV72" i="3"/>
  <c r="EW72" i="3" s="1"/>
  <c r="EX72" i="3" s="1"/>
  <c r="ET73" i="3" s="1"/>
  <c r="EU73" i="3" l="1"/>
  <c r="EV73" i="3" s="1"/>
  <c r="EW73" i="3" s="1"/>
  <c r="EY73" i="3"/>
  <c r="EX73" i="3"/>
  <c r="EU74" i="3" s="1"/>
  <c r="ET74" i="3" l="1"/>
  <c r="EY74" i="3"/>
  <c r="EV74" i="3"/>
  <c r="EW74" i="3" s="1"/>
  <c r="EX74" i="3" s="1"/>
  <c r="ET75" i="3" l="1"/>
  <c r="EU75" i="3"/>
  <c r="EV75" i="3" s="1"/>
  <c r="EW75" i="3" s="1"/>
  <c r="EY75" i="3" l="1"/>
  <c r="EX75" i="3"/>
  <c r="EU76" i="3" s="1"/>
  <c r="EV76" i="3" s="1"/>
  <c r="EW76" i="3" s="1"/>
  <c r="ET76" i="3" l="1"/>
  <c r="EY76" i="3" l="1"/>
  <c r="EX76" i="3"/>
  <c r="EU77" i="3" s="1"/>
  <c r="EV77" i="3" s="1"/>
  <c r="EW77" i="3" s="1"/>
  <c r="ET77" i="3" l="1"/>
  <c r="EX77" i="3"/>
  <c r="EU78" i="3" s="1"/>
  <c r="EV78" i="3" s="1"/>
  <c r="EW78" i="3" s="1"/>
  <c r="EY77" i="3"/>
  <c r="ET78" i="3"/>
  <c r="EX78" i="3" l="1"/>
  <c r="EU79" i="3" s="1"/>
  <c r="EV79" i="3" s="1"/>
  <c r="EW79" i="3" s="1"/>
  <c r="EY78" i="3"/>
  <c r="ET79" i="3" l="1"/>
  <c r="EY79" i="3" l="1"/>
  <c r="EX79" i="3"/>
  <c r="EU80" i="3" s="1"/>
  <c r="ET80" i="3"/>
  <c r="EY80" i="3" l="1"/>
  <c r="EV80" i="3"/>
  <c r="EW80" i="3" s="1"/>
  <c r="EX80" i="3" s="1"/>
  <c r="ET81" i="3" s="1"/>
  <c r="EU81" i="3" l="1"/>
  <c r="EV81" i="3" s="1"/>
  <c r="EW81" i="3" s="1"/>
  <c r="EX81" i="3" s="1"/>
  <c r="EY81" i="3"/>
  <c r="EU82" i="3" l="1"/>
  <c r="ET82" i="3"/>
  <c r="EY82" i="3" s="1"/>
  <c r="EV82" i="3"/>
  <c r="EW82" i="3" s="1"/>
  <c r="EX82" i="3" s="1"/>
  <c r="ET83" i="3" s="1"/>
  <c r="EY83" i="3" l="1"/>
  <c r="EU83" i="3"/>
  <c r="EV83" i="3" s="1"/>
  <c r="EW83" i="3" s="1"/>
  <c r="EX83" i="3" s="1"/>
  <c r="EU84" i="3" l="1"/>
  <c r="ET84" i="3"/>
  <c r="EY84" i="3" l="1"/>
  <c r="EV84" i="3"/>
  <c r="EW84" i="3" s="1"/>
  <c r="EX84" i="3" s="1"/>
  <c r="EU85" i="3" s="1"/>
  <c r="EV85" i="3" s="1"/>
  <c r="EW85" i="3" s="1"/>
  <c r="ET85" i="3" l="1"/>
  <c r="EX85" i="3" l="1"/>
  <c r="EU86" i="3" s="1"/>
  <c r="EV86" i="3" s="1"/>
  <c r="EW86" i="3" s="1"/>
  <c r="EY85" i="3"/>
  <c r="ET86" i="3"/>
  <c r="EX86" i="3" l="1"/>
  <c r="EU87" i="3" s="1"/>
  <c r="EV87" i="3" s="1"/>
  <c r="EW87" i="3" s="1"/>
  <c r="EY86" i="3"/>
  <c r="ET87" i="3"/>
  <c r="EY87" i="3" l="1"/>
  <c r="EX87" i="3"/>
  <c r="EU88" i="3" s="1"/>
  <c r="EV88" i="3" s="1"/>
  <c r="EW88" i="3" s="1"/>
  <c r="ET88" i="3" l="1"/>
  <c r="EY88" i="3"/>
  <c r="EX88" i="3"/>
  <c r="EU89" i="3" s="1"/>
  <c r="EV89" i="3" s="1"/>
  <c r="EW89" i="3" s="1"/>
  <c r="ET89" i="3" l="1"/>
  <c r="EX89" i="3"/>
  <c r="EU90" i="3" s="1"/>
  <c r="EV90" i="3" s="1"/>
  <c r="EW90" i="3" s="1"/>
  <c r="EY89" i="3"/>
  <c r="ET90" i="3" l="1"/>
  <c r="EX90" i="3"/>
  <c r="EU91" i="3" s="1"/>
  <c r="EV91" i="3" s="1"/>
  <c r="EW91" i="3" s="1"/>
  <c r="EY90" i="3"/>
  <c r="ET91" i="3"/>
  <c r="EY91" i="3" l="1"/>
  <c r="EX91" i="3"/>
  <c r="EU92" i="3" s="1"/>
  <c r="EV92" i="3" s="1"/>
  <c r="EW92" i="3" s="1"/>
  <c r="ET92" i="3" l="1"/>
  <c r="EX92" i="3"/>
  <c r="EU93" i="3" s="1"/>
  <c r="EV93" i="3" s="1"/>
  <c r="EW93" i="3" s="1"/>
  <c r="EY92" i="3"/>
  <c r="ET93" i="3" l="1"/>
  <c r="EY93" i="3" l="1"/>
  <c r="EX93" i="3"/>
  <c r="EU94" i="3" s="1"/>
  <c r="EV94" i="3" s="1"/>
  <c r="EW94" i="3" s="1"/>
  <c r="ET94" i="3" l="1"/>
  <c r="EX94" i="3" l="1"/>
  <c r="EU95" i="3" s="1"/>
  <c r="EV95" i="3" s="1"/>
  <c r="EW95" i="3" s="1"/>
  <c r="ET95" i="3"/>
  <c r="EY94" i="3"/>
  <c r="EY95" i="3" l="1"/>
  <c r="EX95" i="3"/>
  <c r="EU96" i="3" s="1"/>
  <c r="EV96" i="3" s="1"/>
  <c r="EW96" i="3" s="1"/>
  <c r="ET96" i="3" l="1"/>
  <c r="EX96" i="3"/>
  <c r="EU97" i="3" s="1"/>
  <c r="EV97" i="3" s="1"/>
  <c r="EW97" i="3" s="1"/>
  <c r="ET97" i="3"/>
  <c r="EY96" i="3"/>
  <c r="EY97" i="3" l="1"/>
  <c r="EX97" i="3"/>
  <c r="EU98" i="3" s="1"/>
  <c r="EV98" i="3" s="1"/>
  <c r="EW98" i="3" s="1"/>
  <c r="ET98" i="3"/>
  <c r="EX98" i="3" l="1"/>
  <c r="EU99" i="3" s="1"/>
  <c r="EV99" i="3" s="1"/>
  <c r="EW99" i="3" s="1"/>
  <c r="EY98" i="3"/>
  <c r="ET99" i="3" l="1"/>
  <c r="EX99" i="3" l="1"/>
  <c r="EU100" i="3" s="1"/>
  <c r="EV100" i="3" s="1"/>
  <c r="EW100" i="3" s="1"/>
  <c r="EY99" i="3"/>
  <c r="ET100" i="3"/>
  <c r="EX100" i="3" l="1"/>
  <c r="EU101" i="3" s="1"/>
  <c r="EV101" i="3" s="1"/>
  <c r="EW101" i="3" s="1"/>
  <c r="EY100" i="3"/>
  <c r="ET101" i="3"/>
  <c r="EY101" i="3" l="1"/>
  <c r="EX101" i="3"/>
  <c r="EU102" i="3" s="1"/>
  <c r="EV102" i="3" s="1"/>
  <c r="EW102" i="3" s="1"/>
  <c r="ET102" i="3"/>
  <c r="EX102" i="3" l="1"/>
  <c r="EU103" i="3" s="1"/>
  <c r="EV103" i="3" s="1"/>
  <c r="EW103" i="3" s="1"/>
  <c r="EY102" i="3"/>
  <c r="ET103" i="3"/>
  <c r="EY103" i="3" l="1"/>
  <c r="EX103" i="3"/>
  <c r="EU104" i="3" s="1"/>
  <c r="ET104" i="3" l="1"/>
  <c r="EY104" i="3"/>
  <c r="EV104" i="3"/>
  <c r="EW104" i="3" s="1"/>
  <c r="EX104" i="3" s="1"/>
  <c r="ET105" i="3" l="1"/>
  <c r="EU105" i="3"/>
  <c r="EV105" i="3" s="1"/>
  <c r="EW105" i="3" s="1"/>
  <c r="EY105" i="3" l="1"/>
  <c r="EX105" i="3"/>
  <c r="EU106" i="3" s="1"/>
  <c r="EV106" i="3" s="1"/>
  <c r="EW106" i="3" s="1"/>
  <c r="ET106" i="3" l="1"/>
  <c r="EX106" i="3" s="1"/>
  <c r="EU107" i="3" s="1"/>
  <c r="EV107" i="3" s="1"/>
  <c r="EW107" i="3" s="1"/>
  <c r="EY106" i="3" l="1"/>
  <c r="ET107" i="3"/>
  <c r="EY107" i="3" s="1"/>
  <c r="EX107" i="3"/>
  <c r="EU108" i="3" s="1"/>
  <c r="EV108" i="3" s="1"/>
  <c r="EW108" i="3" s="1"/>
  <c r="ET108" i="3" l="1"/>
  <c r="EY108" i="3"/>
  <c r="EX108" i="3"/>
  <c r="EU109" i="3" s="1"/>
  <c r="EV109" i="3" s="1"/>
  <c r="EW109" i="3" s="1"/>
  <c r="ET109" i="3"/>
  <c r="EX109" i="3" l="1"/>
  <c r="EU110" i="3" s="1"/>
  <c r="EV110" i="3" s="1"/>
  <c r="EW110" i="3" s="1"/>
  <c r="EY109" i="3"/>
  <c r="ET110" i="3" l="1"/>
  <c r="EY110" i="3"/>
  <c r="EX110" i="3"/>
  <c r="EU111" i="3" s="1"/>
  <c r="EV111" i="3" s="1"/>
  <c r="EW111" i="3" s="1"/>
  <c r="ET111" i="3" l="1"/>
  <c r="EX111" i="3"/>
  <c r="EU112" i="3" s="1"/>
  <c r="EV112" i="3" s="1"/>
  <c r="EW112" i="3" s="1"/>
  <c r="EY111" i="3"/>
  <c r="ET112" i="3" l="1"/>
  <c r="EY112" i="3"/>
  <c r="EX112" i="3"/>
  <c r="ET113" i="3" l="1"/>
  <c r="EU113" i="3"/>
  <c r="EV113" i="3" l="1"/>
  <c r="EW113" i="3" s="1"/>
  <c r="EX113" i="3" s="1"/>
  <c r="EU114" i="3" s="1"/>
  <c r="EV114" i="3" s="1"/>
  <c r="EW114" i="3" s="1"/>
  <c r="EY113" i="3"/>
  <c r="ET114" i="3" l="1"/>
  <c r="EY114" i="3" l="1"/>
  <c r="EX114" i="3"/>
  <c r="EU115" i="3" s="1"/>
  <c r="EV115" i="3" s="1"/>
  <c r="EW115" i="3" s="1"/>
  <c r="ET115" i="3" l="1"/>
  <c r="EY115" i="3"/>
  <c r="EX115" i="3"/>
  <c r="EU116" i="3" s="1"/>
  <c r="EV116" i="3" s="1"/>
  <c r="EW116" i="3" s="1"/>
  <c r="ET116" i="3"/>
  <c r="EY116" i="3" l="1"/>
  <c r="EX116" i="3"/>
  <c r="ET117" i="3" l="1"/>
  <c r="EU117" i="3"/>
  <c r="EV117" i="3" s="1"/>
  <c r="EW117" i="3" s="1"/>
  <c r="EY117" i="3" l="1"/>
  <c r="EX117" i="3"/>
  <c r="EU118" i="3" l="1"/>
  <c r="EV118" i="3" s="1"/>
  <c r="EW118" i="3" s="1"/>
  <c r="ET118" i="3"/>
  <c r="EY118" i="3" l="1"/>
  <c r="EX118" i="3"/>
  <c r="EU119" i="3" s="1"/>
  <c r="EV119" i="3" s="1"/>
  <c r="EW119" i="3" s="1"/>
  <c r="ET119" i="3" l="1"/>
  <c r="EY119" i="3" l="1"/>
  <c r="EX119" i="3"/>
  <c r="EU120" i="3" s="1"/>
  <c r="EV120" i="3" s="1"/>
  <c r="EW120" i="3" s="1"/>
  <c r="ET120" i="3" l="1"/>
  <c r="EY120" i="3"/>
  <c r="EX120" i="3"/>
  <c r="EU121" i="3" l="1"/>
  <c r="EV121" i="3" s="1"/>
  <c r="EW121" i="3" s="1"/>
  <c r="ET121" i="3"/>
  <c r="EX121" i="3" l="1"/>
  <c r="EU122" i="3" s="1"/>
  <c r="EV122" i="3" s="1"/>
  <c r="EW122" i="3" s="1"/>
  <c r="EY121" i="3"/>
  <c r="ET122" i="3"/>
  <c r="EY122" i="3" l="1"/>
  <c r="EX122" i="3"/>
  <c r="EU123" i="3" s="1"/>
  <c r="EV123" i="3" s="1"/>
  <c r="EW123" i="3" s="1"/>
  <c r="ET123" i="3" l="1"/>
  <c r="EX123" i="3"/>
  <c r="EY123" i="3"/>
  <c r="EU124" i="3" l="1"/>
  <c r="EV124" i="3" s="1"/>
  <c r="EW124" i="3" s="1"/>
  <c r="ET124" i="3"/>
  <c r="EY124" i="3" l="1"/>
  <c r="EX124" i="3"/>
  <c r="EU125" i="3" s="1"/>
  <c r="EV125" i="3" s="1"/>
  <c r="EW125" i="3" s="1"/>
  <c r="ET125" i="3" l="1"/>
  <c r="EX125" i="3"/>
  <c r="EU126" i="3" s="1"/>
  <c r="EV126" i="3" s="1"/>
  <c r="EW126" i="3" s="1"/>
  <c r="EY125" i="3"/>
  <c r="ET126" i="3"/>
  <c r="EX126" i="3" l="1"/>
  <c r="EU127" i="3" s="1"/>
  <c r="EV127" i="3" s="1"/>
  <c r="EW127" i="3" s="1"/>
  <c r="EY126" i="3"/>
  <c r="ET127" i="3" l="1"/>
  <c r="EY127" i="3" l="1"/>
  <c r="EX127" i="3"/>
  <c r="EU128" i="3" s="1"/>
  <c r="ET128" i="3"/>
  <c r="EY128" i="3" s="1"/>
  <c r="EV128" i="3" l="1"/>
  <c r="EW128" i="3" s="1"/>
  <c r="EX128" i="3" s="1"/>
  <c r="ET129" i="3" s="1"/>
  <c r="EU129" i="3" l="1"/>
  <c r="EV129" i="3" s="1"/>
  <c r="EW129" i="3" s="1"/>
  <c r="EY129" i="3"/>
  <c r="EX129" i="3"/>
  <c r="EU130" i="3" s="1"/>
  <c r="EV130" i="3" s="1"/>
  <c r="EW130" i="3" s="1"/>
  <c r="ET130" i="3" l="1"/>
  <c r="EX130" i="3"/>
  <c r="EU131" i="3" s="1"/>
  <c r="EV131" i="3" s="1"/>
  <c r="EW131" i="3" s="1"/>
  <c r="EY130" i="3"/>
  <c r="ET131" i="3" l="1"/>
  <c r="EX131" i="3"/>
  <c r="EU132" i="3" s="1"/>
  <c r="EV132" i="3" s="1"/>
  <c r="EW132" i="3" s="1"/>
  <c r="EY131" i="3"/>
  <c r="ET132" i="3" l="1"/>
  <c r="EY132" i="3"/>
  <c r="EX132" i="3"/>
  <c r="EU133" i="3" s="1"/>
  <c r="EV133" i="3" s="1"/>
  <c r="EW133" i="3" s="1"/>
  <c r="ET133" i="3" l="1"/>
  <c r="EX133" i="3"/>
  <c r="EY133" i="3"/>
  <c r="EU134" i="3" l="1"/>
  <c r="EV134" i="3" s="1"/>
  <c r="EW134" i="3" s="1"/>
  <c r="ET134" i="3"/>
  <c r="EX134" i="3" l="1"/>
  <c r="EY134" i="3"/>
  <c r="N14" i="3" s="1"/>
  <c r="FH34" i="3"/>
  <c r="FL34" i="3" l="1"/>
  <c r="FI35" i="3" s="1"/>
  <c r="FM34" i="3"/>
  <c r="FH35" i="3" l="1"/>
  <c r="FM35" i="3" s="1"/>
  <c r="FJ35" i="3"/>
  <c r="FK35" i="3" s="1"/>
  <c r="FL35" i="3" s="1"/>
  <c r="FH36" i="3" s="1"/>
  <c r="FI36" i="3" l="1"/>
  <c r="FJ36" i="3"/>
  <c r="FK36" i="3" s="1"/>
  <c r="FL36" i="3" s="1"/>
  <c r="FI37" i="3" s="1"/>
  <c r="FJ37" i="3" s="1"/>
  <c r="FK37" i="3" s="1"/>
  <c r="FM36" i="3"/>
  <c r="FH37" i="3" l="1"/>
  <c r="FL37" i="3"/>
  <c r="FI38" i="3" s="1"/>
  <c r="FJ38" i="3" s="1"/>
  <c r="FK38" i="3" s="1"/>
  <c r="FM37" i="3"/>
  <c r="FH38" i="3" l="1"/>
  <c r="FM38" i="3"/>
  <c r="FL38" i="3"/>
  <c r="FI39" i="3" s="1"/>
  <c r="FJ39" i="3" s="1"/>
  <c r="FK39" i="3" s="1"/>
  <c r="FH39" i="3" l="1"/>
  <c r="FL39" i="3" l="1"/>
  <c r="FI40" i="3" s="1"/>
  <c r="FM39" i="3"/>
  <c r="FH40" i="3" l="1"/>
  <c r="FM40" i="3" s="1"/>
  <c r="FJ40" i="3"/>
  <c r="FK40" i="3" s="1"/>
  <c r="FL40" i="3" s="1"/>
  <c r="FH41" i="3" s="1"/>
  <c r="FM41" i="3" l="1"/>
  <c r="FI41" i="3"/>
  <c r="FJ41" i="3" s="1"/>
  <c r="FK41" i="3" s="1"/>
  <c r="FL41" i="3" s="1"/>
  <c r="FI42" i="3" l="1"/>
  <c r="FJ42" i="3" s="1"/>
  <c r="FK42" i="3" s="1"/>
  <c r="FH42" i="3"/>
  <c r="FL42" i="3" l="1"/>
  <c r="FI43" i="3" s="1"/>
  <c r="FJ43" i="3" s="1"/>
  <c r="FK43" i="3" s="1"/>
  <c r="FH43" i="3"/>
  <c r="FM42" i="3"/>
  <c r="FL43" i="3" l="1"/>
  <c r="FI44" i="3" s="1"/>
  <c r="FJ44" i="3" s="1"/>
  <c r="FK44" i="3" s="1"/>
  <c r="FM43" i="3"/>
  <c r="FH44" i="3"/>
  <c r="FL44" i="3" l="1"/>
  <c r="FI45" i="3" s="1"/>
  <c r="FJ45" i="3" s="1"/>
  <c r="FK45" i="3" s="1"/>
  <c r="FH45" i="3"/>
  <c r="FM44" i="3"/>
  <c r="FM45" i="3" l="1"/>
  <c r="FL45" i="3"/>
  <c r="FI46" i="3" s="1"/>
  <c r="FJ46" i="3" s="1"/>
  <c r="FK46" i="3" s="1"/>
  <c r="FH46" i="3"/>
  <c r="FL46" i="3" l="1"/>
  <c r="FI47" i="3" s="1"/>
  <c r="FM46" i="3"/>
  <c r="FH47" i="3"/>
  <c r="FM47" i="3" s="1"/>
  <c r="FJ47" i="3" l="1"/>
  <c r="FK47" i="3" s="1"/>
  <c r="FL47" i="3" s="1"/>
  <c r="FH48" i="3" s="1"/>
  <c r="FI48" i="3"/>
  <c r="FJ48" i="3" s="1"/>
  <c r="FK48" i="3" s="1"/>
  <c r="FL48" i="3" l="1"/>
  <c r="FI49" i="3" s="1"/>
  <c r="FJ49" i="3" s="1"/>
  <c r="FK49" i="3" s="1"/>
  <c r="FM48" i="3"/>
  <c r="FH49" i="3" l="1"/>
  <c r="FM49" i="3" l="1"/>
  <c r="FL49" i="3"/>
  <c r="FI50" i="3" s="1"/>
  <c r="FJ50" i="3" l="1"/>
  <c r="FK50" i="3" s="1"/>
  <c r="FH50" i="3"/>
  <c r="FM50" i="3" s="1"/>
  <c r="FL50" i="3" l="1"/>
  <c r="FH51" i="3" l="1"/>
  <c r="FI51" i="3"/>
  <c r="FJ51" i="3" l="1"/>
  <c r="FK51" i="3" s="1"/>
  <c r="FL51" i="3" s="1"/>
  <c r="FI52" i="3"/>
  <c r="FM51" i="3"/>
  <c r="FH52" i="3"/>
  <c r="FM52" i="3" s="1"/>
  <c r="FJ52" i="3" l="1"/>
  <c r="FK52" i="3" s="1"/>
  <c r="FL52" i="3" s="1"/>
  <c r="FH53" i="3" s="1"/>
  <c r="FI53" i="3" l="1"/>
  <c r="FJ53" i="3" s="1"/>
  <c r="FK53" i="3" s="1"/>
  <c r="FL53" i="3" s="1"/>
  <c r="FI54" i="3" s="1"/>
  <c r="FJ54" i="3" s="1"/>
  <c r="FK54" i="3" s="1"/>
  <c r="FM53" i="3"/>
  <c r="FH54" i="3" l="1"/>
  <c r="FM54" i="3" s="1"/>
  <c r="FL54" i="3" l="1"/>
  <c r="FI55" i="3" s="1"/>
  <c r="FJ55" i="3" s="1"/>
  <c r="FK55" i="3" s="1"/>
  <c r="FH55" i="3" l="1"/>
  <c r="FM55" i="3" l="1"/>
  <c r="FL55" i="3"/>
  <c r="FI56" i="3" l="1"/>
  <c r="FJ56" i="3" s="1"/>
  <c r="FK56" i="3" s="1"/>
  <c r="FH56" i="3"/>
  <c r="FM56" i="3" l="1"/>
  <c r="FL56" i="3"/>
  <c r="FH57" i="3" l="1"/>
  <c r="FI57" i="3"/>
  <c r="FJ57" i="3" l="1"/>
  <c r="FK57" i="3" s="1"/>
  <c r="FL57" i="3" s="1"/>
  <c r="FI58" i="3"/>
  <c r="FJ58" i="3" s="1"/>
  <c r="FK58" i="3" s="1"/>
  <c r="FH58" i="3"/>
  <c r="FM57" i="3"/>
  <c r="FM58" i="3" l="1"/>
  <c r="FL58" i="3"/>
  <c r="FI59" i="3" s="1"/>
  <c r="FJ59" i="3" s="1"/>
  <c r="FK59" i="3" s="1"/>
  <c r="FH59" i="3" l="1"/>
  <c r="FM59" i="3"/>
  <c r="FL59" i="3"/>
  <c r="FI60" i="3" s="1"/>
  <c r="FJ60" i="3" s="1"/>
  <c r="FK60" i="3" s="1"/>
  <c r="FH60" i="3" l="1"/>
  <c r="FL60" i="3" s="1"/>
  <c r="FI61" i="3" s="1"/>
  <c r="FJ61" i="3" s="1"/>
  <c r="FK61" i="3" s="1"/>
  <c r="FM60" i="3"/>
  <c r="FH61" i="3"/>
  <c r="FL61" i="3" s="1"/>
  <c r="FI62" i="3" s="1"/>
  <c r="FM61" i="3" l="1"/>
  <c r="FH62" i="3"/>
  <c r="FM62" i="3" s="1"/>
  <c r="FJ62" i="3"/>
  <c r="FK62" i="3" s="1"/>
  <c r="FL62" i="3" s="1"/>
  <c r="FH63" i="3" s="1"/>
  <c r="FI63" i="3" l="1"/>
  <c r="FJ63" i="3" s="1"/>
  <c r="FK63" i="3" s="1"/>
  <c r="FM63" i="3"/>
  <c r="FL63" i="3"/>
  <c r="FI64" i="3" s="1"/>
  <c r="FJ64" i="3" s="1"/>
  <c r="FK64" i="3" s="1"/>
  <c r="FH64" i="3" l="1"/>
  <c r="FM64" i="3" s="1"/>
  <c r="FL64" i="3" l="1"/>
  <c r="FI65" i="3" s="1"/>
  <c r="FJ65" i="3" s="1"/>
  <c r="FK65" i="3" s="1"/>
  <c r="FH65" i="3"/>
  <c r="FM65" i="3" l="1"/>
  <c r="FL65" i="3"/>
  <c r="FI66" i="3" s="1"/>
  <c r="FJ66" i="3" s="1"/>
  <c r="FK66" i="3" s="1"/>
  <c r="FH66" i="3"/>
  <c r="FM66" i="3" l="1"/>
  <c r="FL66" i="3"/>
  <c r="FI67" i="3" s="1"/>
  <c r="FJ67" i="3" s="1"/>
  <c r="FK67" i="3" s="1"/>
  <c r="FH67" i="3" l="1"/>
  <c r="FL67" i="3" l="1"/>
  <c r="FI68" i="3" s="1"/>
  <c r="FJ68" i="3" s="1"/>
  <c r="FK68" i="3" s="1"/>
  <c r="FH68" i="3"/>
  <c r="FM67" i="3"/>
  <c r="FL68" i="3" l="1"/>
  <c r="FI69" i="3" s="1"/>
  <c r="FJ69" i="3" s="1"/>
  <c r="FK69" i="3" s="1"/>
  <c r="FH69" i="3"/>
  <c r="FM68" i="3"/>
  <c r="FM69" i="3" l="1"/>
  <c r="FL69" i="3"/>
  <c r="FI70" i="3" s="1"/>
  <c r="FJ70" i="3" s="1"/>
  <c r="FK70" i="3" s="1"/>
  <c r="FH70" i="3" l="1"/>
  <c r="FM70" i="3" l="1"/>
  <c r="FL70" i="3"/>
  <c r="FI71" i="3" s="1"/>
  <c r="FJ71" i="3" s="1"/>
  <c r="FK71" i="3" s="1"/>
  <c r="FH71" i="3" l="1"/>
  <c r="FM71" i="3" l="1"/>
  <c r="FL71" i="3"/>
  <c r="FI72" i="3" s="1"/>
  <c r="FJ72" i="3" s="1"/>
  <c r="FK72" i="3" s="1"/>
  <c r="FH72" i="3" l="1"/>
  <c r="FM72" i="3" l="1"/>
  <c r="FL72" i="3"/>
  <c r="FI73" i="3" s="1"/>
  <c r="FJ73" i="3" s="1"/>
  <c r="FK73" i="3" s="1"/>
  <c r="FH73" i="3" l="1"/>
  <c r="FL73" i="3"/>
  <c r="FI74" i="3" s="1"/>
  <c r="FJ74" i="3" s="1"/>
  <c r="FK74" i="3" s="1"/>
  <c r="FM73" i="3"/>
  <c r="FH74" i="3" l="1"/>
  <c r="FL74" i="3"/>
  <c r="FI75" i="3" s="1"/>
  <c r="FM74" i="3"/>
  <c r="FH75" i="3" l="1"/>
  <c r="FM75" i="3"/>
  <c r="FJ75" i="3"/>
  <c r="FK75" i="3" s="1"/>
  <c r="FL75" i="3" s="1"/>
  <c r="FH76" i="3" s="1"/>
  <c r="FM76" i="3" l="1"/>
  <c r="FI76" i="3"/>
  <c r="FJ76" i="3" s="1"/>
  <c r="FK76" i="3" s="1"/>
  <c r="FL76" i="3" s="1"/>
  <c r="FI77" i="3" l="1"/>
  <c r="FJ77" i="3" s="1"/>
  <c r="FK77" i="3" s="1"/>
  <c r="FH77" i="3"/>
  <c r="FM77" i="3" l="1"/>
  <c r="FL77" i="3"/>
  <c r="FI78" i="3" s="1"/>
  <c r="FJ78" i="3" s="1"/>
  <c r="FK78" i="3" s="1"/>
  <c r="FH78" i="3" l="1"/>
  <c r="FM78" i="3"/>
  <c r="FL78" i="3"/>
  <c r="FI79" i="3" s="1"/>
  <c r="FJ79" i="3" s="1"/>
  <c r="FK79" i="3" s="1"/>
  <c r="FH79" i="3"/>
  <c r="FL79" i="3" l="1"/>
  <c r="FI80" i="3" s="1"/>
  <c r="FJ80" i="3" s="1"/>
  <c r="FK80" i="3" s="1"/>
  <c r="FM79" i="3"/>
  <c r="FH80" i="3" l="1"/>
  <c r="FM80" i="3"/>
  <c r="FL80" i="3"/>
  <c r="FI81" i="3" s="1"/>
  <c r="FJ81" i="3" s="1"/>
  <c r="FK81" i="3" s="1"/>
  <c r="FH81" i="3" l="1"/>
  <c r="FL81" i="3" l="1"/>
  <c r="FI82" i="3" s="1"/>
  <c r="FJ82" i="3" s="1"/>
  <c r="FK82" i="3" s="1"/>
  <c r="FH82" i="3"/>
  <c r="FM81" i="3"/>
  <c r="FL82" i="3" l="1"/>
  <c r="FI83" i="3" s="1"/>
  <c r="FJ83" i="3" s="1"/>
  <c r="FK83" i="3" s="1"/>
  <c r="FM82" i="3"/>
  <c r="FH83" i="3" l="1"/>
  <c r="FL83" i="3"/>
  <c r="FI84" i="3" s="1"/>
  <c r="FJ84" i="3" s="1"/>
  <c r="FK84" i="3" s="1"/>
  <c r="FM83" i="3"/>
  <c r="FH84" i="3" l="1"/>
  <c r="FM84" i="3" s="1"/>
  <c r="FL84" i="3"/>
  <c r="FI85" i="3" s="1"/>
  <c r="FJ85" i="3" s="1"/>
  <c r="FK85" i="3" s="1"/>
  <c r="FH85" i="3" l="1"/>
  <c r="FM85" i="3" s="1"/>
  <c r="FL85" i="3"/>
  <c r="FI86" i="3" s="1"/>
  <c r="FJ86" i="3" s="1"/>
  <c r="FK86" i="3" s="1"/>
  <c r="FH86" i="3" l="1"/>
  <c r="FL86" i="3"/>
  <c r="FI87" i="3" s="1"/>
  <c r="FM86" i="3"/>
  <c r="FH87" i="3"/>
  <c r="FM87" i="3" l="1"/>
  <c r="FJ87" i="3"/>
  <c r="FK87" i="3" s="1"/>
  <c r="FL87" i="3" s="1"/>
  <c r="FH88" i="3" s="1"/>
  <c r="FI88" i="3" l="1"/>
  <c r="FJ88" i="3" s="1"/>
  <c r="FK88" i="3" s="1"/>
  <c r="FM88" i="3"/>
  <c r="FL88" i="3"/>
  <c r="FI89" i="3" s="1"/>
  <c r="FJ89" i="3" s="1"/>
  <c r="FK89" i="3" s="1"/>
  <c r="FH89" i="3" l="1"/>
  <c r="FM89" i="3"/>
  <c r="FL89" i="3"/>
  <c r="FI90" i="3" s="1"/>
  <c r="FJ90" i="3" s="1"/>
  <c r="FK90" i="3" s="1"/>
  <c r="FH90" i="3" l="1"/>
  <c r="FM90" i="3" l="1"/>
  <c r="FL90" i="3"/>
  <c r="FI91" i="3" s="1"/>
  <c r="FJ91" i="3" s="1"/>
  <c r="FK91" i="3" s="1"/>
  <c r="FH91" i="3"/>
  <c r="FM91" i="3" l="1"/>
  <c r="FL91" i="3"/>
  <c r="FI92" i="3" s="1"/>
  <c r="FH92" i="3"/>
  <c r="FM92" i="3" l="1"/>
  <c r="FJ92" i="3"/>
  <c r="FK92" i="3" s="1"/>
  <c r="FL92" i="3" s="1"/>
  <c r="FH93" i="3" s="1"/>
  <c r="FM93" i="3" l="1"/>
  <c r="FI93" i="3"/>
  <c r="FJ93" i="3" l="1"/>
  <c r="FK93" i="3" s="1"/>
  <c r="FL93" i="3" s="1"/>
  <c r="FH94" i="3" s="1"/>
  <c r="FM94" i="3" s="1"/>
  <c r="FI94" i="3" l="1"/>
  <c r="FJ94" i="3" l="1"/>
  <c r="FK94" i="3" s="1"/>
  <c r="FL94" i="3" s="1"/>
  <c r="FH95" i="3" s="1"/>
  <c r="FI95" i="3"/>
  <c r="FJ95" i="3" s="1"/>
  <c r="FK95" i="3" s="1"/>
  <c r="FL95" i="3" l="1"/>
  <c r="FI96" i="3" s="1"/>
  <c r="FJ96" i="3" s="1"/>
  <c r="FK96" i="3" s="1"/>
  <c r="FH96" i="3"/>
  <c r="FM95" i="3"/>
  <c r="FM96" i="3" l="1"/>
  <c r="FL96" i="3"/>
  <c r="FI97" i="3" s="1"/>
  <c r="FJ97" i="3" s="1"/>
  <c r="FK97" i="3" s="1"/>
  <c r="FH97" i="3"/>
  <c r="FM97" i="3" l="1"/>
  <c r="FL97" i="3"/>
  <c r="FI98" i="3" s="1"/>
  <c r="FH98" i="3" l="1"/>
  <c r="FM98" i="3" s="1"/>
  <c r="FJ98" i="3"/>
  <c r="FK98" i="3" s="1"/>
  <c r="FL98" i="3" s="1"/>
  <c r="FH99" i="3" s="1"/>
  <c r="FM99" i="3" l="1"/>
  <c r="FI99" i="3"/>
  <c r="FJ99" i="3" s="1"/>
  <c r="FK99" i="3" s="1"/>
  <c r="FL99" i="3" s="1"/>
  <c r="FI100" i="3" l="1"/>
  <c r="FJ100" i="3" s="1"/>
  <c r="FK100" i="3" s="1"/>
  <c r="FH100" i="3"/>
  <c r="FL100" i="3" l="1"/>
  <c r="FI101" i="3" s="1"/>
  <c r="FJ101" i="3" s="1"/>
  <c r="FK101" i="3" s="1"/>
  <c r="FM100" i="3"/>
  <c r="FH101" i="3"/>
  <c r="FL101" i="3" l="1"/>
  <c r="FI102" i="3" s="1"/>
  <c r="FJ102" i="3" s="1"/>
  <c r="FK102" i="3" s="1"/>
  <c r="FM101" i="3"/>
  <c r="FH102" i="3"/>
  <c r="FM102" i="3" l="1"/>
  <c r="FL102" i="3"/>
  <c r="FI103" i="3" s="1"/>
  <c r="FJ103" i="3" s="1"/>
  <c r="FK103" i="3" s="1"/>
  <c r="FH103" i="3" l="1"/>
  <c r="FM103" i="3" l="1"/>
  <c r="FL103" i="3"/>
  <c r="FI104" i="3" s="1"/>
  <c r="FJ104" i="3" s="1"/>
  <c r="FK104" i="3" s="1"/>
  <c r="FH104" i="3" l="1"/>
  <c r="FL104" i="3" l="1"/>
  <c r="FI105" i="3" s="1"/>
  <c r="FJ105" i="3" s="1"/>
  <c r="FK105" i="3" s="1"/>
  <c r="FM104" i="3"/>
  <c r="FH105" i="3" l="1"/>
  <c r="FL105" i="3" l="1"/>
  <c r="FI106" i="3" s="1"/>
  <c r="FJ106" i="3" s="1"/>
  <c r="FK106" i="3" s="1"/>
  <c r="FM105" i="3"/>
  <c r="FH106" i="3" l="1"/>
  <c r="FL106" i="3" l="1"/>
  <c r="FI107" i="3" s="1"/>
  <c r="FJ107" i="3" s="1"/>
  <c r="FK107" i="3" s="1"/>
  <c r="FH107" i="3"/>
  <c r="FM106" i="3"/>
  <c r="FL107" i="3" l="1"/>
  <c r="FI108" i="3" s="1"/>
  <c r="FJ108" i="3" s="1"/>
  <c r="FK108" i="3" s="1"/>
  <c r="FM107" i="3"/>
  <c r="FH108" i="3"/>
  <c r="FL108" i="3" l="1"/>
  <c r="FI109" i="3" s="1"/>
  <c r="FJ109" i="3" s="1"/>
  <c r="FK109" i="3" s="1"/>
  <c r="FM108" i="3"/>
  <c r="FH109" i="3"/>
  <c r="FL109" i="3" l="1"/>
  <c r="FI110" i="3" s="1"/>
  <c r="FJ110" i="3" s="1"/>
  <c r="FK110" i="3" s="1"/>
  <c r="FM109" i="3"/>
  <c r="FH110" i="3"/>
  <c r="FM110" i="3" l="1"/>
  <c r="FL110" i="3"/>
  <c r="FI111" i="3" s="1"/>
  <c r="FJ111" i="3" s="1"/>
  <c r="FK111" i="3" s="1"/>
  <c r="FH111" i="3"/>
  <c r="FM111" i="3" l="1"/>
  <c r="FL111" i="3"/>
  <c r="FI112" i="3" s="1"/>
  <c r="FJ112" i="3" s="1"/>
  <c r="FK112" i="3" s="1"/>
  <c r="FH112" i="3"/>
  <c r="FM112" i="3" l="1"/>
  <c r="FL112" i="3"/>
  <c r="FI113" i="3" s="1"/>
  <c r="FJ113" i="3" s="1"/>
  <c r="FK113" i="3" s="1"/>
  <c r="FH113" i="3" l="1"/>
  <c r="FL113" i="3"/>
  <c r="FI114" i="3" s="1"/>
  <c r="FJ114" i="3" s="1"/>
  <c r="FK114" i="3" s="1"/>
  <c r="FM113" i="3"/>
  <c r="FH114" i="3" l="1"/>
  <c r="FM114" i="3"/>
  <c r="FL114" i="3"/>
  <c r="FI115" i="3" s="1"/>
  <c r="FJ115" i="3" s="1"/>
  <c r="FK115" i="3" s="1"/>
  <c r="FH115" i="3" l="1"/>
  <c r="FM115" i="3"/>
  <c r="FL115" i="3"/>
  <c r="FI116" i="3" s="1"/>
  <c r="FJ116" i="3" s="1"/>
  <c r="FK116" i="3" s="1"/>
  <c r="FH116" i="3"/>
  <c r="FL116" i="3" l="1"/>
  <c r="FI117" i="3" s="1"/>
  <c r="FJ117" i="3" s="1"/>
  <c r="FK117" i="3" s="1"/>
  <c r="FM116" i="3"/>
  <c r="FH117" i="3"/>
  <c r="FM117" i="3" l="1"/>
  <c r="FL117" i="3"/>
  <c r="FI118" i="3" s="1"/>
  <c r="FJ118" i="3" s="1"/>
  <c r="FK118" i="3" s="1"/>
  <c r="FH118" i="3" l="1"/>
  <c r="FM118" i="3"/>
  <c r="FL118" i="3"/>
  <c r="FI119" i="3" s="1"/>
  <c r="FJ119" i="3" s="1"/>
  <c r="FK119" i="3" s="1"/>
  <c r="FH119" i="3"/>
  <c r="FM119" i="3" l="1"/>
  <c r="FL119" i="3"/>
  <c r="FI120" i="3" s="1"/>
  <c r="FJ120" i="3" s="1"/>
  <c r="FK120" i="3" s="1"/>
  <c r="FH120" i="3" l="1"/>
  <c r="FM120" i="3" s="1"/>
  <c r="FL120" i="3" l="1"/>
  <c r="FI121" i="3" s="1"/>
  <c r="FJ121" i="3" s="1"/>
  <c r="FK121" i="3" s="1"/>
  <c r="FH121" i="3" l="1"/>
  <c r="FL121" i="3" l="1"/>
  <c r="FM121" i="3"/>
  <c r="FI122" i="3" l="1"/>
  <c r="FJ122" i="3" s="1"/>
  <c r="FK122" i="3" s="1"/>
  <c r="FH122" i="3"/>
  <c r="FM122" i="3" l="1"/>
  <c r="FL122" i="3"/>
  <c r="FI123" i="3" s="1"/>
  <c r="FJ123" i="3" l="1"/>
  <c r="FK123" i="3" s="1"/>
  <c r="FH123" i="3"/>
  <c r="FM123" i="3" s="1"/>
  <c r="FL123" i="3" l="1"/>
  <c r="FH124" i="3" l="1"/>
  <c r="FI124" i="3"/>
  <c r="FJ124" i="3" s="1"/>
  <c r="FK124" i="3" s="1"/>
  <c r="FL124" i="3" s="1"/>
  <c r="FI125" i="3" s="1"/>
  <c r="FJ125" i="3" s="1"/>
  <c r="FK125" i="3" s="1"/>
  <c r="FM124" i="3" l="1"/>
  <c r="FH125" i="3"/>
  <c r="FL125" i="3" l="1"/>
  <c r="FI126" i="3" s="1"/>
  <c r="FJ126" i="3" s="1"/>
  <c r="FK126" i="3" s="1"/>
  <c r="FM125" i="3"/>
  <c r="FH126" i="3" l="1"/>
  <c r="FL126" i="3" l="1"/>
  <c r="FI127" i="3" s="1"/>
  <c r="FJ127" i="3" s="1"/>
  <c r="FK127" i="3" s="1"/>
  <c r="FH127" i="3"/>
  <c r="FM126" i="3"/>
  <c r="FM127" i="3" l="1"/>
  <c r="FL127" i="3"/>
  <c r="FI128" i="3" s="1"/>
  <c r="FJ128" i="3" s="1"/>
  <c r="FK128" i="3" s="1"/>
  <c r="FH128" i="3"/>
  <c r="FL128" i="3" l="1"/>
  <c r="FI129" i="3" s="1"/>
  <c r="FJ129" i="3" s="1"/>
  <c r="FK129" i="3" s="1"/>
  <c r="FM128" i="3"/>
  <c r="FH129" i="3" l="1"/>
  <c r="FM129" i="3"/>
  <c r="FL129" i="3"/>
  <c r="FI130" i="3" s="1"/>
  <c r="FJ130" i="3" s="1"/>
  <c r="FK130" i="3" s="1"/>
  <c r="FH130" i="3"/>
  <c r="FM130" i="3" l="1"/>
  <c r="FL130" i="3"/>
  <c r="FI131" i="3" s="1"/>
  <c r="FJ131" i="3" s="1"/>
  <c r="FK131" i="3" s="1"/>
  <c r="FH131" i="3" l="1"/>
  <c r="FL131" i="3" l="1"/>
  <c r="FI132" i="3" s="1"/>
  <c r="FM131" i="3"/>
  <c r="FH132" i="3"/>
  <c r="FM132" i="3" l="1"/>
  <c r="FJ132" i="3"/>
  <c r="FK132" i="3" s="1"/>
  <c r="FL132" i="3" s="1"/>
  <c r="FH133" i="3" s="1"/>
  <c r="FM133" i="3" l="1"/>
  <c r="FI133" i="3"/>
  <c r="FJ133" i="3" s="1"/>
  <c r="FK133" i="3" s="1"/>
  <c r="FL133" i="3" s="1"/>
  <c r="FI134" i="3" l="1"/>
  <c r="FJ134" i="3" s="1"/>
  <c r="FK134" i="3" s="1"/>
  <c r="FH134" i="3"/>
  <c r="FL134" i="3" l="1"/>
  <c r="FM134" i="3"/>
  <c r="N15" i="3" s="1"/>
  <c r="FV34" i="3"/>
  <c r="FZ34" i="3" l="1"/>
  <c r="FW35" i="3" s="1"/>
  <c r="FX35" i="3" s="1"/>
  <c r="FY35" i="3" s="1"/>
  <c r="GA34" i="3"/>
  <c r="FV35" i="3"/>
  <c r="GA35" i="3" l="1"/>
  <c r="FZ35" i="3"/>
  <c r="FW36" i="3" s="1"/>
  <c r="FX36" i="3" s="1"/>
  <c r="FY36" i="3" s="1"/>
  <c r="FV36" i="3"/>
  <c r="GA36" i="3" l="1"/>
  <c r="FZ36" i="3"/>
  <c r="FW37" i="3" l="1"/>
  <c r="FX37" i="3" s="1"/>
  <c r="FY37" i="3" s="1"/>
  <c r="FV37" i="3"/>
  <c r="GA37" i="3" l="1"/>
  <c r="FZ37" i="3"/>
  <c r="FW38" i="3" s="1"/>
  <c r="FX38" i="3" s="1"/>
  <c r="FY38" i="3" s="1"/>
  <c r="FV38" i="3" l="1"/>
  <c r="GA38" i="3"/>
  <c r="FZ38" i="3"/>
  <c r="FW39" i="3" s="1"/>
  <c r="FX39" i="3" s="1"/>
  <c r="FY39" i="3" s="1"/>
  <c r="FV39" i="3" l="1"/>
  <c r="GA39" i="3" l="1"/>
  <c r="FZ39" i="3"/>
  <c r="FW40" i="3" s="1"/>
  <c r="FX40" i="3" s="1"/>
  <c r="FY40" i="3" s="1"/>
  <c r="FV40" i="3" l="1"/>
  <c r="GA40" i="3" l="1"/>
  <c r="FZ40" i="3"/>
  <c r="FW41" i="3" s="1"/>
  <c r="FX41" i="3" s="1"/>
  <c r="FY41" i="3" s="1"/>
  <c r="FV41" i="3"/>
  <c r="FZ41" i="3" l="1"/>
  <c r="FW42" i="3" s="1"/>
  <c r="FX42" i="3" s="1"/>
  <c r="FY42" i="3" s="1"/>
  <c r="GA41" i="3"/>
  <c r="FV42" i="3" l="1"/>
  <c r="FZ42" i="3"/>
  <c r="FW43" i="3" s="1"/>
  <c r="GA42" i="3"/>
  <c r="FV43" i="3"/>
  <c r="GA43" i="3" s="1"/>
  <c r="FX43" i="3" l="1"/>
  <c r="FY43" i="3" s="1"/>
  <c r="FZ43" i="3" s="1"/>
  <c r="FV44" i="3" s="1"/>
  <c r="FW44" i="3" l="1"/>
  <c r="FX44" i="3" s="1"/>
  <c r="FY44" i="3" s="1"/>
  <c r="FZ44" i="3"/>
  <c r="FW45" i="3" s="1"/>
  <c r="FX45" i="3" s="1"/>
  <c r="FY45" i="3" s="1"/>
  <c r="GA44" i="3"/>
  <c r="FV45" i="3" l="1"/>
  <c r="GA45" i="3"/>
  <c r="FZ45" i="3"/>
  <c r="FW46" i="3" s="1"/>
  <c r="FX46" i="3" s="1"/>
  <c r="FY46" i="3" s="1"/>
  <c r="FV46" i="3"/>
  <c r="GA46" i="3" l="1"/>
  <c r="FZ46" i="3"/>
  <c r="FW47" i="3" s="1"/>
  <c r="FX47" i="3" s="1"/>
  <c r="FY47" i="3" s="1"/>
  <c r="FV47" i="3" l="1"/>
  <c r="FZ47" i="3"/>
  <c r="FW48" i="3" s="1"/>
  <c r="FX48" i="3" s="1"/>
  <c r="FY48" i="3" s="1"/>
  <c r="GA47" i="3"/>
  <c r="FV48" i="3" l="1"/>
  <c r="FZ48" i="3"/>
  <c r="FW49" i="3" s="1"/>
  <c r="FX49" i="3" s="1"/>
  <c r="FY49" i="3" s="1"/>
  <c r="GA48" i="3"/>
  <c r="FV49" i="3" l="1"/>
  <c r="GA49" i="3"/>
  <c r="FZ49" i="3"/>
  <c r="FW50" i="3" s="1"/>
  <c r="FX50" i="3" s="1"/>
  <c r="FY50" i="3" s="1"/>
  <c r="FV50" i="3" l="1"/>
  <c r="FZ50" i="3" l="1"/>
  <c r="FW51" i="3" s="1"/>
  <c r="FX51" i="3" s="1"/>
  <c r="FY51" i="3" s="1"/>
  <c r="GA50" i="3"/>
  <c r="FV51" i="3" l="1"/>
  <c r="GA51" i="3"/>
  <c r="FZ51" i="3"/>
  <c r="FW52" i="3" s="1"/>
  <c r="FX52" i="3" s="1"/>
  <c r="FY52" i="3" s="1"/>
  <c r="FV52" i="3"/>
  <c r="FZ52" i="3" l="1"/>
  <c r="FW53" i="3" s="1"/>
  <c r="FX53" i="3" s="1"/>
  <c r="FY53" i="3" s="1"/>
  <c r="GA52" i="3"/>
  <c r="FV53" i="3"/>
  <c r="FZ53" i="3" l="1"/>
  <c r="FW54" i="3" s="1"/>
  <c r="FX54" i="3" s="1"/>
  <c r="FY54" i="3" s="1"/>
  <c r="GA53" i="3"/>
  <c r="FV54" i="3"/>
  <c r="FZ54" i="3" l="1"/>
  <c r="FW55" i="3" s="1"/>
  <c r="FX55" i="3" s="1"/>
  <c r="FY55" i="3" s="1"/>
  <c r="GA54" i="3"/>
  <c r="FV55" i="3" l="1"/>
  <c r="GA55" i="3" l="1"/>
  <c r="FZ55" i="3"/>
  <c r="FW56" i="3" s="1"/>
  <c r="FX56" i="3" s="1"/>
  <c r="FY56" i="3" s="1"/>
  <c r="FV56" i="3" l="1"/>
  <c r="GA56" i="3" l="1"/>
  <c r="FZ56" i="3"/>
  <c r="FW57" i="3" s="1"/>
  <c r="FX57" i="3" s="1"/>
  <c r="FY57" i="3" s="1"/>
  <c r="FV57" i="3" l="1"/>
  <c r="GA57" i="3" l="1"/>
  <c r="FZ57" i="3"/>
  <c r="FW58" i="3" s="1"/>
  <c r="FX58" i="3" s="1"/>
  <c r="FY58" i="3" s="1"/>
  <c r="FV58" i="3" l="1"/>
  <c r="FZ58" i="3" l="1"/>
  <c r="FW59" i="3" s="1"/>
  <c r="FX59" i="3" s="1"/>
  <c r="FY59" i="3" s="1"/>
  <c r="GA58" i="3"/>
  <c r="FV59" i="3" l="1"/>
  <c r="GA59" i="3"/>
  <c r="FZ59" i="3"/>
  <c r="FW60" i="3" s="1"/>
  <c r="FX60" i="3" s="1"/>
  <c r="FY60" i="3" s="1"/>
  <c r="FV60" i="3" l="1"/>
  <c r="FZ60" i="3" l="1"/>
  <c r="FW61" i="3" s="1"/>
  <c r="FX61" i="3" s="1"/>
  <c r="FY61" i="3" s="1"/>
  <c r="GA60" i="3"/>
  <c r="FV61" i="3"/>
  <c r="GA61" i="3" l="1"/>
  <c r="FZ61" i="3"/>
  <c r="FW62" i="3" s="1"/>
  <c r="FX62" i="3" s="1"/>
  <c r="FY62" i="3" s="1"/>
  <c r="FV62" i="3" l="1"/>
  <c r="FZ62" i="3"/>
  <c r="FW63" i="3" s="1"/>
  <c r="FX63" i="3" s="1"/>
  <c r="FY63" i="3" s="1"/>
  <c r="GA62" i="3"/>
  <c r="FV63" i="3"/>
  <c r="FZ63" i="3" l="1"/>
  <c r="FW64" i="3" s="1"/>
  <c r="FX64" i="3" s="1"/>
  <c r="FY64" i="3" s="1"/>
  <c r="GA63" i="3"/>
  <c r="FV64" i="3"/>
  <c r="FZ64" i="3" l="1"/>
  <c r="FW65" i="3" s="1"/>
  <c r="FX65" i="3" s="1"/>
  <c r="FY65" i="3" s="1"/>
  <c r="FV65" i="3"/>
  <c r="GA64" i="3"/>
  <c r="GA65" i="3" l="1"/>
  <c r="FZ65" i="3"/>
  <c r="FW66" i="3" s="1"/>
  <c r="FX66" i="3" s="1"/>
  <c r="FY66" i="3" s="1"/>
  <c r="FV66" i="3" l="1"/>
  <c r="FZ66" i="3"/>
  <c r="FW67" i="3" s="1"/>
  <c r="GA66" i="3"/>
  <c r="FV67" i="3" l="1"/>
  <c r="GA67" i="3" s="1"/>
  <c r="FX67" i="3"/>
  <c r="FY67" i="3" s="1"/>
  <c r="FZ67" i="3" s="1"/>
  <c r="FV68" i="3" s="1"/>
  <c r="FW68" i="3" l="1"/>
  <c r="FX68" i="3" s="1"/>
  <c r="FY68" i="3" s="1"/>
  <c r="FZ68" i="3" s="1"/>
  <c r="FW69" i="3" s="1"/>
  <c r="GA68" i="3"/>
  <c r="FV69" i="3" l="1"/>
  <c r="GA69" i="3" s="1"/>
  <c r="FX69" i="3"/>
  <c r="FY69" i="3" s="1"/>
  <c r="FZ69" i="3" s="1"/>
  <c r="FV70" i="3" s="1"/>
  <c r="FW70" i="3" l="1"/>
  <c r="FX70" i="3" s="1"/>
  <c r="FY70" i="3" s="1"/>
  <c r="FZ70" i="3" s="1"/>
  <c r="FV71" i="3" s="1"/>
  <c r="GA70" i="3"/>
  <c r="FW71" i="3" l="1"/>
  <c r="FX71" i="3" s="1"/>
  <c r="FY71" i="3" s="1"/>
  <c r="GA71" i="3"/>
  <c r="FZ71" i="3"/>
  <c r="FW72" i="3" s="1"/>
  <c r="FX72" i="3" s="1"/>
  <c r="FY72" i="3" s="1"/>
  <c r="FV72" i="3" l="1"/>
  <c r="FZ72" i="3" l="1"/>
  <c r="FW73" i="3" s="1"/>
  <c r="FX73" i="3" s="1"/>
  <c r="FY73" i="3" s="1"/>
  <c r="GA72" i="3"/>
  <c r="FV73" i="3" l="1"/>
  <c r="FZ73" i="3"/>
  <c r="FW74" i="3" s="1"/>
  <c r="FX74" i="3" s="1"/>
  <c r="FY74" i="3" s="1"/>
  <c r="GA73" i="3"/>
  <c r="FV74" i="3"/>
  <c r="FZ74" i="3" l="1"/>
  <c r="FW75" i="3" s="1"/>
  <c r="FX75" i="3" s="1"/>
  <c r="FY75" i="3" s="1"/>
  <c r="GA74" i="3"/>
  <c r="FV75" i="3"/>
  <c r="FZ75" i="3" l="1"/>
  <c r="FW76" i="3" s="1"/>
  <c r="FX76" i="3" s="1"/>
  <c r="FY76" i="3" s="1"/>
  <c r="GA75" i="3"/>
  <c r="FV76" i="3"/>
  <c r="GA76" i="3" l="1"/>
  <c r="FZ76" i="3"/>
  <c r="FW77" i="3" s="1"/>
  <c r="FV77" i="3"/>
  <c r="GA77" i="3" l="1"/>
  <c r="FX77" i="3"/>
  <c r="FY77" i="3" s="1"/>
  <c r="FZ77" i="3" s="1"/>
  <c r="FV78" i="3" l="1"/>
  <c r="FW78" i="3"/>
  <c r="FX78" i="3" s="1"/>
  <c r="FY78" i="3" s="1"/>
  <c r="GA78" i="3" l="1"/>
  <c r="FZ78" i="3"/>
  <c r="FW79" i="3" s="1"/>
  <c r="FX79" i="3" s="1"/>
  <c r="FY79" i="3" s="1"/>
  <c r="FV79" i="3" l="1"/>
  <c r="FZ79" i="3" l="1"/>
  <c r="FW80" i="3" s="1"/>
  <c r="FX80" i="3" s="1"/>
  <c r="FY80" i="3" s="1"/>
  <c r="GA79" i="3"/>
  <c r="FV80" i="3" l="1"/>
  <c r="GA80" i="3"/>
  <c r="FZ80" i="3"/>
  <c r="FW81" i="3" s="1"/>
  <c r="FX81" i="3" s="1"/>
  <c r="FY81" i="3" s="1"/>
  <c r="FV81" i="3" l="1"/>
  <c r="GA81" i="3" l="1"/>
  <c r="FZ81" i="3"/>
  <c r="FW82" i="3" s="1"/>
  <c r="FX82" i="3" s="1"/>
  <c r="FY82" i="3" s="1"/>
  <c r="FV82" i="3" l="1"/>
  <c r="FZ82" i="3" l="1"/>
  <c r="FW83" i="3" s="1"/>
  <c r="FV83" i="3"/>
  <c r="GA83" i="3" s="1"/>
  <c r="GA82" i="3"/>
  <c r="FX83" i="3" l="1"/>
  <c r="FY83" i="3" s="1"/>
  <c r="FZ83" i="3" s="1"/>
  <c r="FV84" i="3" s="1"/>
  <c r="FW84" i="3" l="1"/>
  <c r="FX84" i="3" s="1"/>
  <c r="FY84" i="3" s="1"/>
  <c r="GA84" i="3"/>
  <c r="FZ84" i="3"/>
  <c r="FW85" i="3" s="1"/>
  <c r="FV85" i="3" l="1"/>
  <c r="GA85" i="3"/>
  <c r="FX85" i="3"/>
  <c r="FY85" i="3" s="1"/>
  <c r="FZ85" i="3" s="1"/>
  <c r="FV86" i="3" l="1"/>
  <c r="FW86" i="3"/>
  <c r="FX86" i="3" l="1"/>
  <c r="FY86" i="3" s="1"/>
  <c r="FZ86" i="3"/>
  <c r="FW87" i="3" s="1"/>
  <c r="FX87" i="3" s="1"/>
  <c r="FY87" i="3" s="1"/>
  <c r="GA86" i="3"/>
  <c r="FV87" i="3" l="1"/>
  <c r="FZ87" i="3"/>
  <c r="FW88" i="3" s="1"/>
  <c r="FX88" i="3" s="1"/>
  <c r="FY88" i="3" s="1"/>
  <c r="GA87" i="3"/>
  <c r="FV88" i="3"/>
  <c r="GA88" i="3" l="1"/>
  <c r="FZ88" i="3"/>
  <c r="FW89" i="3" s="1"/>
  <c r="FX89" i="3" s="1"/>
  <c r="FY89" i="3" s="1"/>
  <c r="FV89" i="3" l="1"/>
  <c r="GA89" i="3"/>
  <c r="FZ89" i="3"/>
  <c r="FW90" i="3" s="1"/>
  <c r="FX90" i="3" s="1"/>
  <c r="FY90" i="3" s="1"/>
  <c r="FV90" i="3"/>
  <c r="FZ90" i="3" l="1"/>
  <c r="FW91" i="3" s="1"/>
  <c r="GA90" i="3"/>
  <c r="FV91" i="3" l="1"/>
  <c r="GA91" i="3" s="1"/>
  <c r="FX91" i="3"/>
  <c r="FY91" i="3" s="1"/>
  <c r="FZ91" i="3" s="1"/>
  <c r="FV92" i="3" s="1"/>
  <c r="GA92" i="3" l="1"/>
  <c r="FW92" i="3"/>
  <c r="FX92" i="3" s="1"/>
  <c r="FY92" i="3" s="1"/>
  <c r="FZ92" i="3" s="1"/>
  <c r="FW93" i="3" l="1"/>
  <c r="FX93" i="3" s="1"/>
  <c r="FY93" i="3" s="1"/>
  <c r="FV93" i="3"/>
  <c r="GA93" i="3" l="1"/>
  <c r="FZ93" i="3"/>
  <c r="FW94" i="3" s="1"/>
  <c r="FX94" i="3" l="1"/>
  <c r="FY94" i="3" s="1"/>
  <c r="FV94" i="3"/>
  <c r="GA94" i="3" s="1"/>
  <c r="FZ94" i="3" l="1"/>
  <c r="FV95" i="3" l="1"/>
  <c r="FW95" i="3"/>
  <c r="FX95" i="3" l="1"/>
  <c r="FY95" i="3" s="1"/>
  <c r="FZ95" i="3" s="1"/>
  <c r="FW96" i="3"/>
  <c r="FX96" i="3" s="1"/>
  <c r="FY96" i="3" s="1"/>
  <c r="GA95" i="3"/>
  <c r="FV96" i="3"/>
  <c r="GA96" i="3" l="1"/>
  <c r="FZ96" i="3"/>
  <c r="FW97" i="3" s="1"/>
  <c r="FX97" i="3" s="1"/>
  <c r="FY97" i="3" s="1"/>
  <c r="FV97" i="3" l="1"/>
  <c r="GA97" i="3"/>
  <c r="FZ97" i="3"/>
  <c r="FW98" i="3" s="1"/>
  <c r="FX98" i="3" l="1"/>
  <c r="FY98" i="3" s="1"/>
  <c r="FV98" i="3"/>
  <c r="GA98" i="3" l="1"/>
  <c r="FZ98" i="3"/>
  <c r="FW99" i="3" s="1"/>
  <c r="FX99" i="3" l="1"/>
  <c r="FY99" i="3" s="1"/>
  <c r="FV99" i="3"/>
  <c r="GA99" i="3" l="1"/>
  <c r="FZ99" i="3"/>
  <c r="FW100" i="3" s="1"/>
  <c r="FX100" i="3" s="1"/>
  <c r="FY100" i="3" s="1"/>
  <c r="FV100" i="3" l="1"/>
  <c r="GA100" i="3" l="1"/>
  <c r="FZ100" i="3"/>
  <c r="FW101" i="3" s="1"/>
  <c r="FX101" i="3" s="1"/>
  <c r="FY101" i="3" s="1"/>
  <c r="FV101" i="3" l="1"/>
  <c r="GA101" i="3" l="1"/>
  <c r="FZ101" i="3"/>
  <c r="FW102" i="3" s="1"/>
  <c r="FX102" i="3" s="1"/>
  <c r="FY102" i="3" s="1"/>
  <c r="FV102" i="3" l="1"/>
  <c r="GA102" i="3" l="1"/>
  <c r="FZ102" i="3"/>
  <c r="FW103" i="3" s="1"/>
  <c r="FX103" i="3" s="1"/>
  <c r="FY103" i="3" s="1"/>
  <c r="FV103" i="3" l="1"/>
  <c r="GA103" i="3" s="1"/>
  <c r="FZ103" i="3" l="1"/>
  <c r="FW104" i="3" s="1"/>
  <c r="FX104" i="3" s="1"/>
  <c r="FY104" i="3" s="1"/>
  <c r="FV104" i="3"/>
  <c r="FZ104" i="3" l="1"/>
  <c r="FW105" i="3" s="1"/>
  <c r="FX105" i="3" s="1"/>
  <c r="FY105" i="3" s="1"/>
  <c r="GA104" i="3"/>
  <c r="FV105" i="3" l="1"/>
  <c r="FZ105" i="3"/>
  <c r="FW106" i="3" s="1"/>
  <c r="FX106" i="3" s="1"/>
  <c r="FY106" i="3" s="1"/>
  <c r="GA105" i="3"/>
  <c r="FV106" i="3"/>
  <c r="GA106" i="3" l="1"/>
  <c r="FZ106" i="3"/>
  <c r="FW107" i="3" s="1"/>
  <c r="FX107" i="3" s="1"/>
  <c r="FY107" i="3" s="1"/>
  <c r="FV107" i="3" l="1"/>
  <c r="GA107" i="3" l="1"/>
  <c r="FZ107" i="3"/>
  <c r="FW108" i="3" s="1"/>
  <c r="FX108" i="3" s="1"/>
  <c r="FY108" i="3" s="1"/>
  <c r="FV108" i="3"/>
  <c r="FZ108" i="3" l="1"/>
  <c r="FW109" i="3" s="1"/>
  <c r="FX109" i="3" s="1"/>
  <c r="FY109" i="3" s="1"/>
  <c r="GA108" i="3"/>
  <c r="FV109" i="3"/>
  <c r="GA109" i="3" l="1"/>
  <c r="FZ109" i="3"/>
  <c r="FW110" i="3" s="1"/>
  <c r="FX110" i="3" l="1"/>
  <c r="FY110" i="3" s="1"/>
  <c r="FV110" i="3"/>
  <c r="GA110" i="3" l="1"/>
  <c r="FZ110" i="3"/>
  <c r="FW111" i="3" s="1"/>
  <c r="FX111" i="3" s="1"/>
  <c r="FY111" i="3" s="1"/>
  <c r="FV111" i="3" l="1"/>
  <c r="GA111" i="3" l="1"/>
  <c r="FZ111" i="3"/>
  <c r="FW112" i="3" s="1"/>
  <c r="FX112" i="3" s="1"/>
  <c r="FY112" i="3" s="1"/>
  <c r="FV112" i="3" l="1"/>
  <c r="GA112" i="3" l="1"/>
  <c r="FZ112" i="3"/>
  <c r="FW113" i="3" s="1"/>
  <c r="FX113" i="3" l="1"/>
  <c r="FY113" i="3" s="1"/>
  <c r="FV113" i="3"/>
  <c r="GA113" i="3" s="1"/>
  <c r="FZ113" i="3" l="1"/>
  <c r="FV114" i="3" l="1"/>
  <c r="FW114" i="3"/>
  <c r="FX114" i="3" l="1"/>
  <c r="FY114" i="3" s="1"/>
  <c r="FZ114" i="3" s="1"/>
  <c r="FW115" i="3" s="1"/>
  <c r="FX115" i="3" s="1"/>
  <c r="FY115" i="3" s="1"/>
  <c r="GA114" i="3"/>
  <c r="FV115" i="3" l="1"/>
  <c r="FZ115" i="3"/>
  <c r="FW116" i="3" s="1"/>
  <c r="FX116" i="3" s="1"/>
  <c r="FY116" i="3" s="1"/>
  <c r="GA115" i="3"/>
  <c r="FV116" i="3" l="1"/>
  <c r="FZ116" i="3"/>
  <c r="FW117" i="3" s="1"/>
  <c r="FX117" i="3" s="1"/>
  <c r="FY117" i="3" s="1"/>
  <c r="GA116" i="3"/>
  <c r="FV117" i="3" l="1"/>
  <c r="FZ117" i="3"/>
  <c r="FW118" i="3" s="1"/>
  <c r="FX118" i="3" s="1"/>
  <c r="FY118" i="3" s="1"/>
  <c r="GA117" i="3"/>
  <c r="FV118" i="3" l="1"/>
  <c r="GA118" i="3" l="1"/>
  <c r="FZ118" i="3"/>
  <c r="FW119" i="3" s="1"/>
  <c r="FX119" i="3" s="1"/>
  <c r="FY119" i="3" s="1"/>
  <c r="FV119" i="3" l="1"/>
  <c r="FZ119" i="3"/>
  <c r="FW120" i="3" s="1"/>
  <c r="FX120" i="3" s="1"/>
  <c r="FY120" i="3" s="1"/>
  <c r="GA119" i="3"/>
  <c r="FV120" i="3"/>
  <c r="GA120" i="3" l="1"/>
  <c r="FZ120" i="3"/>
  <c r="FW121" i="3" s="1"/>
  <c r="FX121" i="3" s="1"/>
  <c r="FY121" i="3" s="1"/>
  <c r="FV121" i="3" l="1"/>
  <c r="FZ121" i="3"/>
  <c r="FW122" i="3" s="1"/>
  <c r="FX122" i="3" s="1"/>
  <c r="FY122" i="3" s="1"/>
  <c r="GA121" i="3"/>
  <c r="FV122" i="3" l="1"/>
  <c r="GA122" i="3"/>
  <c r="FZ122" i="3"/>
  <c r="FW123" i="3" s="1"/>
  <c r="FX123" i="3" s="1"/>
  <c r="FY123" i="3" s="1"/>
  <c r="FV123" i="3" l="1"/>
  <c r="GA123" i="3" l="1"/>
  <c r="FZ123" i="3"/>
  <c r="FW124" i="3" s="1"/>
  <c r="FV124" i="3" l="1"/>
  <c r="GA124" i="3" s="1"/>
  <c r="FX124" i="3"/>
  <c r="FY124" i="3" s="1"/>
  <c r="FZ124" i="3" s="1"/>
  <c r="FV125" i="3" s="1"/>
  <c r="FW125" i="3" l="1"/>
  <c r="FX125" i="3"/>
  <c r="FY125" i="3" s="1"/>
  <c r="FZ125" i="3" s="1"/>
  <c r="FW126" i="3" s="1"/>
  <c r="FX126" i="3" s="1"/>
  <c r="FY126" i="3" s="1"/>
  <c r="GA125" i="3"/>
  <c r="FV126" i="3" l="1"/>
  <c r="GA126" i="3"/>
  <c r="FZ126" i="3"/>
  <c r="FW127" i="3" s="1"/>
  <c r="FX127" i="3" l="1"/>
  <c r="FY127" i="3" s="1"/>
  <c r="FV127" i="3"/>
  <c r="GA127" i="3" s="1"/>
  <c r="FZ127" i="3" l="1"/>
  <c r="FV128" i="3" l="1"/>
  <c r="FW128" i="3"/>
  <c r="FX128" i="3" l="1"/>
  <c r="FY128" i="3" s="1"/>
  <c r="FZ128" i="3" s="1"/>
  <c r="FW129" i="3" s="1"/>
  <c r="FX129" i="3" s="1"/>
  <c r="FY129" i="3" s="1"/>
  <c r="GA128" i="3"/>
  <c r="FV129" i="3"/>
  <c r="GA129" i="3" l="1"/>
  <c r="FZ129" i="3"/>
  <c r="FW130" i="3" s="1"/>
  <c r="FV130" i="3" l="1"/>
  <c r="GA130" i="3" s="1"/>
  <c r="FX130" i="3"/>
  <c r="FY130" i="3" s="1"/>
  <c r="FZ130" i="3" s="1"/>
  <c r="FV131" i="3" s="1"/>
  <c r="FW131" i="3" l="1"/>
  <c r="FX131" i="3"/>
  <c r="FY131" i="3" s="1"/>
  <c r="FZ131" i="3" s="1"/>
  <c r="FW132" i="3" s="1"/>
  <c r="FX132" i="3" s="1"/>
  <c r="FY132" i="3" s="1"/>
  <c r="GA131" i="3"/>
  <c r="FV132" i="3" l="1"/>
  <c r="GA132" i="3" s="1"/>
  <c r="FZ132" i="3" l="1"/>
  <c r="FW133" i="3" s="1"/>
  <c r="FX133" i="3" s="1"/>
  <c r="FY133" i="3" s="1"/>
  <c r="FV133" i="3" l="1"/>
  <c r="GA133" i="3" l="1"/>
  <c r="FZ133" i="3"/>
  <c r="FW134" i="3" l="1"/>
  <c r="FX134" i="3" s="1"/>
  <c r="FY134" i="3" s="1"/>
  <c r="FV134" i="3"/>
  <c r="FZ134" i="3" l="1"/>
  <c r="GJ34" i="3"/>
  <c r="GA134" i="3"/>
  <c r="N16" i="3" s="1"/>
  <c r="GO34" i="3" l="1"/>
  <c r="GN34" i="3"/>
  <c r="GK35" i="3" s="1"/>
  <c r="GL35" i="3" s="1"/>
  <c r="GM35" i="3" s="1"/>
  <c r="GJ35" i="3"/>
  <c r="GN35" i="3" l="1"/>
  <c r="GO35" i="3"/>
  <c r="GK36" i="3" l="1"/>
  <c r="GL36" i="3" s="1"/>
  <c r="GM36" i="3" s="1"/>
  <c r="GJ36" i="3"/>
  <c r="GN36" i="3" l="1"/>
  <c r="GK37" i="3" s="1"/>
  <c r="GL37" i="3" s="1"/>
  <c r="GM37" i="3" s="1"/>
  <c r="GO36" i="3"/>
  <c r="GJ37" i="3"/>
  <c r="GN37" i="3" l="1"/>
  <c r="GK38" i="3" s="1"/>
  <c r="GL38" i="3" s="1"/>
  <c r="GM38" i="3" s="1"/>
  <c r="GO37" i="3"/>
  <c r="GJ38" i="3"/>
  <c r="GN38" i="3" l="1"/>
  <c r="GK39" i="3" s="1"/>
  <c r="GL39" i="3" s="1"/>
  <c r="GM39" i="3" s="1"/>
  <c r="GJ39" i="3"/>
  <c r="GO39" i="3" s="1"/>
  <c r="GO38" i="3"/>
  <c r="GN39" i="3" l="1"/>
  <c r="GJ40" i="3" l="1"/>
  <c r="GK40" i="3"/>
  <c r="GL40" i="3" l="1"/>
  <c r="GM40" i="3" s="1"/>
  <c r="GN40" i="3" s="1"/>
  <c r="GK41" i="3"/>
  <c r="GL41" i="3" s="1"/>
  <c r="GM41" i="3" s="1"/>
  <c r="GO40" i="3"/>
  <c r="GJ41" i="3"/>
  <c r="GO41" i="3" l="1"/>
  <c r="GN41" i="3"/>
  <c r="GK42" i="3" s="1"/>
  <c r="GL42" i="3" s="1"/>
  <c r="GM42" i="3" s="1"/>
  <c r="GN42" i="3" s="1"/>
  <c r="GJ42" i="3"/>
  <c r="GO42" i="3"/>
  <c r="GK43" i="3" l="1"/>
  <c r="GL43" i="3" s="1"/>
  <c r="GM43" i="3" s="1"/>
  <c r="GJ43" i="3"/>
  <c r="GO43" i="3" s="1"/>
  <c r="GN43" i="3" l="1"/>
  <c r="GK44" i="3" s="1"/>
  <c r="GL44" i="3" s="1"/>
  <c r="GM44" i="3" s="1"/>
  <c r="GJ44" i="3"/>
  <c r="GO44" i="3" s="1"/>
  <c r="GN44" i="3"/>
  <c r="GK45" i="3" s="1"/>
  <c r="GL45" i="3" s="1"/>
  <c r="GM45" i="3" s="1"/>
  <c r="GJ45" i="3" l="1"/>
  <c r="GO45" i="3"/>
  <c r="GN45" i="3"/>
  <c r="GK46" i="3" s="1"/>
  <c r="GJ46" i="3" l="1"/>
  <c r="GO46" i="3" s="1"/>
  <c r="GL46" i="3"/>
  <c r="GM46" i="3" s="1"/>
  <c r="GN46" i="3" l="1"/>
  <c r="GJ47" i="3" s="1"/>
  <c r="GK47" i="3"/>
  <c r="GL47" i="3" s="1"/>
  <c r="GM47" i="3" s="1"/>
  <c r="GO47" i="3"/>
  <c r="GN47" i="3"/>
  <c r="GK48" i="3" s="1"/>
  <c r="GL48" i="3" s="1"/>
  <c r="GM48" i="3" s="1"/>
  <c r="GJ48" i="3" l="1"/>
  <c r="GO48" i="3" l="1"/>
  <c r="GN48" i="3"/>
  <c r="GK49" i="3" s="1"/>
  <c r="GL49" i="3" s="1"/>
  <c r="GM49" i="3" s="1"/>
  <c r="GJ49" i="3" l="1"/>
  <c r="GN49" i="3"/>
  <c r="GK50" i="3" s="1"/>
  <c r="GL50" i="3" s="1"/>
  <c r="GM50" i="3" s="1"/>
  <c r="GO49" i="3"/>
  <c r="GJ50" i="3" l="1"/>
  <c r="GN50" i="3"/>
  <c r="GK51" i="3" s="1"/>
  <c r="GL51" i="3" s="1"/>
  <c r="GM51" i="3" s="1"/>
  <c r="GJ51" i="3"/>
  <c r="GO50" i="3"/>
  <c r="GN51" i="3" l="1"/>
  <c r="GK52" i="3" s="1"/>
  <c r="GL52" i="3" s="1"/>
  <c r="GM52" i="3" s="1"/>
  <c r="GJ52" i="3"/>
  <c r="GO51" i="3"/>
  <c r="GN52" i="3" l="1"/>
  <c r="GK53" i="3" s="1"/>
  <c r="GL53" i="3" s="1"/>
  <c r="GM53" i="3" s="1"/>
  <c r="GO52" i="3"/>
  <c r="GJ53" i="3"/>
  <c r="GO53" i="3" l="1"/>
  <c r="GN53" i="3"/>
  <c r="GK54" i="3" s="1"/>
  <c r="GL54" i="3" s="1"/>
  <c r="GM54" i="3" s="1"/>
  <c r="GJ54" i="3" l="1"/>
  <c r="GN54" i="3" s="1"/>
  <c r="GO54" i="3"/>
  <c r="GK55" i="3" l="1"/>
  <c r="GJ55" i="3"/>
  <c r="GO55" i="3" s="1"/>
  <c r="GL55" i="3"/>
  <c r="GM55" i="3" s="1"/>
  <c r="GN55" i="3" s="1"/>
  <c r="GJ56" i="3" s="1"/>
  <c r="GK56" i="3" l="1"/>
  <c r="GL56" i="3" s="1"/>
  <c r="GM56" i="3" s="1"/>
  <c r="GN56" i="3"/>
  <c r="GK57" i="3" s="1"/>
  <c r="GL57" i="3" s="1"/>
  <c r="GM57" i="3" s="1"/>
  <c r="GO56" i="3"/>
  <c r="GJ57" i="3" l="1"/>
  <c r="GO57" i="3"/>
  <c r="GN57" i="3"/>
  <c r="GK58" i="3" s="1"/>
  <c r="GL58" i="3" s="1"/>
  <c r="GM58" i="3" s="1"/>
  <c r="GJ58" i="3" l="1"/>
  <c r="GN58" i="3"/>
  <c r="GK59" i="3" s="1"/>
  <c r="GL59" i="3" s="1"/>
  <c r="GM59" i="3" s="1"/>
  <c r="GO58" i="3"/>
  <c r="GJ59" i="3" l="1"/>
  <c r="GO59" i="3"/>
  <c r="GN59" i="3"/>
  <c r="GK60" i="3" s="1"/>
  <c r="GL60" i="3" s="1"/>
  <c r="GM60" i="3" s="1"/>
  <c r="GJ60" i="3" l="1"/>
  <c r="GO60" i="3"/>
  <c r="GN60" i="3"/>
  <c r="GK61" i="3" s="1"/>
  <c r="GL61" i="3" s="1"/>
  <c r="GM61" i="3" s="1"/>
  <c r="GJ61" i="3" l="1"/>
  <c r="GN61" i="3"/>
  <c r="GK62" i="3" s="1"/>
  <c r="GL62" i="3" s="1"/>
  <c r="GM62" i="3" s="1"/>
  <c r="GJ62" i="3"/>
  <c r="GO61" i="3"/>
  <c r="GN62" i="3" l="1"/>
  <c r="GK63" i="3" s="1"/>
  <c r="GL63" i="3" s="1"/>
  <c r="GM63" i="3" s="1"/>
  <c r="GJ63" i="3"/>
  <c r="GO62" i="3"/>
  <c r="GO63" i="3" l="1"/>
  <c r="GN63" i="3"/>
  <c r="GK64" i="3" s="1"/>
  <c r="GL64" i="3" s="1"/>
  <c r="GM64" i="3" s="1"/>
  <c r="GJ64" i="3" l="1"/>
  <c r="GO64" i="3" l="1"/>
  <c r="GN64" i="3"/>
  <c r="GK65" i="3" s="1"/>
  <c r="GL65" i="3" s="1"/>
  <c r="GM65" i="3" s="1"/>
  <c r="GJ65" i="3" l="1"/>
  <c r="GN65" i="3"/>
  <c r="GK66" i="3" s="1"/>
  <c r="GO65" i="3"/>
  <c r="GJ66" i="3" l="1"/>
  <c r="GO66" i="3" s="1"/>
  <c r="GL66" i="3"/>
  <c r="GM66" i="3" s="1"/>
  <c r="GN66" i="3" s="1"/>
  <c r="GJ67" i="3" s="1"/>
  <c r="GK67" i="3" l="1"/>
  <c r="GL67" i="3" s="1"/>
  <c r="GM67" i="3" s="1"/>
  <c r="GN67" i="3" s="1"/>
  <c r="GK68" i="3" s="1"/>
  <c r="GL68" i="3" s="1"/>
  <c r="GM68" i="3" s="1"/>
  <c r="GO67" i="3"/>
  <c r="GJ68" i="3" l="1"/>
  <c r="GN68" i="3" s="1"/>
  <c r="GK69" i="3" s="1"/>
  <c r="GL69" i="3" s="1"/>
  <c r="GM69" i="3" s="1"/>
  <c r="GJ69" i="3" l="1"/>
  <c r="GO68" i="3"/>
  <c r="GO69" i="3"/>
  <c r="GN69" i="3"/>
  <c r="GK70" i="3" s="1"/>
  <c r="GL70" i="3" s="1"/>
  <c r="GM70" i="3" s="1"/>
  <c r="GJ70" i="3" l="1"/>
  <c r="GO70" i="3" l="1"/>
  <c r="GN70" i="3"/>
  <c r="GK71" i="3" s="1"/>
  <c r="GL71" i="3" l="1"/>
  <c r="GM71" i="3" s="1"/>
  <c r="GJ71" i="3"/>
  <c r="GO71" i="3" s="1"/>
  <c r="GN71" i="3" l="1"/>
  <c r="GJ72" i="3" l="1"/>
  <c r="GK72" i="3"/>
  <c r="GL72" i="3" s="1"/>
  <c r="GM72" i="3" s="1"/>
  <c r="GO72" i="3" l="1"/>
  <c r="GN72" i="3"/>
  <c r="GK73" i="3" s="1"/>
  <c r="GL73" i="3" s="1"/>
  <c r="GM73" i="3" s="1"/>
  <c r="GJ73" i="3" l="1"/>
  <c r="GN73" i="3"/>
  <c r="GK74" i="3" s="1"/>
  <c r="GO73" i="3"/>
  <c r="GJ74" i="3" l="1"/>
  <c r="GO74" i="3" s="1"/>
  <c r="GL74" i="3"/>
  <c r="GM74" i="3" s="1"/>
  <c r="GN74" i="3" l="1"/>
  <c r="GJ75" i="3" s="1"/>
  <c r="GO75" i="3"/>
  <c r="GK75" i="3" l="1"/>
  <c r="GL75" i="3" s="1"/>
  <c r="GM75" i="3" s="1"/>
  <c r="GN75" i="3" s="1"/>
  <c r="GK76" i="3" s="1"/>
  <c r="GL76" i="3" s="1"/>
  <c r="GM76" i="3" s="1"/>
  <c r="GJ76" i="3" l="1"/>
  <c r="GO76" i="3" s="1"/>
  <c r="GN76" i="3"/>
  <c r="GK77" i="3" s="1"/>
  <c r="GL77" i="3" s="1"/>
  <c r="GM77" i="3" s="1"/>
  <c r="GJ77" i="3" l="1"/>
  <c r="GO77" i="3" l="1"/>
  <c r="GN77" i="3"/>
  <c r="GK78" i="3" l="1"/>
  <c r="GL78" i="3" s="1"/>
  <c r="GM78" i="3" s="1"/>
  <c r="GJ78" i="3"/>
  <c r="GO78" i="3" l="1"/>
  <c r="GN78" i="3"/>
  <c r="GK79" i="3" s="1"/>
  <c r="GJ79" i="3"/>
  <c r="GO79" i="3" s="1"/>
  <c r="GL79" i="3" l="1"/>
  <c r="GM79" i="3" s="1"/>
  <c r="GN79" i="3" s="1"/>
  <c r="GJ80" i="3" s="1"/>
  <c r="GK80" i="3"/>
  <c r="GL80" i="3" l="1"/>
  <c r="GM80" i="3" s="1"/>
  <c r="GN80" i="3" s="1"/>
  <c r="GK81" i="3"/>
  <c r="GL81" i="3" s="1"/>
  <c r="GM81" i="3" s="1"/>
  <c r="GO80" i="3"/>
  <c r="GJ81" i="3"/>
  <c r="GO81" i="3" l="1"/>
  <c r="GN81" i="3"/>
  <c r="GK82" i="3" l="1"/>
  <c r="GL82" i="3" s="1"/>
  <c r="GM82" i="3" s="1"/>
  <c r="GJ82" i="3"/>
  <c r="GO82" i="3" l="1"/>
  <c r="GN82" i="3"/>
  <c r="GK83" i="3" s="1"/>
  <c r="GL83" i="3" s="1"/>
  <c r="GM83" i="3" s="1"/>
  <c r="GJ83" i="3"/>
  <c r="GO83" i="3" l="1"/>
  <c r="GN83" i="3"/>
  <c r="GK84" i="3" s="1"/>
  <c r="GL84" i="3" s="1"/>
  <c r="GM84" i="3" s="1"/>
  <c r="GJ84" i="3"/>
  <c r="GN84" i="3" l="1"/>
  <c r="GK85" i="3" s="1"/>
  <c r="GL85" i="3" s="1"/>
  <c r="GM85" i="3" s="1"/>
  <c r="GJ85" i="3"/>
  <c r="GO84" i="3"/>
  <c r="GO85" i="3" l="1"/>
  <c r="GN85" i="3"/>
  <c r="GK86" i="3" s="1"/>
  <c r="GL86" i="3" s="1"/>
  <c r="GM86" i="3" s="1"/>
  <c r="GJ86" i="3"/>
  <c r="GN86" i="3" l="1"/>
  <c r="GK87" i="3" s="1"/>
  <c r="GL87" i="3" s="1"/>
  <c r="GM87" i="3" s="1"/>
  <c r="GJ87" i="3"/>
  <c r="GO86" i="3"/>
  <c r="GO87" i="3" l="1"/>
  <c r="GN87" i="3"/>
  <c r="GK88" i="3" s="1"/>
  <c r="GL88" i="3" s="1"/>
  <c r="GM88" i="3" s="1"/>
  <c r="GJ88" i="3" l="1"/>
  <c r="GN88" i="3" l="1"/>
  <c r="GK89" i="3" s="1"/>
  <c r="GL89" i="3" s="1"/>
  <c r="GM89" i="3" s="1"/>
  <c r="GJ89" i="3"/>
  <c r="GO88" i="3"/>
  <c r="GN89" i="3" l="1"/>
  <c r="GK90" i="3" s="1"/>
  <c r="GL90" i="3" s="1"/>
  <c r="GM90" i="3" s="1"/>
  <c r="GO89" i="3"/>
  <c r="GJ90" i="3"/>
  <c r="GO90" i="3" l="1"/>
  <c r="GN90" i="3"/>
  <c r="GK91" i="3" s="1"/>
  <c r="GL91" i="3" s="1"/>
  <c r="GM91" i="3" s="1"/>
  <c r="GJ91" i="3"/>
  <c r="GO91" i="3" l="1"/>
  <c r="GN91" i="3"/>
  <c r="GK92" i="3" s="1"/>
  <c r="GL92" i="3" s="1"/>
  <c r="GM92" i="3" s="1"/>
  <c r="GJ92" i="3"/>
  <c r="GO92" i="3" l="1"/>
  <c r="GN92" i="3"/>
  <c r="GK93" i="3" s="1"/>
  <c r="GL93" i="3" s="1"/>
  <c r="GM93" i="3" s="1"/>
  <c r="GJ93" i="3"/>
  <c r="GN93" i="3" l="1"/>
  <c r="GO93" i="3"/>
  <c r="GK94" i="3" l="1"/>
  <c r="GJ94" i="3"/>
  <c r="GO94" i="3" s="1"/>
  <c r="GL94" i="3" l="1"/>
  <c r="GM94" i="3" s="1"/>
  <c r="GN94" i="3" s="1"/>
  <c r="GJ95" i="3" s="1"/>
  <c r="GK95" i="3"/>
  <c r="GL95" i="3" s="1"/>
  <c r="GM95" i="3" s="1"/>
  <c r="GN95" i="3" s="1"/>
  <c r="GK96" i="3" s="1"/>
  <c r="GL96" i="3" s="1"/>
  <c r="GM96" i="3" s="1"/>
  <c r="GO95" i="3" l="1"/>
  <c r="GJ96" i="3"/>
  <c r="GN96" i="3" l="1"/>
  <c r="GK97" i="3" s="1"/>
  <c r="GL97" i="3" s="1"/>
  <c r="GM97" i="3" s="1"/>
  <c r="GO96" i="3"/>
  <c r="GJ97" i="3"/>
  <c r="GN97" i="3" l="1"/>
  <c r="GK98" i="3" s="1"/>
  <c r="GL98" i="3" s="1"/>
  <c r="GM98" i="3" s="1"/>
  <c r="GJ98" i="3"/>
  <c r="GO97" i="3"/>
  <c r="GO98" i="3" l="1"/>
  <c r="GN98" i="3"/>
  <c r="GK99" i="3" s="1"/>
  <c r="GL99" i="3" s="1"/>
  <c r="GM99" i="3" s="1"/>
  <c r="GJ99" i="3"/>
  <c r="GN99" i="3" l="1"/>
  <c r="GK100" i="3" s="1"/>
  <c r="GL100" i="3" s="1"/>
  <c r="GM100" i="3" s="1"/>
  <c r="GO99" i="3"/>
  <c r="GJ100" i="3"/>
  <c r="GO100" i="3" l="1"/>
  <c r="GN100" i="3"/>
  <c r="GK101" i="3" s="1"/>
  <c r="GL101" i="3" s="1"/>
  <c r="GM101" i="3" s="1"/>
  <c r="GJ101" i="3"/>
  <c r="GO101" i="3" l="1"/>
  <c r="GN101" i="3"/>
  <c r="GK102" i="3" s="1"/>
  <c r="GL102" i="3" s="1"/>
  <c r="GM102" i="3" s="1"/>
  <c r="GJ102" i="3" l="1"/>
  <c r="GO102" i="3" l="1"/>
  <c r="GN102" i="3"/>
  <c r="GK103" i="3" s="1"/>
  <c r="GL103" i="3" s="1"/>
  <c r="GM103" i="3" s="1"/>
  <c r="GJ103" i="3"/>
  <c r="GO103" i="3" l="1"/>
  <c r="GN103" i="3"/>
  <c r="GK104" i="3" s="1"/>
  <c r="GL104" i="3" s="1"/>
  <c r="GM104" i="3" s="1"/>
  <c r="GJ104" i="3"/>
  <c r="GO104" i="3" l="1"/>
  <c r="GN104" i="3"/>
  <c r="GK105" i="3" s="1"/>
  <c r="GL105" i="3" s="1"/>
  <c r="GM105" i="3" s="1"/>
  <c r="GJ105" i="3"/>
  <c r="GN105" i="3" l="1"/>
  <c r="GK106" i="3" s="1"/>
  <c r="GO105" i="3"/>
  <c r="GJ106" i="3"/>
  <c r="GO106" i="3" s="1"/>
  <c r="GL106" i="3" l="1"/>
  <c r="GM106" i="3" s="1"/>
  <c r="GN106" i="3" s="1"/>
  <c r="GJ107" i="3" s="1"/>
  <c r="GK107" i="3"/>
  <c r="GL107" i="3" l="1"/>
  <c r="GM107" i="3" s="1"/>
  <c r="GN107" i="3" s="1"/>
  <c r="GK108" i="3"/>
  <c r="GO107" i="3"/>
  <c r="GJ108" i="3"/>
  <c r="GL108" i="3" l="1"/>
  <c r="GM108" i="3" s="1"/>
  <c r="GN108" i="3"/>
  <c r="GK109" i="3" s="1"/>
  <c r="GO108" i="3"/>
  <c r="GJ109" i="3"/>
  <c r="GO109" i="3" s="1"/>
  <c r="GL109" i="3" l="1"/>
  <c r="GM109" i="3" s="1"/>
  <c r="GN109" i="3" s="1"/>
  <c r="GJ110" i="3" s="1"/>
  <c r="GK110" i="3"/>
  <c r="GL110" i="3" s="1"/>
  <c r="GM110" i="3" s="1"/>
  <c r="GN110" i="3" s="1"/>
  <c r="GK111" i="3" s="1"/>
  <c r="GL111" i="3" s="1"/>
  <c r="GM111" i="3" s="1"/>
  <c r="GO110" i="3" l="1"/>
  <c r="GJ111" i="3"/>
  <c r="GO111" i="3" l="1"/>
  <c r="GN111" i="3"/>
  <c r="GK112" i="3" s="1"/>
  <c r="GL112" i="3" s="1"/>
  <c r="GM112" i="3" s="1"/>
  <c r="GJ112" i="3" l="1"/>
  <c r="GN112" i="3" l="1"/>
  <c r="GK113" i="3" s="1"/>
  <c r="GO112" i="3"/>
  <c r="GJ113" i="3"/>
  <c r="GO113" i="3" s="1"/>
  <c r="GL113" i="3" l="1"/>
  <c r="GM113" i="3" s="1"/>
  <c r="GN113" i="3" s="1"/>
  <c r="GJ114" i="3" s="1"/>
  <c r="GK114" i="3"/>
  <c r="GL114" i="3" l="1"/>
  <c r="GM114" i="3" s="1"/>
  <c r="GN114" i="3" s="1"/>
  <c r="GK115" i="3"/>
  <c r="GL115" i="3" s="1"/>
  <c r="GM115" i="3" s="1"/>
  <c r="GO114" i="3"/>
  <c r="GJ115" i="3"/>
  <c r="GN115" i="3" l="1"/>
  <c r="GK116" i="3" s="1"/>
  <c r="GO115" i="3"/>
  <c r="GJ116" i="3"/>
  <c r="GO116" i="3" s="1"/>
  <c r="GL116" i="3" l="1"/>
  <c r="GM116" i="3" s="1"/>
  <c r="GN116" i="3" s="1"/>
  <c r="GJ117" i="3" s="1"/>
  <c r="GK117" i="3"/>
  <c r="GL117" i="3" s="1"/>
  <c r="GM117" i="3" s="1"/>
  <c r="GN117" i="3" l="1"/>
  <c r="GK118" i="3" s="1"/>
  <c r="GO117" i="3"/>
  <c r="GJ118" i="3"/>
  <c r="GO118" i="3" l="1"/>
  <c r="GL118" i="3"/>
  <c r="GM118" i="3" s="1"/>
  <c r="GN118" i="3" s="1"/>
  <c r="GJ119" i="3" l="1"/>
  <c r="GK119" i="3"/>
  <c r="GL119" i="3" l="1"/>
  <c r="GM119" i="3" s="1"/>
  <c r="GN119" i="3"/>
  <c r="GK120" i="3" s="1"/>
  <c r="GL120" i="3" s="1"/>
  <c r="GM120" i="3" s="1"/>
  <c r="GO119" i="3"/>
  <c r="GJ120" i="3"/>
  <c r="GO120" i="3" l="1"/>
  <c r="GN120" i="3"/>
  <c r="GK121" i="3" l="1"/>
  <c r="GL121" i="3" s="1"/>
  <c r="GM121" i="3" s="1"/>
  <c r="GJ121" i="3"/>
  <c r="GO121" i="3" l="1"/>
  <c r="GN121" i="3"/>
  <c r="GK122" i="3" l="1"/>
  <c r="GL122" i="3" s="1"/>
  <c r="GM122" i="3" s="1"/>
  <c r="GJ122" i="3"/>
  <c r="GO122" i="3" l="1"/>
  <c r="GN122" i="3"/>
  <c r="GK123" i="3" l="1"/>
  <c r="GL123" i="3" s="1"/>
  <c r="GM123" i="3" s="1"/>
  <c r="GJ123" i="3"/>
  <c r="GN123" i="3" l="1"/>
  <c r="GK124" i="3" s="1"/>
  <c r="GL124" i="3" s="1"/>
  <c r="GM124" i="3" s="1"/>
  <c r="GJ124" i="3"/>
  <c r="GO123" i="3"/>
  <c r="GO124" i="3" l="1"/>
  <c r="GN124" i="3"/>
  <c r="GK125" i="3" l="1"/>
  <c r="GL125" i="3" s="1"/>
  <c r="GM125" i="3" s="1"/>
  <c r="GJ125" i="3"/>
  <c r="GO125" i="3" l="1"/>
  <c r="GN125" i="3"/>
  <c r="GK126" i="3" s="1"/>
  <c r="GL126" i="3" s="1"/>
  <c r="GM126" i="3" s="1"/>
  <c r="GJ126" i="3" l="1"/>
  <c r="GN126" i="3" l="1"/>
  <c r="GK127" i="3" s="1"/>
  <c r="GL127" i="3" s="1"/>
  <c r="GM127" i="3" s="1"/>
  <c r="GO126" i="3"/>
  <c r="GJ127" i="3"/>
  <c r="GO127" i="3" l="1"/>
  <c r="GN127" i="3"/>
  <c r="GK128" i="3" s="1"/>
  <c r="GL128" i="3" s="1"/>
  <c r="GM128" i="3" s="1"/>
  <c r="GJ128" i="3"/>
  <c r="GN128" i="3" l="1"/>
  <c r="GK129" i="3" s="1"/>
  <c r="GL129" i="3" s="1"/>
  <c r="GM129" i="3" s="1"/>
  <c r="GJ129" i="3"/>
  <c r="GO128" i="3"/>
  <c r="GO129" i="3" l="1"/>
  <c r="GN129" i="3"/>
  <c r="GK130" i="3" s="1"/>
  <c r="GL130" i="3" s="1"/>
  <c r="GM130" i="3" s="1"/>
  <c r="GJ130" i="3"/>
  <c r="GO130" i="3" l="1"/>
  <c r="GN130" i="3"/>
  <c r="GK131" i="3" s="1"/>
  <c r="GJ131" i="3"/>
  <c r="GO131" i="3" l="1"/>
  <c r="GL131" i="3"/>
  <c r="GM131" i="3" s="1"/>
  <c r="GN131" i="3" s="1"/>
  <c r="GJ132" i="3" s="1"/>
  <c r="GO132" i="3" s="1"/>
  <c r="GK132" i="3"/>
  <c r="GL132" i="3" l="1"/>
  <c r="GM132" i="3" s="1"/>
  <c r="GN132" i="3" s="1"/>
  <c r="GJ133" i="3" s="1"/>
  <c r="GO133" i="3" l="1"/>
  <c r="GK133" i="3"/>
  <c r="GL133" i="3" s="1"/>
  <c r="GM133" i="3" s="1"/>
  <c r="GN133" i="3" s="1"/>
  <c r="GK134" i="3" l="1"/>
  <c r="GL134" i="3" s="1"/>
  <c r="GM134" i="3" s="1"/>
  <c r="GJ134" i="3"/>
  <c r="GN134" i="3" l="1"/>
  <c r="GO134" i="3"/>
  <c r="N17" i="3" s="1"/>
  <c r="GX34" i="3"/>
  <c r="HB34" i="3" l="1"/>
  <c r="GY35" i="3" s="1"/>
  <c r="GZ35" i="3" s="1"/>
  <c r="HA35" i="3" s="1"/>
  <c r="HC34" i="3"/>
  <c r="GX35" i="3"/>
  <c r="HC35" i="3" l="1"/>
  <c r="HB35" i="3"/>
  <c r="GY36" i="3" s="1"/>
  <c r="GZ36" i="3" s="1"/>
  <c r="HA36" i="3" s="1"/>
  <c r="GX36" i="3"/>
  <c r="HC36" i="3" l="1"/>
  <c r="HB36" i="3"/>
  <c r="GY37" i="3" s="1"/>
  <c r="GZ37" i="3" s="1"/>
  <c r="HA37" i="3" s="1"/>
  <c r="GX37" i="3" l="1"/>
  <c r="HB37" i="3" l="1"/>
  <c r="GY38" i="3" s="1"/>
  <c r="GZ38" i="3" s="1"/>
  <c r="HA38" i="3" s="1"/>
  <c r="GX38" i="3"/>
  <c r="HC37" i="3"/>
  <c r="HB38" i="3" l="1"/>
  <c r="GY39" i="3" s="1"/>
  <c r="HC38" i="3"/>
  <c r="GX39" i="3"/>
  <c r="HC39" i="3" l="1"/>
  <c r="GZ39" i="3"/>
  <c r="HA39" i="3" s="1"/>
  <c r="HB39" i="3" s="1"/>
  <c r="GX40" i="3" l="1"/>
  <c r="GY40" i="3"/>
  <c r="GZ40" i="3" l="1"/>
  <c r="HA40" i="3" s="1"/>
  <c r="HB40" i="3" s="1"/>
  <c r="GY41" i="3"/>
  <c r="GZ41" i="3" s="1"/>
  <c r="HA41" i="3" s="1"/>
  <c r="HC40" i="3"/>
  <c r="GX41" i="3"/>
  <c r="HB41" i="3" l="1"/>
  <c r="GY42" i="3" s="1"/>
  <c r="GZ42" i="3" s="1"/>
  <c r="HA42" i="3" s="1"/>
  <c r="GX42" i="3"/>
  <c r="HC41" i="3"/>
  <c r="HB42" i="3" l="1"/>
  <c r="GY43" i="3" s="1"/>
  <c r="GZ43" i="3" s="1"/>
  <c r="HA43" i="3" s="1"/>
  <c r="HC42" i="3"/>
  <c r="GX43" i="3" l="1"/>
  <c r="HC43" i="3" l="1"/>
  <c r="HB43" i="3"/>
  <c r="GY44" i="3" s="1"/>
  <c r="GZ44" i="3" s="1"/>
  <c r="HA44" i="3" s="1"/>
  <c r="GX44" i="3"/>
  <c r="HB44" i="3" l="1"/>
  <c r="GY45" i="3" s="1"/>
  <c r="GX45" i="3"/>
  <c r="HC45" i="3" s="1"/>
  <c r="HC44" i="3"/>
  <c r="GZ45" i="3" l="1"/>
  <c r="HA45" i="3" s="1"/>
  <c r="HB45" i="3" s="1"/>
  <c r="GX46" i="3" s="1"/>
  <c r="GY46" i="3"/>
  <c r="GZ46" i="3" s="1"/>
  <c r="HA46" i="3" s="1"/>
  <c r="HC46" i="3" l="1"/>
  <c r="HB46" i="3"/>
  <c r="GY47" i="3" s="1"/>
  <c r="GX47" i="3"/>
  <c r="HC47" i="3" l="1"/>
  <c r="GZ47" i="3"/>
  <c r="HA47" i="3" s="1"/>
  <c r="HB47" i="3" s="1"/>
  <c r="GX48" i="3" l="1"/>
  <c r="GY48" i="3"/>
  <c r="GZ48" i="3" l="1"/>
  <c r="HA48" i="3" s="1"/>
  <c r="HC48" i="3"/>
  <c r="HB48" i="3"/>
  <c r="GY49" i="3" s="1"/>
  <c r="GZ49" i="3" l="1"/>
  <c r="HA49" i="3" s="1"/>
  <c r="GX49" i="3"/>
  <c r="HB49" i="3" l="1"/>
  <c r="GY50" i="3" s="1"/>
  <c r="GZ50" i="3" s="1"/>
  <c r="HA50" i="3" s="1"/>
  <c r="HC49" i="3"/>
  <c r="GX50" i="3"/>
  <c r="HC50" i="3" l="1"/>
  <c r="HB50" i="3"/>
  <c r="GY51" i="3" s="1"/>
  <c r="GZ51" i="3" s="1"/>
  <c r="HA51" i="3" s="1"/>
  <c r="GX51" i="3"/>
  <c r="HB51" i="3" l="1"/>
  <c r="GY52" i="3" s="1"/>
  <c r="GZ52" i="3" s="1"/>
  <c r="HA52" i="3" s="1"/>
  <c r="HC51" i="3"/>
  <c r="GX52" i="3"/>
  <c r="HC52" i="3" l="1"/>
  <c r="HB52" i="3"/>
  <c r="GY53" i="3" s="1"/>
  <c r="GZ53" i="3" l="1"/>
  <c r="HA53" i="3" s="1"/>
  <c r="GX53" i="3"/>
  <c r="HC53" i="3" s="1"/>
  <c r="HB53" i="3" l="1"/>
  <c r="GX54" i="3" l="1"/>
  <c r="GY54" i="3"/>
  <c r="GZ54" i="3" s="1"/>
  <c r="HA54" i="3" s="1"/>
  <c r="HB54" i="3" l="1"/>
  <c r="GY55" i="3" s="1"/>
  <c r="HC54" i="3"/>
  <c r="GX55" i="3"/>
  <c r="HC55" i="3" l="1"/>
  <c r="GZ55" i="3"/>
  <c r="HA55" i="3" s="1"/>
  <c r="HB55" i="3" s="1"/>
  <c r="GX56" i="3" s="1"/>
  <c r="GY56" i="3"/>
  <c r="GZ56" i="3" s="1"/>
  <c r="HA56" i="3" s="1"/>
  <c r="HC56" i="3" l="1"/>
  <c r="HB56" i="3"/>
  <c r="GY57" i="3" s="1"/>
  <c r="GX57" i="3"/>
  <c r="HC57" i="3" l="1"/>
  <c r="GZ57" i="3"/>
  <c r="HA57" i="3" s="1"/>
  <c r="HB57" i="3" s="1"/>
  <c r="GX58" i="3" s="1"/>
  <c r="GY58" i="3"/>
  <c r="GZ58" i="3" s="1"/>
  <c r="HA58" i="3" s="1"/>
  <c r="HB58" i="3" l="1"/>
  <c r="GY59" i="3" s="1"/>
  <c r="GZ59" i="3" s="1"/>
  <c r="HA59" i="3" s="1"/>
  <c r="HC58" i="3"/>
  <c r="GX59" i="3"/>
  <c r="HC59" i="3" s="1"/>
  <c r="HB59" i="3" l="1"/>
  <c r="GX60" i="3" l="1"/>
  <c r="GY60" i="3"/>
  <c r="GZ60" i="3" l="1"/>
  <c r="HA60" i="3" s="1"/>
  <c r="HB60" i="3" s="1"/>
  <c r="GY61" i="3"/>
  <c r="GZ61" i="3" s="1"/>
  <c r="HA61" i="3" s="1"/>
  <c r="HC60" i="3"/>
  <c r="GX61" i="3"/>
  <c r="HB61" i="3" l="1"/>
  <c r="HC61" i="3"/>
  <c r="GY62" i="3" l="1"/>
  <c r="GZ62" i="3" s="1"/>
  <c r="HA62" i="3" s="1"/>
  <c r="GX62" i="3"/>
  <c r="HB62" i="3" l="1"/>
  <c r="GY63" i="3" s="1"/>
  <c r="GZ63" i="3" s="1"/>
  <c r="HA63" i="3" s="1"/>
  <c r="HC62" i="3"/>
  <c r="GX63" i="3"/>
  <c r="HC63" i="3" l="1"/>
  <c r="HB63" i="3"/>
  <c r="GY64" i="3" s="1"/>
  <c r="GZ64" i="3" s="1"/>
  <c r="HA64" i="3" s="1"/>
  <c r="GX64" i="3"/>
  <c r="HC64" i="3" l="1"/>
  <c r="HB64" i="3"/>
  <c r="GY65" i="3" s="1"/>
  <c r="GZ65" i="3" s="1"/>
  <c r="HA65" i="3" s="1"/>
  <c r="GX65" i="3"/>
  <c r="HC65" i="3" l="1"/>
  <c r="HB65" i="3"/>
  <c r="GY66" i="3" s="1"/>
  <c r="GZ66" i="3" s="1"/>
  <c r="HA66" i="3" s="1"/>
  <c r="GX66" i="3" l="1"/>
  <c r="HB66" i="3" l="1"/>
  <c r="GY67" i="3" s="1"/>
  <c r="GZ67" i="3" s="1"/>
  <c r="HA67" i="3" s="1"/>
  <c r="HC66" i="3"/>
  <c r="GX67" i="3"/>
  <c r="HB67" i="3" l="1"/>
  <c r="HC67" i="3"/>
  <c r="GY68" i="3" l="1"/>
  <c r="GZ68" i="3" s="1"/>
  <c r="HA68" i="3" s="1"/>
  <c r="GX68" i="3"/>
  <c r="HC68" i="3" l="1"/>
  <c r="HB68" i="3"/>
  <c r="GY69" i="3" s="1"/>
  <c r="GZ69" i="3" s="1"/>
  <c r="HA69" i="3" s="1"/>
  <c r="GX69" i="3"/>
  <c r="HC69" i="3" l="1"/>
  <c r="HB69" i="3"/>
  <c r="GY70" i="3" l="1"/>
  <c r="GX70" i="3"/>
  <c r="HC70" i="3" l="1"/>
  <c r="GZ70" i="3"/>
  <c r="HA70" i="3" s="1"/>
  <c r="HB70" i="3" s="1"/>
  <c r="GX71" i="3" l="1"/>
  <c r="GY71" i="3"/>
  <c r="GZ71" i="3" s="1"/>
  <c r="HA71" i="3" s="1"/>
  <c r="HB71" i="3" s="1"/>
  <c r="GY72" i="3" s="1"/>
  <c r="GZ72" i="3" s="1"/>
  <c r="HA72" i="3" s="1"/>
  <c r="HC71" i="3" l="1"/>
  <c r="GX72" i="3"/>
  <c r="HB72" i="3" l="1"/>
  <c r="GY73" i="3" s="1"/>
  <c r="GZ73" i="3" s="1"/>
  <c r="HA73" i="3" s="1"/>
  <c r="GX73" i="3"/>
  <c r="HC72" i="3"/>
  <c r="HB73" i="3" l="1"/>
  <c r="GY74" i="3" s="1"/>
  <c r="GZ74" i="3" s="1"/>
  <c r="HA74" i="3" s="1"/>
  <c r="GX74" i="3"/>
  <c r="HC73" i="3"/>
  <c r="HB74" i="3" l="1"/>
  <c r="GY75" i="3" s="1"/>
  <c r="GZ75" i="3" s="1"/>
  <c r="HA75" i="3" s="1"/>
  <c r="HC74" i="3"/>
  <c r="GX75" i="3"/>
  <c r="HC75" i="3" l="1"/>
  <c r="HB75" i="3"/>
  <c r="GY76" i="3" s="1"/>
  <c r="GZ76" i="3" s="1"/>
  <c r="HA76" i="3" s="1"/>
  <c r="GX76" i="3"/>
  <c r="HB76" i="3" l="1"/>
  <c r="GY77" i="3" s="1"/>
  <c r="GZ77" i="3" s="1"/>
  <c r="HA77" i="3" s="1"/>
  <c r="HC76" i="3"/>
  <c r="GX77" i="3"/>
  <c r="HC77" i="3" l="1"/>
  <c r="HB77" i="3"/>
  <c r="GY78" i="3" s="1"/>
  <c r="GZ78" i="3" s="1"/>
  <c r="HA78" i="3" s="1"/>
  <c r="GX78" i="3"/>
  <c r="HC78" i="3" l="1"/>
  <c r="HB78" i="3"/>
  <c r="GY79" i="3" l="1"/>
  <c r="GZ79" i="3" s="1"/>
  <c r="HA79" i="3" s="1"/>
  <c r="GX79" i="3"/>
  <c r="HC79" i="3" l="1"/>
  <c r="HB79" i="3"/>
  <c r="GY80" i="3" s="1"/>
  <c r="GX80" i="3"/>
  <c r="HC80" i="3" s="1"/>
  <c r="GZ80" i="3" l="1"/>
  <c r="HA80" i="3" s="1"/>
  <c r="HB80" i="3" s="1"/>
  <c r="GX81" i="3" s="1"/>
  <c r="GY81" i="3"/>
  <c r="GZ81" i="3" s="1"/>
  <c r="HA81" i="3" s="1"/>
  <c r="HC81" i="3" l="1"/>
  <c r="HB81" i="3"/>
  <c r="GY82" i="3" s="1"/>
  <c r="GZ82" i="3" s="1"/>
  <c r="HA82" i="3" s="1"/>
  <c r="GX82" i="3"/>
  <c r="HC82" i="3" l="1"/>
  <c r="HB82" i="3"/>
  <c r="GY83" i="3" l="1"/>
  <c r="GZ83" i="3" s="1"/>
  <c r="HA83" i="3" s="1"/>
  <c r="GX83" i="3"/>
  <c r="HB83" i="3" l="1"/>
  <c r="GY84" i="3" s="1"/>
  <c r="GZ84" i="3" s="1"/>
  <c r="HA84" i="3" s="1"/>
  <c r="GX84" i="3"/>
  <c r="HC83" i="3"/>
  <c r="HB84" i="3" l="1"/>
  <c r="GY85" i="3" s="1"/>
  <c r="GZ85" i="3" s="1"/>
  <c r="HA85" i="3" s="1"/>
  <c r="HC84" i="3"/>
  <c r="GX85" i="3"/>
  <c r="HC85" i="3" l="1"/>
  <c r="HB85" i="3"/>
  <c r="GY86" i="3" s="1"/>
  <c r="GZ86" i="3" s="1"/>
  <c r="HA86" i="3" s="1"/>
  <c r="GX86" i="3" l="1"/>
  <c r="HC86" i="3" l="1"/>
  <c r="HB86" i="3"/>
  <c r="GY87" i="3" s="1"/>
  <c r="GZ87" i="3" s="1"/>
  <c r="HA87" i="3" s="1"/>
  <c r="GX87" i="3" l="1"/>
  <c r="HC87" i="3" l="1"/>
  <c r="HB87" i="3"/>
  <c r="GY88" i="3" s="1"/>
  <c r="GZ88" i="3" s="1"/>
  <c r="HA88" i="3" s="1"/>
  <c r="GX88" i="3"/>
  <c r="HB88" i="3" l="1"/>
  <c r="GY89" i="3" s="1"/>
  <c r="GZ89" i="3" s="1"/>
  <c r="HA89" i="3" s="1"/>
  <c r="HC88" i="3"/>
  <c r="GX89" i="3"/>
  <c r="HC89" i="3" l="1"/>
  <c r="HB89" i="3"/>
  <c r="GY90" i="3" s="1"/>
  <c r="GZ90" i="3" s="1"/>
  <c r="HA90" i="3" s="1"/>
  <c r="GX90" i="3"/>
  <c r="HB90" i="3" l="1"/>
  <c r="HC90" i="3"/>
  <c r="GY91" i="3" l="1"/>
  <c r="GZ91" i="3" s="1"/>
  <c r="HA91" i="3" s="1"/>
  <c r="GX91" i="3"/>
  <c r="HC91" i="3" l="1"/>
  <c r="HB91" i="3"/>
  <c r="GY92" i="3" l="1"/>
  <c r="GZ92" i="3" s="1"/>
  <c r="HA92" i="3" s="1"/>
  <c r="GX92" i="3"/>
  <c r="HC92" i="3" l="1"/>
  <c r="HB92" i="3"/>
  <c r="GY93" i="3" s="1"/>
  <c r="GZ93" i="3" s="1"/>
  <c r="HA93" i="3" s="1"/>
  <c r="GX93" i="3"/>
  <c r="HC93" i="3"/>
  <c r="HB93" i="3"/>
  <c r="GY94" i="3" s="1"/>
  <c r="GX94" i="3" l="1"/>
  <c r="HC94" i="3" s="1"/>
  <c r="GZ94" i="3"/>
  <c r="HA94" i="3" s="1"/>
  <c r="HB94" i="3" l="1"/>
  <c r="GX95" i="3"/>
  <c r="GY95" i="3"/>
  <c r="GZ95" i="3" l="1"/>
  <c r="HA95" i="3" s="1"/>
  <c r="HB95" i="3" s="1"/>
  <c r="GY96" i="3" s="1"/>
  <c r="GZ96" i="3" s="1"/>
  <c r="HA96" i="3" s="1"/>
  <c r="HC95" i="3"/>
  <c r="GX96" i="3" l="1"/>
  <c r="HC96" i="3"/>
  <c r="HB96" i="3"/>
  <c r="GY97" i="3" s="1"/>
  <c r="GZ97" i="3" l="1"/>
  <c r="HA97" i="3" s="1"/>
  <c r="GX97" i="3"/>
  <c r="HC97" i="3" l="1"/>
  <c r="HB97" i="3"/>
  <c r="GY98" i="3" s="1"/>
  <c r="GZ98" i="3" s="1"/>
  <c r="HA98" i="3" s="1"/>
  <c r="GX98" i="3" l="1"/>
  <c r="HB98" i="3"/>
  <c r="GY99" i="3" s="1"/>
  <c r="GZ99" i="3" s="1"/>
  <c r="HA99" i="3" s="1"/>
  <c r="HC98" i="3"/>
  <c r="GX99" i="3"/>
  <c r="HC99" i="3" l="1"/>
  <c r="HB99" i="3"/>
  <c r="GY100" i="3" s="1"/>
  <c r="GZ100" i="3" s="1"/>
  <c r="HA100" i="3" s="1"/>
  <c r="GX100" i="3" l="1"/>
  <c r="HC100" i="3" l="1"/>
  <c r="HB100" i="3"/>
  <c r="GY101" i="3" s="1"/>
  <c r="GZ101" i="3" s="1"/>
  <c r="HA101" i="3" s="1"/>
  <c r="GX101" i="3" l="1"/>
  <c r="HC101" i="3"/>
  <c r="HB101" i="3"/>
  <c r="GY102" i="3" s="1"/>
  <c r="GZ102" i="3" l="1"/>
  <c r="HA102" i="3" s="1"/>
  <c r="GX102" i="3"/>
  <c r="HC102" i="3" l="1"/>
  <c r="HB102" i="3"/>
  <c r="GY103" i="3" s="1"/>
  <c r="GZ103" i="3" s="1"/>
  <c r="HA103" i="3" s="1"/>
  <c r="GX103" i="3" l="1"/>
  <c r="HB103" i="3"/>
  <c r="GY104" i="3" s="1"/>
  <c r="GZ104" i="3" s="1"/>
  <c r="HA104" i="3" s="1"/>
  <c r="HC103" i="3"/>
  <c r="GX104" i="3" l="1"/>
  <c r="HC104" i="3"/>
  <c r="HB104" i="3"/>
  <c r="GY105" i="3" s="1"/>
  <c r="GZ105" i="3" s="1"/>
  <c r="HA105" i="3" s="1"/>
  <c r="GX105" i="3" l="1"/>
  <c r="HB105" i="3" l="1"/>
  <c r="GY106" i="3" s="1"/>
  <c r="GX106" i="3"/>
  <c r="HC105" i="3"/>
  <c r="HC106" i="3" l="1"/>
  <c r="GZ106" i="3"/>
  <c r="HA106" i="3" s="1"/>
  <c r="HB106" i="3" s="1"/>
  <c r="GX107" i="3" l="1"/>
  <c r="GY107" i="3"/>
  <c r="GZ107" i="3" s="1"/>
  <c r="HA107" i="3" s="1"/>
  <c r="HB107" i="3" l="1"/>
  <c r="GY108" i="3" s="1"/>
  <c r="GZ108" i="3" s="1"/>
  <c r="HA108" i="3" s="1"/>
  <c r="HC107" i="3"/>
  <c r="GX108" i="3" l="1"/>
  <c r="HB108" i="3"/>
  <c r="GY109" i="3" s="1"/>
  <c r="HC108" i="3"/>
  <c r="GX109" i="3"/>
  <c r="HC109" i="3" l="1"/>
  <c r="GZ109" i="3"/>
  <c r="HA109" i="3" s="1"/>
  <c r="HB109" i="3" s="1"/>
  <c r="GX110" i="3" s="1"/>
  <c r="HC110" i="3" l="1"/>
  <c r="GY110" i="3"/>
  <c r="GZ110" i="3" l="1"/>
  <c r="HA110" i="3" s="1"/>
  <c r="HB110" i="3" s="1"/>
  <c r="GX111" i="3" s="1"/>
  <c r="GY111" i="3"/>
  <c r="GZ111" i="3" s="1"/>
  <c r="HA111" i="3" s="1"/>
  <c r="HC111" i="3" l="1"/>
  <c r="HB111" i="3"/>
  <c r="GY112" i="3" s="1"/>
  <c r="GX112" i="3" l="1"/>
  <c r="HC112" i="3"/>
  <c r="GZ112" i="3"/>
  <c r="HA112" i="3" s="1"/>
  <c r="HB112" i="3" s="1"/>
  <c r="GX113" i="3" s="1"/>
  <c r="GY113" i="3" l="1"/>
  <c r="HC113" i="3"/>
  <c r="GZ113" i="3"/>
  <c r="HA113" i="3" s="1"/>
  <c r="HB113" i="3" s="1"/>
  <c r="GX114" i="3" s="1"/>
  <c r="GY114" i="3" l="1"/>
  <c r="GZ114" i="3" s="1"/>
  <c r="HA114" i="3" s="1"/>
  <c r="HB114" i="3" s="1"/>
  <c r="HC114" i="3"/>
  <c r="GX115" i="3" l="1"/>
  <c r="GY115" i="3"/>
  <c r="GZ115" i="3" l="1"/>
  <c r="HA115" i="3" s="1"/>
  <c r="HB115" i="3" s="1"/>
  <c r="HC115" i="3"/>
  <c r="GY116" i="3" l="1"/>
  <c r="GZ116" i="3" s="1"/>
  <c r="HA116" i="3" s="1"/>
  <c r="GX116" i="3"/>
  <c r="HC116" i="3" s="1"/>
  <c r="HB116" i="3" l="1"/>
  <c r="GY117" i="3"/>
  <c r="GZ117" i="3" s="1"/>
  <c r="HA117" i="3" s="1"/>
  <c r="GX117" i="3"/>
  <c r="HC117" i="3" s="1"/>
  <c r="HB117" i="3" l="1"/>
  <c r="GY118" i="3" s="1"/>
  <c r="GZ118" i="3" s="1"/>
  <c r="HA118" i="3" s="1"/>
  <c r="GX118" i="3"/>
  <c r="HB118" i="3" s="1"/>
  <c r="GY119" i="3" s="1"/>
  <c r="HC118" i="3" l="1"/>
  <c r="GX119" i="3"/>
  <c r="HC119" i="3"/>
  <c r="GZ119" i="3"/>
  <c r="HA119" i="3" s="1"/>
  <c r="HB119" i="3" s="1"/>
  <c r="GX120" i="3" s="1"/>
  <c r="GY120" i="3" l="1"/>
  <c r="GZ120" i="3" s="1"/>
  <c r="HA120" i="3" s="1"/>
  <c r="HB120" i="3" s="1"/>
  <c r="HC120" i="3"/>
  <c r="GY121" i="3" l="1"/>
  <c r="GX121" i="3"/>
  <c r="HC121" i="3"/>
  <c r="GZ121" i="3"/>
  <c r="HA121" i="3" s="1"/>
  <c r="HB121" i="3" s="1"/>
  <c r="GX122" i="3" s="1"/>
  <c r="GY122" i="3" l="1"/>
  <c r="GZ122" i="3" s="1"/>
  <c r="HA122" i="3" s="1"/>
  <c r="HB122" i="3" s="1"/>
  <c r="GY123" i="3" s="1"/>
  <c r="GZ123" i="3" s="1"/>
  <c r="HA123" i="3" s="1"/>
  <c r="HC122" i="3"/>
  <c r="GX123" i="3" l="1"/>
  <c r="HC123" i="3" s="1"/>
  <c r="HB123" i="3"/>
  <c r="GY124" i="3" s="1"/>
  <c r="GZ124" i="3" s="1"/>
  <c r="HA124" i="3" s="1"/>
  <c r="GX124" i="3" l="1"/>
  <c r="HB124" i="3" l="1"/>
  <c r="GY125" i="3" s="1"/>
  <c r="GZ125" i="3" s="1"/>
  <c r="HA125" i="3" s="1"/>
  <c r="HC124" i="3"/>
  <c r="GX125" i="3"/>
  <c r="HC125" i="3" l="1"/>
  <c r="HB125" i="3"/>
  <c r="GY126" i="3" s="1"/>
  <c r="GZ126" i="3" s="1"/>
  <c r="HA126" i="3" s="1"/>
  <c r="GX126" i="3" l="1"/>
  <c r="HB126" i="3"/>
  <c r="GY127" i="3" s="1"/>
  <c r="GZ127" i="3" s="1"/>
  <c r="HA127" i="3" s="1"/>
  <c r="HC126" i="3"/>
  <c r="GX127" i="3" l="1"/>
  <c r="HB127" i="3"/>
  <c r="GY128" i="3" s="1"/>
  <c r="GZ128" i="3" s="1"/>
  <c r="HA128" i="3" s="1"/>
  <c r="HC127" i="3"/>
  <c r="GX128" i="3" l="1"/>
  <c r="HB128" i="3"/>
  <c r="GY129" i="3" s="1"/>
  <c r="GZ129" i="3" s="1"/>
  <c r="HA129" i="3" s="1"/>
  <c r="HC128" i="3"/>
  <c r="GX129" i="3"/>
  <c r="HC129" i="3" l="1"/>
  <c r="HB129" i="3"/>
  <c r="GY130" i="3" s="1"/>
  <c r="GZ130" i="3" s="1"/>
  <c r="HA130" i="3" s="1"/>
  <c r="GX130" i="3" l="1"/>
  <c r="HB130" i="3" l="1"/>
  <c r="GY131" i="3" s="1"/>
  <c r="GZ131" i="3" s="1"/>
  <c r="HA131" i="3" s="1"/>
  <c r="HC130" i="3"/>
  <c r="GX131" i="3"/>
  <c r="HC131" i="3" l="1"/>
  <c r="HB131" i="3"/>
  <c r="GY132" i="3" s="1"/>
  <c r="GZ132" i="3" s="1"/>
  <c r="HA132" i="3" s="1"/>
  <c r="GX132" i="3" l="1"/>
  <c r="HB132" i="3"/>
  <c r="GY133" i="3" s="1"/>
  <c r="GZ133" i="3" s="1"/>
  <c r="HA133" i="3" s="1"/>
  <c r="HC132" i="3"/>
  <c r="GX133" i="3"/>
  <c r="HB133" i="3" l="1"/>
  <c r="HC133" i="3"/>
  <c r="GY134" i="3" l="1"/>
  <c r="GZ134" i="3" s="1"/>
  <c r="HA134" i="3" s="1"/>
  <c r="GX134" i="3"/>
  <c r="HL34" i="3" l="1"/>
  <c r="HC134" i="3"/>
  <c r="N18" i="3" s="1"/>
  <c r="HB134" i="3"/>
  <c r="HP34" i="3" l="1"/>
  <c r="HQ34" i="3"/>
  <c r="HM35" i="3" l="1"/>
  <c r="HL35" i="3"/>
  <c r="HQ35" i="3" l="1"/>
  <c r="HN35" i="3"/>
  <c r="HO35" i="3" s="1"/>
  <c r="HP35" i="3" s="1"/>
  <c r="HL36" i="3" s="1"/>
  <c r="HQ36" i="3" l="1"/>
  <c r="HM36" i="3"/>
  <c r="HN36" i="3" s="1"/>
  <c r="HO36" i="3" s="1"/>
  <c r="HP36" i="3" s="1"/>
  <c r="HM37" i="3" s="1"/>
  <c r="HN37" i="3" s="1"/>
  <c r="HO37" i="3" s="1"/>
  <c r="HL37" i="3" l="1"/>
  <c r="HQ37" i="3" l="1"/>
  <c r="HP37" i="3"/>
  <c r="HM38" i="3" s="1"/>
  <c r="HN38" i="3" s="1"/>
  <c r="HO38" i="3" s="1"/>
  <c r="HL38" i="3" l="1"/>
  <c r="HQ38" i="3"/>
  <c r="HP38" i="3"/>
  <c r="HM39" i="3" s="1"/>
  <c r="HN39" i="3" s="1"/>
  <c r="HO39" i="3" s="1"/>
  <c r="HL39" i="3" l="1"/>
  <c r="HP39" i="3"/>
  <c r="HM40" i="3" s="1"/>
  <c r="HN40" i="3" s="1"/>
  <c r="HO40" i="3" s="1"/>
  <c r="HQ39" i="3"/>
  <c r="HL40" i="3" l="1"/>
  <c r="HP40" i="3" s="1"/>
  <c r="HQ40" i="3"/>
  <c r="HM41" i="3" l="1"/>
  <c r="HN41" i="3" s="1"/>
  <c r="HO41" i="3" s="1"/>
  <c r="HL41" i="3"/>
  <c r="HQ41" i="3" s="1"/>
  <c r="HP41" i="3" l="1"/>
  <c r="HM42" i="3"/>
  <c r="HN42" i="3" s="1"/>
  <c r="HO42" i="3" s="1"/>
  <c r="HL42" i="3"/>
  <c r="HP42" i="3" l="1"/>
  <c r="HM43" i="3" s="1"/>
  <c r="HN43" i="3" s="1"/>
  <c r="HO43" i="3" s="1"/>
  <c r="HQ42" i="3"/>
  <c r="HL43" i="3"/>
  <c r="HQ43" i="3" s="1"/>
  <c r="HP43" i="3"/>
  <c r="HM44" i="3" s="1"/>
  <c r="HN44" i="3" s="1"/>
  <c r="HO44" i="3" s="1"/>
  <c r="HL44" i="3" l="1"/>
  <c r="HQ44" i="3" s="1"/>
  <c r="HP44" i="3" l="1"/>
  <c r="HM45" i="3" s="1"/>
  <c r="HN45" i="3" s="1"/>
  <c r="HO45" i="3" s="1"/>
  <c r="HL45" i="3"/>
  <c r="HQ45" i="3" l="1"/>
  <c r="HP45" i="3"/>
  <c r="HM46" i="3" s="1"/>
  <c r="HN46" i="3" s="1"/>
  <c r="HO46" i="3" s="1"/>
  <c r="HL46" i="3" l="1"/>
  <c r="HQ46" i="3"/>
  <c r="HP46" i="3"/>
  <c r="HM47" i="3" s="1"/>
  <c r="HN47" i="3" s="1"/>
  <c r="HO47" i="3" s="1"/>
  <c r="HL47" i="3" l="1"/>
  <c r="HQ47" i="3" l="1"/>
  <c r="HP47" i="3"/>
  <c r="HM48" i="3" s="1"/>
  <c r="HN48" i="3" s="1"/>
  <c r="HO48" i="3" s="1"/>
  <c r="HL48" i="3"/>
  <c r="HP48" i="3" l="1"/>
  <c r="HM49" i="3" s="1"/>
  <c r="HN49" i="3" s="1"/>
  <c r="HO49" i="3" s="1"/>
  <c r="HQ48" i="3"/>
  <c r="HL49" i="3"/>
  <c r="HQ49" i="3" l="1"/>
  <c r="HP49" i="3"/>
  <c r="HM50" i="3" l="1"/>
  <c r="HN50" i="3" s="1"/>
  <c r="HO50" i="3" s="1"/>
  <c r="HL50" i="3"/>
  <c r="HQ50" i="3" l="1"/>
  <c r="HP50" i="3"/>
  <c r="HM51" i="3" s="1"/>
  <c r="HN51" i="3" s="1"/>
  <c r="HO51" i="3" s="1"/>
  <c r="HL51" i="3"/>
  <c r="HQ51" i="3" l="1"/>
  <c r="HP51" i="3"/>
  <c r="HM52" i="3" s="1"/>
  <c r="HN52" i="3" s="1"/>
  <c r="HO52" i="3" s="1"/>
  <c r="HL52" i="3" l="1"/>
  <c r="HQ52" i="3" l="1"/>
  <c r="HP52" i="3"/>
  <c r="HM53" i="3" s="1"/>
  <c r="HN53" i="3" s="1"/>
  <c r="HO53" i="3" s="1"/>
  <c r="HL53" i="3" l="1"/>
  <c r="HQ53" i="3"/>
  <c r="HP53" i="3"/>
  <c r="HM54" i="3" s="1"/>
  <c r="HN54" i="3" s="1"/>
  <c r="HO54" i="3" s="1"/>
  <c r="HL54" i="3" l="1"/>
  <c r="HQ54" i="3"/>
  <c r="HP54" i="3"/>
  <c r="HM55" i="3" s="1"/>
  <c r="HN55" i="3" s="1"/>
  <c r="HO55" i="3" s="1"/>
  <c r="HL55" i="3" l="1"/>
  <c r="HQ55" i="3"/>
  <c r="HP55" i="3"/>
  <c r="HM56" i="3" s="1"/>
  <c r="HN56" i="3" s="1"/>
  <c r="HO56" i="3" s="1"/>
  <c r="HL56" i="3" l="1"/>
  <c r="HP56" i="3" l="1"/>
  <c r="HM57" i="3" s="1"/>
  <c r="HN57" i="3" s="1"/>
  <c r="HO57" i="3" s="1"/>
  <c r="HQ56" i="3"/>
  <c r="HL57" i="3" l="1"/>
  <c r="HP57" i="3"/>
  <c r="HM58" i="3" s="1"/>
  <c r="HN58" i="3" s="1"/>
  <c r="HO58" i="3" s="1"/>
  <c r="HQ57" i="3"/>
  <c r="HL58" i="3"/>
  <c r="HP58" i="3" l="1"/>
  <c r="HM59" i="3" s="1"/>
  <c r="HN59" i="3" s="1"/>
  <c r="HO59" i="3" s="1"/>
  <c r="HQ58" i="3"/>
  <c r="HL59" i="3"/>
  <c r="HQ59" i="3" s="1"/>
  <c r="HP59" i="3" l="1"/>
  <c r="HL60" i="3" l="1"/>
  <c r="HM60" i="3"/>
  <c r="HN60" i="3" s="1"/>
  <c r="HO60" i="3" s="1"/>
  <c r="HP60" i="3" l="1"/>
  <c r="HM61" i="3" s="1"/>
  <c r="HN61" i="3" s="1"/>
  <c r="HO61" i="3" s="1"/>
  <c r="HQ60" i="3"/>
  <c r="HL61" i="3"/>
  <c r="HP61" i="3" l="1"/>
  <c r="HM62" i="3" s="1"/>
  <c r="HN62" i="3" s="1"/>
  <c r="HO62" i="3" s="1"/>
  <c r="HL62" i="3"/>
  <c r="HQ61" i="3"/>
  <c r="HP62" i="3" l="1"/>
  <c r="HM63" i="3" s="1"/>
  <c r="HN63" i="3" s="1"/>
  <c r="HO63" i="3" s="1"/>
  <c r="HQ62" i="3"/>
  <c r="HL63" i="3" l="1"/>
  <c r="HQ63" i="3"/>
  <c r="HP63" i="3"/>
  <c r="HM64" i="3" s="1"/>
  <c r="HN64" i="3" s="1"/>
  <c r="HO64" i="3" s="1"/>
  <c r="HL64" i="3" l="1"/>
  <c r="HQ64" i="3"/>
  <c r="HP64" i="3"/>
  <c r="HM65" i="3" s="1"/>
  <c r="HN65" i="3" s="1"/>
  <c r="HO65" i="3" s="1"/>
  <c r="HL65" i="3" l="1"/>
  <c r="HQ65" i="3"/>
  <c r="HP65" i="3"/>
  <c r="HM66" i="3" s="1"/>
  <c r="HN66" i="3" s="1"/>
  <c r="HO66" i="3" s="1"/>
  <c r="HL66" i="3" l="1"/>
  <c r="HQ66" i="3"/>
  <c r="HP66" i="3"/>
  <c r="HM67" i="3" s="1"/>
  <c r="HN67" i="3" s="1"/>
  <c r="HO67" i="3" s="1"/>
  <c r="HL67" i="3" l="1"/>
  <c r="HQ67" i="3" l="1"/>
  <c r="HP67" i="3"/>
  <c r="HM68" i="3" s="1"/>
  <c r="HN68" i="3" s="1"/>
  <c r="HO68" i="3" s="1"/>
  <c r="HL68" i="3"/>
  <c r="HP68" i="3" l="1"/>
  <c r="HM69" i="3" s="1"/>
  <c r="HN69" i="3" s="1"/>
  <c r="HO69" i="3" s="1"/>
  <c r="HQ68" i="3"/>
  <c r="HL69" i="3"/>
  <c r="HQ69" i="3" s="1"/>
  <c r="HP69" i="3" l="1"/>
  <c r="HM70" i="3" s="1"/>
  <c r="HN70" i="3"/>
  <c r="HO70" i="3" s="1"/>
  <c r="HL70" i="3" l="1"/>
  <c r="HQ70" i="3" s="1"/>
  <c r="HP70" i="3" l="1"/>
  <c r="HL71" i="3" l="1"/>
  <c r="HQ71" i="3" s="1"/>
  <c r="HM71" i="3"/>
  <c r="HN71" i="3" l="1"/>
  <c r="HO71" i="3" s="1"/>
  <c r="HP71" i="3" s="1"/>
  <c r="HL72" i="3" s="1"/>
  <c r="HQ72" i="3" s="1"/>
  <c r="HM72" i="3" l="1"/>
  <c r="HN72" i="3" l="1"/>
  <c r="HO72" i="3" s="1"/>
  <c r="HP72" i="3" s="1"/>
  <c r="HL73" i="3" s="1"/>
  <c r="HQ73" i="3" s="1"/>
  <c r="HM73" i="3"/>
  <c r="HN73" i="3" l="1"/>
  <c r="HO73" i="3" s="1"/>
  <c r="HP73" i="3" s="1"/>
  <c r="HL74" i="3" s="1"/>
  <c r="HQ74" i="3" s="1"/>
  <c r="HM74" i="3"/>
  <c r="HN74" i="3" l="1"/>
  <c r="HO74" i="3" s="1"/>
  <c r="HP74" i="3" s="1"/>
  <c r="HL75" i="3" s="1"/>
  <c r="HQ75" i="3" s="1"/>
  <c r="HM75" i="3" l="1"/>
  <c r="HN75" i="3" s="1"/>
  <c r="HO75" i="3" s="1"/>
  <c r="HP75" i="3" s="1"/>
  <c r="HL76" i="3" l="1"/>
  <c r="HQ76" i="3" s="1"/>
  <c r="HM76" i="3"/>
  <c r="HN76" i="3" s="1"/>
  <c r="HO76" i="3" s="1"/>
  <c r="HP76" i="3" s="1"/>
  <c r="HL77" i="3" s="1"/>
  <c r="HQ77" i="3" s="1"/>
  <c r="HM77" i="3" l="1"/>
  <c r="HN77" i="3"/>
  <c r="HO77" i="3" s="1"/>
  <c r="HP77" i="3" s="1"/>
  <c r="HL78" i="3" s="1"/>
  <c r="HQ78" i="3" s="1"/>
  <c r="HM78" i="3" l="1"/>
  <c r="HN78" i="3" s="1"/>
  <c r="HO78" i="3" s="1"/>
  <c r="HP78" i="3" s="1"/>
  <c r="HL79" i="3" s="1"/>
  <c r="HQ79" i="3" s="1"/>
  <c r="HM79" i="3" l="1"/>
  <c r="HN79" i="3"/>
  <c r="HO79" i="3" s="1"/>
  <c r="HP79" i="3" s="1"/>
  <c r="HL80" i="3" s="1"/>
  <c r="HQ80" i="3" s="1"/>
  <c r="HM80" i="3" l="1"/>
  <c r="HN80" i="3"/>
  <c r="HO80" i="3" s="1"/>
  <c r="HP80" i="3" s="1"/>
  <c r="HL81" i="3" s="1"/>
  <c r="HQ81" i="3" s="1"/>
  <c r="HM81" i="3" l="1"/>
  <c r="HN81" i="3" s="1"/>
  <c r="HO81" i="3" s="1"/>
  <c r="HP81" i="3" s="1"/>
  <c r="HL82" i="3" s="1"/>
  <c r="HQ82" i="3" s="1"/>
  <c r="HM82" i="3" l="1"/>
  <c r="HN82" i="3" l="1"/>
  <c r="HO82" i="3" s="1"/>
  <c r="HP82" i="3" s="1"/>
  <c r="HL83" i="3" s="1"/>
  <c r="HQ83" i="3" s="1"/>
  <c r="HM83" i="3" l="1"/>
  <c r="HN83" i="3" l="1"/>
  <c r="HO83" i="3" s="1"/>
  <c r="HP83" i="3" s="1"/>
  <c r="HL84" i="3" s="1"/>
  <c r="HQ84" i="3" s="1"/>
  <c r="HM84" i="3" l="1"/>
  <c r="HN84" i="3" l="1"/>
  <c r="HO84" i="3" s="1"/>
  <c r="HP84" i="3" s="1"/>
  <c r="HL85" i="3" s="1"/>
  <c r="HQ85" i="3" s="1"/>
  <c r="HM85" i="3" l="1"/>
  <c r="HN85" i="3"/>
  <c r="HO85" i="3" s="1"/>
  <c r="HP85" i="3" s="1"/>
  <c r="HL86" i="3" s="1"/>
  <c r="HQ86" i="3" s="1"/>
  <c r="HM86" i="3" l="1"/>
  <c r="HN86" i="3" s="1"/>
  <c r="HO86" i="3" s="1"/>
  <c r="HP86" i="3" s="1"/>
  <c r="HL87" i="3" s="1"/>
  <c r="HQ87" i="3" s="1"/>
  <c r="HM87" i="3" l="1"/>
  <c r="HN87" i="3" l="1"/>
  <c r="HO87" i="3" s="1"/>
  <c r="HP87" i="3" s="1"/>
  <c r="HL88" i="3" s="1"/>
  <c r="HQ88" i="3" s="1"/>
  <c r="HM88" i="3"/>
  <c r="HN88" i="3" l="1"/>
  <c r="HO88" i="3" s="1"/>
  <c r="HP88" i="3" s="1"/>
  <c r="HL89" i="3" s="1"/>
  <c r="HQ89" i="3" s="1"/>
  <c r="HM89" i="3" l="1"/>
  <c r="HN89" i="3"/>
  <c r="HO89" i="3" s="1"/>
  <c r="HP89" i="3" s="1"/>
  <c r="HL90" i="3" s="1"/>
  <c r="HQ90" i="3" s="1"/>
  <c r="HM90" i="3" l="1"/>
  <c r="HN90" i="3"/>
  <c r="HO90" i="3" s="1"/>
  <c r="HP90" i="3" s="1"/>
  <c r="HL91" i="3" s="1"/>
  <c r="HQ91" i="3" s="1"/>
  <c r="HM91" i="3" l="1"/>
  <c r="HN91" i="3" l="1"/>
  <c r="HO91" i="3" s="1"/>
  <c r="HP91" i="3" s="1"/>
  <c r="HL92" i="3" s="1"/>
  <c r="HQ92" i="3" s="1"/>
  <c r="HM92" i="3" l="1"/>
  <c r="HN92" i="3" l="1"/>
  <c r="HO92" i="3" s="1"/>
  <c r="HP92" i="3" s="1"/>
  <c r="HL93" i="3" s="1"/>
  <c r="HQ93" i="3" s="1"/>
  <c r="HM93" i="3"/>
  <c r="HN93" i="3" l="1"/>
  <c r="HO93" i="3" s="1"/>
  <c r="HP93" i="3" s="1"/>
  <c r="HL94" i="3" s="1"/>
  <c r="HQ94" i="3" s="1"/>
  <c r="HM94" i="3" l="1"/>
  <c r="HN94" i="3" l="1"/>
  <c r="HO94" i="3" s="1"/>
  <c r="HP94" i="3" s="1"/>
  <c r="HL95" i="3" s="1"/>
  <c r="HQ95" i="3" s="1"/>
  <c r="HM95" i="3" l="1"/>
  <c r="HN95" i="3" l="1"/>
  <c r="HO95" i="3" s="1"/>
  <c r="HP95" i="3" s="1"/>
  <c r="HL96" i="3" s="1"/>
  <c r="HQ96" i="3" s="1"/>
  <c r="HM96" i="3" l="1"/>
  <c r="HN96" i="3"/>
  <c r="HO96" i="3" s="1"/>
  <c r="HP96" i="3" s="1"/>
  <c r="HL97" i="3" s="1"/>
  <c r="HQ97" i="3" s="1"/>
  <c r="HM97" i="3" l="1"/>
  <c r="HN97" i="3" l="1"/>
  <c r="HO97" i="3" s="1"/>
  <c r="HP97" i="3" s="1"/>
  <c r="HL98" i="3" s="1"/>
  <c r="HQ98" i="3" s="1"/>
  <c r="HM98" i="3"/>
  <c r="HN98" i="3" l="1"/>
  <c r="HO98" i="3" s="1"/>
  <c r="HP98" i="3" s="1"/>
  <c r="HL99" i="3" s="1"/>
  <c r="HQ99" i="3" s="1"/>
  <c r="HM99" i="3" l="1"/>
  <c r="HN99" i="3" l="1"/>
  <c r="HO99" i="3" s="1"/>
  <c r="HP99" i="3" s="1"/>
  <c r="HL100" i="3" s="1"/>
  <c r="HQ100" i="3" s="1"/>
  <c r="HM100" i="3" l="1"/>
  <c r="HN100" i="3" l="1"/>
  <c r="HO100" i="3" s="1"/>
  <c r="HP100" i="3" s="1"/>
  <c r="HL101" i="3" s="1"/>
  <c r="HQ101" i="3" s="1"/>
  <c r="HM101" i="3" l="1"/>
  <c r="HN101" i="3" l="1"/>
  <c r="HO101" i="3" s="1"/>
  <c r="HP101" i="3" s="1"/>
  <c r="HL102" i="3" s="1"/>
  <c r="HQ102" i="3" s="1"/>
  <c r="HM102" i="3" l="1"/>
  <c r="HN102" i="3"/>
  <c r="HO102" i="3" s="1"/>
  <c r="HP102" i="3" s="1"/>
  <c r="HL103" i="3" s="1"/>
  <c r="HQ103" i="3" s="1"/>
  <c r="HM103" i="3" l="1"/>
  <c r="HN103" i="3"/>
  <c r="HO103" i="3" s="1"/>
  <c r="HP103" i="3" s="1"/>
  <c r="HL104" i="3" s="1"/>
  <c r="HQ104" i="3" s="1"/>
  <c r="HM104" i="3" l="1"/>
  <c r="HN104" i="3"/>
  <c r="HO104" i="3" s="1"/>
  <c r="HP104" i="3" s="1"/>
  <c r="HL105" i="3" s="1"/>
  <c r="HQ105" i="3" s="1"/>
  <c r="HM105" i="3" l="1"/>
  <c r="HN105" i="3"/>
  <c r="HO105" i="3" s="1"/>
  <c r="HP105" i="3" s="1"/>
  <c r="HL106" i="3" s="1"/>
  <c r="HQ106" i="3" s="1"/>
  <c r="HM106" i="3" l="1"/>
  <c r="HN106" i="3" l="1"/>
  <c r="HO106" i="3" s="1"/>
  <c r="HP106" i="3" s="1"/>
  <c r="HL107" i="3" s="1"/>
  <c r="HM107" i="3" l="1"/>
  <c r="HN107" i="3" s="1"/>
  <c r="HO107" i="3" s="1"/>
  <c r="HP107" i="3" s="1"/>
  <c r="HQ107" i="3"/>
  <c r="HM108" i="3" l="1"/>
  <c r="HN108" i="3" s="1"/>
  <c r="HO108" i="3" s="1"/>
  <c r="HL108" i="3"/>
  <c r="HQ108" i="3" l="1"/>
  <c r="HP108" i="3"/>
  <c r="HM109" i="3" s="1"/>
  <c r="HN109" i="3" s="1"/>
  <c r="HO109" i="3" s="1"/>
  <c r="HL109" i="3" l="1"/>
  <c r="HQ109" i="3"/>
  <c r="HP109" i="3"/>
  <c r="HM110" i="3" s="1"/>
  <c r="HN110" i="3" s="1"/>
  <c r="HO110" i="3" s="1"/>
  <c r="HL110" i="3"/>
  <c r="HP110" i="3" l="1"/>
  <c r="HM111" i="3" s="1"/>
  <c r="HN111" i="3" s="1"/>
  <c r="HO111" i="3" s="1"/>
  <c r="HQ110" i="3"/>
  <c r="HL111" i="3"/>
  <c r="HQ111" i="3" l="1"/>
  <c r="HP111" i="3"/>
  <c r="HM112" i="3" s="1"/>
  <c r="HL112" i="3"/>
  <c r="HQ112" i="3" l="1"/>
  <c r="HN112" i="3"/>
  <c r="HO112" i="3" s="1"/>
  <c r="HP112" i="3" s="1"/>
  <c r="HL113" i="3" s="1"/>
  <c r="HQ113" i="3" l="1"/>
  <c r="HM113" i="3"/>
  <c r="HN113" i="3" s="1"/>
  <c r="HO113" i="3" s="1"/>
  <c r="HP113" i="3" s="1"/>
  <c r="HM114" i="3" l="1"/>
  <c r="HN114" i="3" s="1"/>
  <c r="HO114" i="3" s="1"/>
  <c r="HL114" i="3"/>
  <c r="HQ114" i="3" l="1"/>
  <c r="HP114" i="3"/>
  <c r="HM115" i="3" s="1"/>
  <c r="HN115" i="3" s="1"/>
  <c r="HO115" i="3" s="1"/>
  <c r="HL115" i="3" l="1"/>
  <c r="HQ115" i="3"/>
  <c r="HP115" i="3"/>
  <c r="HM116" i="3" s="1"/>
  <c r="HN116" i="3" s="1"/>
  <c r="HO116" i="3" s="1"/>
  <c r="HL116" i="3"/>
  <c r="HQ116" i="3" l="1"/>
  <c r="HP116" i="3"/>
  <c r="HM117" i="3" s="1"/>
  <c r="HN117" i="3" s="1"/>
  <c r="HO117" i="3" s="1"/>
  <c r="HL117" i="3" l="1"/>
  <c r="HP117" i="3"/>
  <c r="HM118" i="3" s="1"/>
  <c r="HN118" i="3" s="1"/>
  <c r="HO118" i="3" s="1"/>
  <c r="HQ117" i="3"/>
  <c r="HL118" i="3" l="1"/>
  <c r="HQ118" i="3"/>
  <c r="HP118" i="3"/>
  <c r="HM119" i="3" s="1"/>
  <c r="HN119" i="3" s="1"/>
  <c r="HO119" i="3" s="1"/>
  <c r="HL119" i="3" l="1"/>
  <c r="HP119" i="3" s="1"/>
  <c r="HQ119" i="3" l="1"/>
  <c r="HM120" i="3"/>
  <c r="HN120" i="3" s="1"/>
  <c r="HO120" i="3" s="1"/>
  <c r="HL120" i="3"/>
  <c r="HQ120" i="3" s="1"/>
  <c r="HP120" i="3" l="1"/>
  <c r="HM121" i="3"/>
  <c r="HL121" i="3"/>
  <c r="HQ121" i="3" s="1"/>
  <c r="HN121" i="3"/>
  <c r="HO121" i="3" s="1"/>
  <c r="HP121" i="3" s="1"/>
  <c r="HL122" i="3" s="1"/>
  <c r="HM122" i="3" l="1"/>
  <c r="HN122" i="3" s="1"/>
  <c r="HO122" i="3" s="1"/>
  <c r="HQ122" i="3"/>
  <c r="HP122" i="3"/>
  <c r="HM123" i="3" s="1"/>
  <c r="HN123" i="3" s="1"/>
  <c r="HO123" i="3" s="1"/>
  <c r="HL123" i="3" l="1"/>
  <c r="HQ123" i="3" l="1"/>
  <c r="HP123" i="3"/>
  <c r="HM124" i="3" s="1"/>
  <c r="HN124" i="3" s="1"/>
  <c r="HO124" i="3" s="1"/>
  <c r="HL124" i="3" l="1"/>
  <c r="HQ124" i="3" l="1"/>
  <c r="HP124" i="3"/>
  <c r="HM125" i="3" s="1"/>
  <c r="HN125" i="3" s="1"/>
  <c r="HO125" i="3" s="1"/>
  <c r="HL125" i="3"/>
  <c r="HP125" i="3" l="1"/>
  <c r="HM126" i="3" s="1"/>
  <c r="HN126" i="3" s="1"/>
  <c r="HO126" i="3" s="1"/>
  <c r="HQ125" i="3"/>
  <c r="HL126" i="3" l="1"/>
  <c r="HQ126" i="3"/>
  <c r="HP126" i="3"/>
  <c r="HM127" i="3" s="1"/>
  <c r="HN127" i="3" s="1"/>
  <c r="HO127" i="3" s="1"/>
  <c r="HL127" i="3" l="1"/>
  <c r="HP127" i="3"/>
  <c r="HM128" i="3" s="1"/>
  <c r="HN128" i="3" s="1"/>
  <c r="HO128" i="3" s="1"/>
  <c r="HQ127" i="3"/>
  <c r="HL128" i="3"/>
  <c r="HP128" i="3" l="1"/>
  <c r="HM129" i="3" s="1"/>
  <c r="HN129" i="3" s="1"/>
  <c r="HO129" i="3" s="1"/>
  <c r="HL129" i="3"/>
  <c r="HQ128" i="3"/>
  <c r="HQ129" i="3" l="1"/>
  <c r="HP129" i="3"/>
  <c r="HM130" i="3" s="1"/>
  <c r="HN130" i="3" s="1"/>
  <c r="HO130" i="3" s="1"/>
  <c r="HL130" i="3" l="1"/>
  <c r="HP130" i="3" l="1"/>
  <c r="HM131" i="3" s="1"/>
  <c r="HN131" i="3" s="1"/>
  <c r="HO131" i="3" s="1"/>
  <c r="HL131" i="3"/>
  <c r="HQ130" i="3"/>
  <c r="HP131" i="3" l="1"/>
  <c r="HM132" i="3" s="1"/>
  <c r="HN132" i="3" s="1"/>
  <c r="HO132" i="3" s="1"/>
  <c r="HL132" i="3"/>
  <c r="HQ131" i="3"/>
  <c r="HQ132" i="3" l="1"/>
  <c r="HP132" i="3"/>
  <c r="HM133" i="3" s="1"/>
  <c r="HN133" i="3" s="1"/>
  <c r="HO133" i="3" s="1"/>
  <c r="HL133" i="3" l="1"/>
  <c r="HP133" i="3" l="1"/>
  <c r="HM134" i="3" s="1"/>
  <c r="HN134" i="3" s="1"/>
  <c r="HO134" i="3" s="1"/>
  <c r="HQ133" i="3"/>
  <c r="HL134" i="3" l="1"/>
  <c r="HQ134" i="3" l="1"/>
  <c r="N19" i="3" s="1"/>
  <c r="HZ34" i="3"/>
  <c r="HP134" i="3"/>
  <c r="IE34" i="3" l="1"/>
  <c r="ID34" i="3"/>
  <c r="IA35" i="3" s="1"/>
  <c r="HZ35" i="3" l="1"/>
  <c r="IE35" i="3"/>
  <c r="IB35" i="3"/>
  <c r="IC35" i="3" s="1"/>
  <c r="ID35" i="3" s="1"/>
  <c r="HZ36" i="3" s="1"/>
  <c r="IE36" i="3" l="1"/>
  <c r="IA36" i="3"/>
  <c r="IB36" i="3" s="1"/>
  <c r="IC36" i="3" s="1"/>
  <c r="ID36" i="3" s="1"/>
  <c r="IA37" i="3" s="1"/>
  <c r="IB37" i="3" s="1"/>
  <c r="IC37" i="3" s="1"/>
  <c r="HZ37" i="3" l="1"/>
  <c r="IE37" i="3" l="1"/>
  <c r="ID37" i="3"/>
  <c r="IA38" i="3" s="1"/>
  <c r="IB38" i="3" s="1"/>
  <c r="IC38" i="3" s="1"/>
  <c r="HZ38" i="3" l="1"/>
  <c r="ID38" i="3" l="1"/>
  <c r="IA39" i="3" s="1"/>
  <c r="IB39" i="3" s="1"/>
  <c r="IC39" i="3" s="1"/>
  <c r="HZ39" i="3"/>
  <c r="IE38" i="3"/>
  <c r="ID39" i="3" l="1"/>
  <c r="IA40" i="3" s="1"/>
  <c r="IB40" i="3" s="1"/>
  <c r="IC40" i="3" s="1"/>
  <c r="IE39" i="3"/>
  <c r="HZ40" i="3" l="1"/>
  <c r="IE40" i="3"/>
  <c r="ID40" i="3"/>
  <c r="IA41" i="3" s="1"/>
  <c r="IB41" i="3" s="1"/>
  <c r="IC41" i="3" s="1"/>
  <c r="HZ41" i="3"/>
  <c r="ID41" i="3" l="1"/>
  <c r="IA42" i="3" s="1"/>
  <c r="IB42" i="3" s="1"/>
  <c r="IC42" i="3" s="1"/>
  <c r="HZ42" i="3"/>
  <c r="IE41" i="3"/>
  <c r="ID42" i="3" l="1"/>
  <c r="IA43" i="3" s="1"/>
  <c r="IB43" i="3" s="1"/>
  <c r="IC43" i="3" s="1"/>
  <c r="IE42" i="3"/>
  <c r="HZ43" i="3"/>
  <c r="IE43" i="3" l="1"/>
  <c r="ID43" i="3"/>
  <c r="IA44" i="3" s="1"/>
  <c r="IB44" i="3" s="1"/>
  <c r="IC44" i="3" s="1"/>
  <c r="HZ44" i="3" l="1"/>
  <c r="ID44" i="3"/>
  <c r="IA45" i="3" s="1"/>
  <c r="IB45" i="3" s="1"/>
  <c r="IC45" i="3" s="1"/>
  <c r="IE44" i="3"/>
  <c r="HZ45" i="3" l="1"/>
  <c r="IE45" i="3"/>
  <c r="ID45" i="3"/>
  <c r="IA46" i="3" s="1"/>
  <c r="IB46" i="3" s="1"/>
  <c r="IC46" i="3" s="1"/>
  <c r="HZ46" i="3" l="1"/>
  <c r="ID46" i="3" s="1"/>
  <c r="IE46" i="3"/>
  <c r="IA47" i="3" l="1"/>
  <c r="IB47" i="3" s="1"/>
  <c r="IC47" i="3" s="1"/>
  <c r="HZ47" i="3"/>
  <c r="IE47" i="3" s="1"/>
  <c r="ID47" i="3" l="1"/>
  <c r="IA48" i="3"/>
  <c r="IB48" i="3" s="1"/>
  <c r="IC48" i="3" s="1"/>
  <c r="HZ48" i="3"/>
  <c r="IE48" i="3"/>
  <c r="ID48" i="3" l="1"/>
  <c r="IA49" i="3" s="1"/>
  <c r="IB49" i="3" s="1"/>
  <c r="IC49" i="3" s="1"/>
  <c r="HZ49" i="3"/>
  <c r="ID49" i="3" s="1"/>
  <c r="IA50" i="3" s="1"/>
  <c r="IB50" i="3" s="1"/>
  <c r="IC50" i="3" s="1"/>
  <c r="IE49" i="3" l="1"/>
  <c r="HZ50" i="3"/>
  <c r="IE50" i="3"/>
  <c r="ID50" i="3"/>
  <c r="IA51" i="3" s="1"/>
  <c r="IB51" i="3" s="1"/>
  <c r="IC51" i="3" s="1"/>
  <c r="HZ51" i="3"/>
  <c r="ID51" i="3" l="1"/>
  <c r="IA52" i="3" s="1"/>
  <c r="IB52" i="3" s="1"/>
  <c r="IC52" i="3" s="1"/>
  <c r="IE51" i="3"/>
  <c r="HZ52" i="3"/>
  <c r="IE52" i="3" l="1"/>
  <c r="ID52" i="3"/>
  <c r="IA53" i="3" s="1"/>
  <c r="IB53" i="3" s="1"/>
  <c r="IC53" i="3" s="1"/>
  <c r="HZ53" i="3" l="1"/>
  <c r="IE53" i="3"/>
  <c r="ID53" i="3"/>
  <c r="IA54" i="3" s="1"/>
  <c r="IB54" i="3" s="1"/>
  <c r="IC54" i="3" s="1"/>
  <c r="HZ54" i="3" l="1"/>
  <c r="ID54" i="3" l="1"/>
  <c r="IA55" i="3" s="1"/>
  <c r="IB55" i="3" s="1"/>
  <c r="IC55" i="3" s="1"/>
  <c r="IE54" i="3"/>
  <c r="HZ55" i="3"/>
  <c r="ID55" i="3" l="1"/>
  <c r="IA56" i="3" s="1"/>
  <c r="IB56" i="3" s="1"/>
  <c r="IC56" i="3" s="1"/>
  <c r="IE55" i="3"/>
  <c r="HZ56" i="3"/>
  <c r="ID56" i="3" l="1"/>
  <c r="IA57" i="3" s="1"/>
  <c r="IB57" i="3" s="1"/>
  <c r="IC57" i="3" s="1"/>
  <c r="IE56" i="3"/>
  <c r="HZ57" i="3"/>
  <c r="ID57" i="3" l="1"/>
  <c r="IA58" i="3" s="1"/>
  <c r="IB58" i="3" s="1"/>
  <c r="IC58" i="3" s="1"/>
  <c r="IE57" i="3"/>
  <c r="HZ58" i="3" l="1"/>
  <c r="IE58" i="3" l="1"/>
  <c r="ID58" i="3"/>
  <c r="IA59" i="3" s="1"/>
  <c r="IB59" i="3" s="1"/>
  <c r="IC59" i="3" s="1"/>
  <c r="HZ59" i="3" l="1"/>
  <c r="IE59" i="3"/>
  <c r="ID59" i="3"/>
  <c r="IA60" i="3" s="1"/>
  <c r="IB60" i="3" s="1"/>
  <c r="IC60" i="3" s="1"/>
  <c r="HZ60" i="3" l="1"/>
  <c r="ID60" i="3"/>
  <c r="IA61" i="3" s="1"/>
  <c r="IB61" i="3" s="1"/>
  <c r="IC61" i="3" s="1"/>
  <c r="IE60" i="3"/>
  <c r="HZ61" i="3" l="1"/>
  <c r="IE61" i="3" s="1"/>
  <c r="ID61" i="3"/>
  <c r="IA62" i="3" s="1"/>
  <c r="IB62" i="3" s="1"/>
  <c r="IC62" i="3" s="1"/>
  <c r="HZ62" i="3" l="1"/>
  <c r="ID62" i="3"/>
  <c r="IA63" i="3" s="1"/>
  <c r="IB63" i="3" s="1"/>
  <c r="IC63" i="3" s="1"/>
  <c r="IE62" i="3"/>
  <c r="HZ63" i="3" l="1"/>
  <c r="IE63" i="3"/>
  <c r="ID63" i="3"/>
  <c r="IA64" i="3" s="1"/>
  <c r="IB64" i="3" s="1"/>
  <c r="IC64" i="3" s="1"/>
  <c r="HZ64" i="3" l="1"/>
  <c r="IE64" i="3"/>
  <c r="ID64" i="3"/>
  <c r="IA65" i="3" s="1"/>
  <c r="IB65" i="3" s="1"/>
  <c r="IC65" i="3" s="1"/>
  <c r="HZ65" i="3"/>
  <c r="IE65" i="3" l="1"/>
  <c r="ID65" i="3"/>
  <c r="IA66" i="3" s="1"/>
  <c r="IB66" i="3" l="1"/>
  <c r="IC66" i="3" s="1"/>
  <c r="HZ66" i="3"/>
  <c r="IE66" i="3" l="1"/>
  <c r="ID66" i="3"/>
  <c r="IA67" i="3" s="1"/>
  <c r="IB67" i="3" l="1"/>
  <c r="IC67" i="3" s="1"/>
  <c r="HZ67" i="3"/>
  <c r="IE67" i="3" l="1"/>
  <c r="ID67" i="3"/>
  <c r="IA68" i="3" s="1"/>
  <c r="IB68" i="3" s="1"/>
  <c r="IC68" i="3" s="1"/>
  <c r="HZ68" i="3" l="1"/>
  <c r="IE68" i="3" l="1"/>
  <c r="ID68" i="3"/>
  <c r="IA69" i="3" s="1"/>
  <c r="IB69" i="3" l="1"/>
  <c r="IC69" i="3" s="1"/>
  <c r="HZ69" i="3"/>
  <c r="IE69" i="3" l="1"/>
  <c r="ID69" i="3"/>
  <c r="IA70" i="3" s="1"/>
  <c r="IB70" i="3" s="1"/>
  <c r="IC70" i="3" s="1"/>
  <c r="HZ70" i="3" l="1"/>
  <c r="ID70" i="3" l="1"/>
  <c r="IA71" i="3" s="1"/>
  <c r="IB71" i="3" s="1"/>
  <c r="IC71" i="3" s="1"/>
  <c r="IE70" i="3"/>
  <c r="HZ71" i="3"/>
  <c r="ID71" i="3" l="1"/>
  <c r="IA72" i="3" s="1"/>
  <c r="IB72" i="3" s="1"/>
  <c r="IC72" i="3" s="1"/>
  <c r="IE71" i="3"/>
  <c r="HZ72" i="3" l="1"/>
  <c r="IE72" i="3"/>
  <c r="ID72" i="3"/>
  <c r="IA73" i="3" s="1"/>
  <c r="IB73" i="3" s="1"/>
  <c r="IC73" i="3" s="1"/>
  <c r="HZ73" i="3"/>
  <c r="IE73" i="3" l="1"/>
  <c r="ID73" i="3"/>
  <c r="IA74" i="3" s="1"/>
  <c r="IB74" i="3" s="1"/>
  <c r="IC74" i="3" s="1"/>
  <c r="HZ74" i="3" l="1"/>
  <c r="IE74" i="3"/>
  <c r="ID74" i="3"/>
  <c r="IA75" i="3" s="1"/>
  <c r="IB75" i="3" s="1"/>
  <c r="IC75" i="3" s="1"/>
  <c r="HZ75" i="3"/>
  <c r="IE75" i="3" l="1"/>
  <c r="ID75" i="3"/>
  <c r="IA76" i="3" s="1"/>
  <c r="IB76" i="3" s="1"/>
  <c r="IC76" i="3" s="1"/>
  <c r="HZ76" i="3"/>
  <c r="IE76" i="3" l="1"/>
  <c r="ID76" i="3"/>
  <c r="IA77" i="3" s="1"/>
  <c r="HZ77" i="3"/>
  <c r="IE77" i="3" l="1"/>
  <c r="IB77" i="3"/>
  <c r="IC77" i="3" s="1"/>
  <c r="ID77" i="3" s="1"/>
  <c r="HZ78" i="3" s="1"/>
  <c r="IA78" i="3" l="1"/>
  <c r="IB78" i="3" s="1"/>
  <c r="IC78" i="3" s="1"/>
  <c r="ID78" i="3"/>
  <c r="IA79" i="3" s="1"/>
  <c r="IB79" i="3" s="1"/>
  <c r="IC79" i="3" s="1"/>
  <c r="IE78" i="3"/>
  <c r="HZ79" i="3" l="1"/>
  <c r="IE79" i="3"/>
  <c r="ID79" i="3"/>
  <c r="IA80" i="3" s="1"/>
  <c r="HZ80" i="3"/>
  <c r="IE80" i="3" l="1"/>
  <c r="IB80" i="3"/>
  <c r="IC80" i="3" s="1"/>
  <c r="ID80" i="3" s="1"/>
  <c r="HZ81" i="3" s="1"/>
  <c r="IA81" i="3" l="1"/>
  <c r="IB81" i="3" s="1"/>
  <c r="IC81" i="3" s="1"/>
  <c r="IE81" i="3"/>
  <c r="ID81" i="3"/>
  <c r="IA82" i="3" s="1"/>
  <c r="IB82" i="3" s="1"/>
  <c r="IC82" i="3" s="1"/>
  <c r="HZ82" i="3"/>
  <c r="IE82" i="3" s="1"/>
  <c r="ID82" i="3" l="1"/>
  <c r="IA83" i="3" s="1"/>
  <c r="IB83" i="3" s="1"/>
  <c r="IC83" i="3" s="1"/>
  <c r="HZ83" i="3"/>
  <c r="IE83" i="3" s="1"/>
  <c r="ID83" i="3" l="1"/>
  <c r="IA84" i="3" s="1"/>
  <c r="IB84" i="3" s="1"/>
  <c r="IC84" i="3" s="1"/>
  <c r="HZ84" i="3"/>
  <c r="ID84" i="3" s="1"/>
  <c r="IA85" i="3" s="1"/>
  <c r="IB85" i="3" s="1"/>
  <c r="IC85" i="3" s="1"/>
  <c r="IE84" i="3" l="1"/>
  <c r="HZ85" i="3"/>
  <c r="ID85" i="3" s="1"/>
  <c r="IA86" i="3" s="1"/>
  <c r="IE85" i="3"/>
  <c r="HZ86" i="3" l="1"/>
  <c r="IE86" i="3"/>
  <c r="IB86" i="3"/>
  <c r="IC86" i="3" s="1"/>
  <c r="ID86" i="3" s="1"/>
  <c r="HZ87" i="3" l="1"/>
  <c r="IA87" i="3"/>
  <c r="IB87" i="3" s="1"/>
  <c r="IC87" i="3" s="1"/>
  <c r="IE87" i="3" l="1"/>
  <c r="ID87" i="3"/>
  <c r="IA88" i="3" s="1"/>
  <c r="IB88" i="3" s="1"/>
  <c r="IC88" i="3" s="1"/>
  <c r="HZ88" i="3" l="1"/>
  <c r="IE88" i="3" l="1"/>
  <c r="ID88" i="3"/>
  <c r="IA89" i="3" s="1"/>
  <c r="IB89" i="3" s="1"/>
  <c r="IC89" i="3" s="1"/>
  <c r="HZ89" i="3" l="1"/>
  <c r="IE89" i="3"/>
  <c r="ID89" i="3"/>
  <c r="IA90" i="3" s="1"/>
  <c r="IB90" i="3" s="1"/>
  <c r="IC90" i="3" s="1"/>
  <c r="HZ90" i="3" l="1"/>
  <c r="ID90" i="3" l="1"/>
  <c r="IA91" i="3" s="1"/>
  <c r="IB91" i="3" s="1"/>
  <c r="IC91" i="3" s="1"/>
  <c r="IE90" i="3"/>
  <c r="HZ91" i="3"/>
  <c r="IE91" i="3" l="1"/>
  <c r="ID91" i="3"/>
  <c r="IA92" i="3" s="1"/>
  <c r="IB92" i="3" s="1"/>
  <c r="IC92" i="3" s="1"/>
  <c r="HZ92" i="3"/>
  <c r="IE92" i="3" l="1"/>
  <c r="ID92" i="3"/>
  <c r="IA93" i="3" s="1"/>
  <c r="IB93" i="3" s="1"/>
  <c r="IC93" i="3" s="1"/>
  <c r="HZ93" i="3" l="1"/>
  <c r="IE93" i="3"/>
  <c r="ID93" i="3"/>
  <c r="IA94" i="3" s="1"/>
  <c r="IB94" i="3" s="1"/>
  <c r="IC94" i="3" s="1"/>
  <c r="HZ94" i="3" l="1"/>
  <c r="ID94" i="3" l="1"/>
  <c r="IA95" i="3" s="1"/>
  <c r="IB95" i="3" s="1"/>
  <c r="IC95" i="3" s="1"/>
  <c r="HZ95" i="3"/>
  <c r="IE94" i="3"/>
  <c r="ID95" i="3" l="1"/>
  <c r="IA96" i="3" s="1"/>
  <c r="IB96" i="3" s="1"/>
  <c r="IC96" i="3" s="1"/>
  <c r="IE95" i="3"/>
  <c r="HZ96" i="3"/>
  <c r="IE96" i="3" l="1"/>
  <c r="ID96" i="3"/>
  <c r="IA97" i="3" s="1"/>
  <c r="IB97" i="3" s="1"/>
  <c r="IC97" i="3" s="1"/>
  <c r="HZ97" i="3" l="1"/>
  <c r="IE97" i="3"/>
  <c r="ID97" i="3"/>
  <c r="IA98" i="3" s="1"/>
  <c r="IB98" i="3" s="1"/>
  <c r="IC98" i="3" s="1"/>
  <c r="HZ98" i="3" l="1"/>
  <c r="IE98" i="3" l="1"/>
  <c r="ID98" i="3"/>
  <c r="IA99" i="3" s="1"/>
  <c r="IB99" i="3" l="1"/>
  <c r="IC99" i="3" s="1"/>
  <c r="HZ99" i="3"/>
  <c r="IE99" i="3" l="1"/>
  <c r="ID99" i="3"/>
  <c r="IA100" i="3" s="1"/>
  <c r="IB100" i="3" s="1"/>
  <c r="IC100" i="3" s="1"/>
  <c r="HZ100" i="3" l="1"/>
  <c r="IE100" i="3" s="1"/>
  <c r="ID100" i="3"/>
  <c r="IA101" i="3" s="1"/>
  <c r="IB101" i="3" s="1"/>
  <c r="IC101" i="3" s="1"/>
  <c r="HZ101" i="3" l="1"/>
  <c r="IE101" i="3" l="1"/>
  <c r="ID101" i="3"/>
  <c r="IA102" i="3" s="1"/>
  <c r="IB102" i="3" s="1"/>
  <c r="IC102" i="3" s="1"/>
  <c r="HZ102" i="3" l="1"/>
  <c r="IE102" i="3" l="1"/>
  <c r="ID102" i="3"/>
  <c r="IA103" i="3" s="1"/>
  <c r="IB103" i="3" s="1"/>
  <c r="IC103" i="3" s="1"/>
  <c r="HZ103" i="3" l="1"/>
  <c r="IE103" i="3"/>
  <c r="ID103" i="3"/>
  <c r="IA104" i="3" s="1"/>
  <c r="IB104" i="3" s="1"/>
  <c r="IC104" i="3" s="1"/>
  <c r="HZ104" i="3" l="1"/>
  <c r="IE104" i="3"/>
  <c r="ID104" i="3"/>
  <c r="IA105" i="3" s="1"/>
  <c r="IB105" i="3" s="1"/>
  <c r="IC105" i="3" s="1"/>
  <c r="HZ105" i="3" l="1"/>
  <c r="IE105" i="3" l="1"/>
  <c r="ID105" i="3"/>
  <c r="IA106" i="3" s="1"/>
  <c r="IB106" i="3" s="1"/>
  <c r="IC106" i="3" s="1"/>
  <c r="HZ106" i="3" l="1"/>
  <c r="IE106" i="3"/>
  <c r="ID106" i="3"/>
  <c r="IA107" i="3" s="1"/>
  <c r="IB107" i="3" s="1"/>
  <c r="IC107" i="3" s="1"/>
  <c r="HZ107" i="3" l="1"/>
  <c r="IE107" i="3" l="1"/>
  <c r="ID107" i="3"/>
  <c r="IA108" i="3" s="1"/>
  <c r="IB108" i="3" s="1"/>
  <c r="IC108" i="3" s="1"/>
  <c r="HZ108" i="3" l="1"/>
  <c r="IE108" i="3"/>
  <c r="ID108" i="3"/>
  <c r="IA109" i="3" s="1"/>
  <c r="IB109" i="3" s="1"/>
  <c r="IC109" i="3" s="1"/>
  <c r="HZ109" i="3" l="1"/>
  <c r="IE109" i="3" l="1"/>
  <c r="ID109" i="3"/>
  <c r="IA110" i="3" s="1"/>
  <c r="IB110" i="3" s="1"/>
  <c r="IC110" i="3" s="1"/>
  <c r="HZ110" i="3" l="1"/>
  <c r="IE110" i="3" l="1"/>
  <c r="ID110" i="3"/>
  <c r="IA111" i="3" s="1"/>
  <c r="IB111" i="3" s="1"/>
  <c r="IC111" i="3" s="1"/>
  <c r="HZ111" i="3" l="1"/>
  <c r="IE111" i="3"/>
  <c r="ID111" i="3"/>
  <c r="IA112" i="3" s="1"/>
  <c r="IB112" i="3" s="1"/>
  <c r="IC112" i="3" s="1"/>
  <c r="HZ112" i="3" l="1"/>
  <c r="IE112" i="3"/>
  <c r="ID112" i="3"/>
  <c r="IA113" i="3" s="1"/>
  <c r="IB113" i="3" s="1"/>
  <c r="IC113" i="3" s="1"/>
  <c r="HZ113" i="3" l="1"/>
  <c r="ID113" i="3" s="1"/>
  <c r="IA114" i="3" s="1"/>
  <c r="IB114" i="3" s="1"/>
  <c r="IC114" i="3" s="1"/>
  <c r="IE113" i="3"/>
  <c r="HZ114" i="3" l="1"/>
  <c r="IE114" i="3"/>
  <c r="ID114" i="3"/>
  <c r="IA115" i="3" s="1"/>
  <c r="IB115" i="3" s="1"/>
  <c r="IC115" i="3" s="1"/>
  <c r="HZ115" i="3" l="1"/>
  <c r="ID115" i="3" l="1"/>
  <c r="IA116" i="3" s="1"/>
  <c r="IB116" i="3" s="1"/>
  <c r="IC116" i="3" s="1"/>
  <c r="HZ116" i="3"/>
  <c r="IE115" i="3"/>
  <c r="IE116" i="3" l="1"/>
  <c r="ID116" i="3"/>
  <c r="IA117" i="3" s="1"/>
  <c r="IB117" i="3" s="1"/>
  <c r="IC117" i="3" s="1"/>
  <c r="HZ117" i="3" l="1"/>
  <c r="ID117" i="3"/>
  <c r="IA118" i="3" s="1"/>
  <c r="IB118" i="3" s="1"/>
  <c r="IC118" i="3" s="1"/>
  <c r="IE117" i="3"/>
  <c r="HZ118" i="3" l="1"/>
  <c r="ID118" i="3"/>
  <c r="IA119" i="3" s="1"/>
  <c r="IB119" i="3" s="1"/>
  <c r="IC119" i="3" s="1"/>
  <c r="IE118" i="3"/>
  <c r="HZ119" i="3" l="1"/>
  <c r="IE119" i="3"/>
  <c r="ID119" i="3"/>
  <c r="IA120" i="3" s="1"/>
  <c r="IB120" i="3" s="1"/>
  <c r="IC120" i="3" s="1"/>
  <c r="HZ120" i="3" l="1"/>
  <c r="IE120" i="3"/>
  <c r="ID120" i="3"/>
  <c r="IA121" i="3" s="1"/>
  <c r="IB121" i="3" s="1"/>
  <c r="IC121" i="3" s="1"/>
  <c r="HZ121" i="3" l="1"/>
  <c r="ID121" i="3" l="1"/>
  <c r="IA122" i="3" s="1"/>
  <c r="IB122" i="3" s="1"/>
  <c r="IC122" i="3" s="1"/>
  <c r="HZ122" i="3"/>
  <c r="IE121" i="3"/>
  <c r="IE122" i="3" l="1"/>
  <c r="ID122" i="3"/>
  <c r="IA123" i="3" s="1"/>
  <c r="IB123" i="3" s="1"/>
  <c r="IC123" i="3" s="1"/>
  <c r="HZ123" i="3" l="1"/>
  <c r="IE123" i="3" l="1"/>
  <c r="ID123" i="3"/>
  <c r="IA124" i="3" s="1"/>
  <c r="IB124" i="3" s="1"/>
  <c r="IC124" i="3" s="1"/>
  <c r="HZ124" i="3" l="1"/>
  <c r="IE124" i="3" l="1"/>
  <c r="ID124" i="3"/>
  <c r="IA125" i="3" s="1"/>
  <c r="IB125" i="3" s="1"/>
  <c r="IC125" i="3" s="1"/>
  <c r="HZ125" i="3"/>
  <c r="ID125" i="3" l="1"/>
  <c r="IA126" i="3" s="1"/>
  <c r="IB126" i="3" s="1"/>
  <c r="IC126" i="3" s="1"/>
  <c r="IE125" i="3"/>
  <c r="HZ126" i="3"/>
  <c r="ID126" i="3" l="1"/>
  <c r="IA127" i="3" s="1"/>
  <c r="IB127" i="3" s="1"/>
  <c r="IC127" i="3" s="1"/>
  <c r="IE126" i="3"/>
  <c r="HZ127" i="3"/>
  <c r="IE127" i="3" l="1"/>
  <c r="ID127" i="3"/>
  <c r="IA128" i="3" s="1"/>
  <c r="IB128" i="3" s="1"/>
  <c r="IC128" i="3" s="1"/>
  <c r="HZ128" i="3" l="1"/>
  <c r="IE128" i="3"/>
  <c r="ID128" i="3"/>
  <c r="IA129" i="3" s="1"/>
  <c r="IB129" i="3" s="1"/>
  <c r="IC129" i="3" s="1"/>
  <c r="HZ129" i="3" l="1"/>
  <c r="IE129" i="3"/>
  <c r="ID129" i="3"/>
  <c r="IA130" i="3" s="1"/>
  <c r="IB130" i="3" s="1"/>
  <c r="IC130" i="3" s="1"/>
  <c r="HZ130" i="3" l="1"/>
  <c r="ID130" i="3" l="1"/>
  <c r="IA131" i="3" s="1"/>
  <c r="IB131" i="3" s="1"/>
  <c r="IC131" i="3" s="1"/>
  <c r="HZ131" i="3"/>
  <c r="IE130" i="3"/>
  <c r="IE131" i="3" l="1"/>
  <c r="ID131" i="3"/>
  <c r="IA132" i="3" s="1"/>
  <c r="IB132" i="3" s="1"/>
  <c r="IC132" i="3" s="1"/>
  <c r="HZ132" i="3" l="1"/>
  <c r="IE132" i="3"/>
  <c r="ID132" i="3"/>
  <c r="IA133" i="3" s="1"/>
  <c r="IB133" i="3" s="1"/>
  <c r="IC133" i="3" s="1"/>
  <c r="HZ133" i="3" l="1"/>
  <c r="IE133" i="3"/>
  <c r="ID133" i="3"/>
  <c r="IA134" i="3" s="1"/>
  <c r="IB134" i="3" s="1"/>
  <c r="IC134" i="3" s="1"/>
  <c r="HZ134" i="3" l="1"/>
  <c r="IE134" i="3" l="1"/>
  <c r="N20" i="3" s="1"/>
  <c r="IN34" i="3"/>
  <c r="ID134" i="3"/>
  <c r="IS34" i="3" l="1"/>
  <c r="IR34" i="3"/>
  <c r="IO35" i="3" s="1"/>
  <c r="IP35" i="3" l="1"/>
  <c r="IQ35" i="3" s="1"/>
  <c r="IN35" i="3"/>
  <c r="IS35" i="3" s="1"/>
  <c r="IR35" i="3" l="1"/>
  <c r="IN36" i="3" s="1"/>
  <c r="IS36" i="3" s="1"/>
  <c r="IO36" i="3" l="1"/>
  <c r="IP36" i="3" s="1"/>
  <c r="IQ36" i="3" s="1"/>
  <c r="IR36" i="3" s="1"/>
  <c r="IN37" i="3" s="1"/>
  <c r="IS37" i="3" s="1"/>
  <c r="IO37" i="3" l="1"/>
  <c r="IP37" i="3" s="1"/>
  <c r="IQ37" i="3" s="1"/>
  <c r="IR37" i="3" s="1"/>
  <c r="IN38" i="3" s="1"/>
  <c r="IS38" i="3" s="1"/>
  <c r="IO38" i="3" l="1"/>
  <c r="IP38" i="3" l="1"/>
  <c r="IQ38" i="3" s="1"/>
  <c r="IR38" i="3" s="1"/>
  <c r="IN39" i="3" s="1"/>
  <c r="IS39" i="3" s="1"/>
  <c r="IO39" i="3" l="1"/>
  <c r="IP39" i="3"/>
  <c r="IQ39" i="3" s="1"/>
  <c r="IR39" i="3" s="1"/>
  <c r="IN40" i="3" s="1"/>
  <c r="IO40" i="3" l="1"/>
  <c r="IP40" i="3" s="1"/>
  <c r="IQ40" i="3" s="1"/>
  <c r="IS40" i="3"/>
  <c r="IR40" i="3"/>
  <c r="IO41" i="3" s="1"/>
  <c r="IP41" i="3" s="1"/>
  <c r="IQ41" i="3" s="1"/>
  <c r="IN41" i="3" l="1"/>
  <c r="IS41" i="3" l="1"/>
  <c r="IR41" i="3"/>
  <c r="IO42" i="3" s="1"/>
  <c r="IP42" i="3" s="1"/>
  <c r="IQ42" i="3" s="1"/>
  <c r="IN42" i="3"/>
  <c r="IS42" i="3" l="1"/>
  <c r="IR42" i="3"/>
  <c r="IO43" i="3" s="1"/>
  <c r="IP43" i="3" s="1"/>
  <c r="IQ43" i="3" s="1"/>
  <c r="IN43" i="3" l="1"/>
  <c r="IS43" i="3" l="1"/>
  <c r="IR43" i="3"/>
  <c r="IO44" i="3" s="1"/>
  <c r="IP44" i="3" s="1"/>
  <c r="IQ44" i="3" s="1"/>
  <c r="IN44" i="3"/>
  <c r="IS44" i="3" l="1"/>
  <c r="IR44" i="3"/>
  <c r="IO45" i="3" s="1"/>
  <c r="IP45" i="3" s="1"/>
  <c r="IQ45" i="3" s="1"/>
  <c r="IN45" i="3" l="1"/>
  <c r="IR45" i="3" l="1"/>
  <c r="IO46" i="3" s="1"/>
  <c r="IP46" i="3" s="1"/>
  <c r="IQ46" i="3" s="1"/>
  <c r="IS45" i="3"/>
  <c r="IN46" i="3" l="1"/>
  <c r="IS46" i="3"/>
  <c r="IR46" i="3"/>
  <c r="IO47" i="3" s="1"/>
  <c r="IP47" i="3" s="1"/>
  <c r="IQ47" i="3" s="1"/>
  <c r="IN47" i="3"/>
  <c r="IS47" i="3" l="1"/>
  <c r="IR47" i="3"/>
  <c r="IO48" i="3" s="1"/>
  <c r="IP48" i="3" s="1"/>
  <c r="IQ48" i="3" s="1"/>
  <c r="IN48" i="3" l="1"/>
  <c r="IR48" i="3" l="1"/>
  <c r="IO49" i="3" s="1"/>
  <c r="IP49" i="3" s="1"/>
  <c r="IQ49" i="3" s="1"/>
  <c r="IS48" i="3"/>
  <c r="IN49" i="3"/>
  <c r="IS49" i="3" l="1"/>
  <c r="IR49" i="3"/>
  <c r="IO50" i="3" s="1"/>
  <c r="IP50" i="3" s="1"/>
  <c r="IQ50" i="3" s="1"/>
  <c r="IN50" i="3" l="1"/>
  <c r="IR50" i="3"/>
  <c r="IO51" i="3" s="1"/>
  <c r="IP51" i="3" s="1"/>
  <c r="IQ51" i="3" s="1"/>
  <c r="IS50" i="3"/>
  <c r="IN51" i="3" l="1"/>
  <c r="IS51" i="3"/>
  <c r="IR51" i="3"/>
  <c r="IO52" i="3" s="1"/>
  <c r="IP52" i="3" s="1"/>
  <c r="IQ52" i="3" s="1"/>
  <c r="IN52" i="3" l="1"/>
  <c r="IR52" i="3"/>
  <c r="IO53" i="3" s="1"/>
  <c r="IP53" i="3" s="1"/>
  <c r="IQ53" i="3" s="1"/>
  <c r="IS52" i="3"/>
  <c r="IN53" i="3" l="1"/>
  <c r="IR53" i="3"/>
  <c r="IO54" i="3" s="1"/>
  <c r="IP54" i="3" s="1"/>
  <c r="IQ54" i="3" s="1"/>
  <c r="IN54" i="3" l="1"/>
  <c r="IS53" i="3"/>
  <c r="IS54" i="3"/>
  <c r="IR54" i="3"/>
  <c r="IO55" i="3" s="1"/>
  <c r="IP55" i="3" s="1"/>
  <c r="IQ55" i="3" s="1"/>
  <c r="IN55" i="3" l="1"/>
  <c r="IS55" i="3"/>
  <c r="IR55" i="3"/>
  <c r="IO56" i="3" s="1"/>
  <c r="IP56" i="3" s="1"/>
  <c r="IQ56" i="3" s="1"/>
  <c r="IN56" i="3" l="1"/>
  <c r="IR56" i="3" l="1"/>
  <c r="IO57" i="3" s="1"/>
  <c r="IP57" i="3" s="1"/>
  <c r="IQ57" i="3" s="1"/>
  <c r="IN57" i="3"/>
  <c r="IS56" i="3"/>
  <c r="IS57" i="3" l="1"/>
  <c r="IR57" i="3"/>
  <c r="IO58" i="3" s="1"/>
  <c r="IP58" i="3" s="1"/>
  <c r="IQ58" i="3" s="1"/>
  <c r="IN58" i="3" l="1"/>
  <c r="IS58" i="3" l="1"/>
  <c r="IR58" i="3"/>
  <c r="IO59" i="3" s="1"/>
  <c r="IP59" i="3" s="1"/>
  <c r="IQ59" i="3" s="1"/>
  <c r="IN59" i="3" l="1"/>
  <c r="IS59" i="3" l="1"/>
  <c r="IR59" i="3"/>
  <c r="IO60" i="3" s="1"/>
  <c r="IP60" i="3" s="1"/>
  <c r="IQ60" i="3" s="1"/>
  <c r="IN60" i="3" l="1"/>
  <c r="IR60" i="3" s="1"/>
  <c r="IO61" i="3" s="1"/>
  <c r="IP61" i="3" s="1"/>
  <c r="IQ61" i="3" s="1"/>
  <c r="IS60" i="3" l="1"/>
  <c r="IN61" i="3"/>
  <c r="IS61" i="3" s="1"/>
  <c r="IR61" i="3" l="1"/>
  <c r="IO62" i="3" l="1"/>
  <c r="IP62" i="3" s="1"/>
  <c r="IQ62" i="3" s="1"/>
  <c r="IN62" i="3"/>
  <c r="IS62" i="3" l="1"/>
  <c r="IR62" i="3"/>
  <c r="IO63" i="3" s="1"/>
  <c r="IP63" i="3" s="1"/>
  <c r="IQ63" i="3" s="1"/>
  <c r="IN63" i="3"/>
  <c r="IS63" i="3" l="1"/>
  <c r="IR63" i="3"/>
  <c r="IO64" i="3" s="1"/>
  <c r="IP64" i="3" s="1"/>
  <c r="IQ64" i="3" s="1"/>
  <c r="IN64" i="3" l="1"/>
  <c r="IS64" i="3" l="1"/>
  <c r="IR64" i="3"/>
  <c r="IO65" i="3" s="1"/>
  <c r="IP65" i="3" s="1"/>
  <c r="IQ65" i="3" s="1"/>
  <c r="IN65" i="3" l="1"/>
  <c r="IS65" i="3"/>
  <c r="IR65" i="3"/>
  <c r="IO66" i="3" s="1"/>
  <c r="IP66" i="3" s="1"/>
  <c r="IQ66" i="3" s="1"/>
  <c r="IN66" i="3"/>
  <c r="IS66" i="3" l="1"/>
  <c r="IR66" i="3"/>
  <c r="IO67" i="3" s="1"/>
  <c r="IP67" i="3" s="1"/>
  <c r="IQ67" i="3" s="1"/>
  <c r="IN67" i="3"/>
  <c r="IR67" i="3" l="1"/>
  <c r="IO68" i="3" s="1"/>
  <c r="IP68" i="3" s="1"/>
  <c r="IQ68" i="3" s="1"/>
  <c r="IS67" i="3"/>
  <c r="IN68" i="3"/>
  <c r="IR68" i="3" l="1"/>
  <c r="IO69" i="3" s="1"/>
  <c r="IP69" i="3" s="1"/>
  <c r="IQ69" i="3" s="1"/>
  <c r="IS68" i="3"/>
  <c r="IN69" i="3"/>
  <c r="IR69" i="3" l="1"/>
  <c r="IO70" i="3" s="1"/>
  <c r="IP70" i="3" s="1"/>
  <c r="IQ70" i="3" s="1"/>
  <c r="IN70" i="3"/>
  <c r="IS69" i="3"/>
  <c r="IR70" i="3" l="1"/>
  <c r="IO71" i="3" s="1"/>
  <c r="IP71" i="3" s="1"/>
  <c r="IQ71" i="3" s="1"/>
  <c r="IS70" i="3"/>
  <c r="IN71" i="3"/>
  <c r="IS71" i="3" l="1"/>
  <c r="IR71" i="3"/>
  <c r="IO72" i="3" l="1"/>
  <c r="IP72" i="3" s="1"/>
  <c r="IQ72" i="3" s="1"/>
  <c r="IN72" i="3"/>
  <c r="IS72" i="3" l="1"/>
  <c r="IR72" i="3"/>
  <c r="IO73" i="3" s="1"/>
  <c r="IP73" i="3" s="1"/>
  <c r="IQ73" i="3" s="1"/>
  <c r="IN73" i="3"/>
  <c r="IS73" i="3" l="1"/>
  <c r="IR73" i="3"/>
  <c r="IO74" i="3" s="1"/>
  <c r="IP74" i="3" s="1"/>
  <c r="IQ74" i="3" s="1"/>
  <c r="IN74" i="3"/>
  <c r="IS74" i="3" l="1"/>
  <c r="IR74" i="3"/>
  <c r="IO75" i="3" s="1"/>
  <c r="IP75" i="3" s="1"/>
  <c r="IQ75" i="3" s="1"/>
  <c r="IN75" i="3" l="1"/>
  <c r="IR75" i="3"/>
  <c r="IS75" i="3"/>
  <c r="IO76" i="3" l="1"/>
  <c r="IP76" i="3" s="1"/>
  <c r="IQ76" i="3" s="1"/>
  <c r="IN76" i="3"/>
  <c r="IS76" i="3" l="1"/>
  <c r="IR76" i="3"/>
  <c r="IO77" i="3" s="1"/>
  <c r="IP77" i="3" s="1"/>
  <c r="IQ77" i="3" s="1"/>
  <c r="IN77" i="3"/>
  <c r="IS77" i="3" l="1"/>
  <c r="IR77" i="3"/>
  <c r="IO78" i="3" s="1"/>
  <c r="IP78" i="3" s="1"/>
  <c r="IQ78" i="3" s="1"/>
  <c r="IN78" i="3" l="1"/>
  <c r="IR78" i="3" l="1"/>
  <c r="IO79" i="3" s="1"/>
  <c r="IP79" i="3" s="1"/>
  <c r="IQ79" i="3" s="1"/>
  <c r="IS78" i="3"/>
  <c r="IN79" i="3"/>
  <c r="IS79" i="3" l="1"/>
  <c r="IR79" i="3"/>
  <c r="IO80" i="3" s="1"/>
  <c r="IP80" i="3" s="1"/>
  <c r="IQ80" i="3" s="1"/>
  <c r="IN80" i="3" l="1"/>
  <c r="IR80" i="3"/>
  <c r="IO81" i="3" s="1"/>
  <c r="IP81" i="3" s="1"/>
  <c r="IQ81" i="3" s="1"/>
  <c r="IS80" i="3"/>
  <c r="IN81" i="3" l="1"/>
  <c r="IR81" i="3" l="1"/>
  <c r="IO82" i="3" s="1"/>
  <c r="IP82" i="3" s="1"/>
  <c r="IQ82" i="3" s="1"/>
  <c r="IS81" i="3"/>
  <c r="IN82" i="3"/>
  <c r="IS82" i="3" l="1"/>
  <c r="IR82" i="3"/>
  <c r="IO83" i="3" s="1"/>
  <c r="IP83" i="3" s="1"/>
  <c r="IQ83" i="3" s="1"/>
  <c r="IN83" i="3"/>
  <c r="IS83" i="3" l="1"/>
  <c r="IR83" i="3"/>
  <c r="IO84" i="3" s="1"/>
  <c r="IP84" i="3" s="1"/>
  <c r="IQ84" i="3" s="1"/>
  <c r="IN84" i="3"/>
  <c r="IS84" i="3" l="1"/>
  <c r="IR84" i="3"/>
  <c r="IO85" i="3" s="1"/>
  <c r="IP85" i="3" s="1"/>
  <c r="IQ85" i="3" s="1"/>
  <c r="IN85" i="3"/>
  <c r="IS85" i="3" l="1"/>
  <c r="IR85" i="3"/>
  <c r="IO86" i="3" s="1"/>
  <c r="IP86" i="3" s="1"/>
  <c r="IQ86" i="3" s="1"/>
  <c r="IN86" i="3" l="1"/>
  <c r="IS86" i="3"/>
  <c r="IR86" i="3"/>
  <c r="IO87" i="3" s="1"/>
  <c r="IP87" i="3" s="1"/>
  <c r="IQ87" i="3" s="1"/>
  <c r="IN87" i="3" l="1"/>
  <c r="IR87" i="3"/>
  <c r="IO88" i="3" s="1"/>
  <c r="IP88" i="3" s="1"/>
  <c r="IQ88" i="3" s="1"/>
  <c r="IS87" i="3"/>
  <c r="IN88" i="3"/>
  <c r="IR88" i="3" l="1"/>
  <c r="IO89" i="3" s="1"/>
  <c r="IP89" i="3" s="1"/>
  <c r="IQ89" i="3" s="1"/>
  <c r="IS88" i="3"/>
  <c r="IN89" i="3" l="1"/>
  <c r="IS89" i="3" l="1"/>
  <c r="IR89" i="3"/>
  <c r="IO90" i="3" s="1"/>
  <c r="IP90" i="3" s="1"/>
  <c r="IQ90" i="3" s="1"/>
  <c r="IN90" i="3"/>
  <c r="IS90" i="3" l="1"/>
  <c r="IR90" i="3"/>
  <c r="IO91" i="3" s="1"/>
  <c r="IP91" i="3" s="1"/>
  <c r="IQ91" i="3" s="1"/>
  <c r="IN91" i="3" l="1"/>
  <c r="IS91" i="3" l="1"/>
  <c r="IR91" i="3"/>
  <c r="IO92" i="3" s="1"/>
  <c r="IP92" i="3" s="1"/>
  <c r="IQ92" i="3" s="1"/>
  <c r="IN92" i="3" l="1"/>
  <c r="IS92" i="3"/>
  <c r="IR92" i="3"/>
  <c r="IO93" i="3" s="1"/>
  <c r="IP93" i="3" s="1"/>
  <c r="IQ93" i="3" s="1"/>
  <c r="IN93" i="3" l="1"/>
  <c r="IR93" i="3" l="1"/>
  <c r="IO94" i="3" s="1"/>
  <c r="IP94" i="3" s="1"/>
  <c r="IQ94" i="3" s="1"/>
  <c r="IS93" i="3"/>
  <c r="IN94" i="3" l="1"/>
  <c r="IS94" i="3"/>
  <c r="IR94" i="3"/>
  <c r="IO95" i="3" s="1"/>
  <c r="IP95" i="3" s="1"/>
  <c r="IQ95" i="3" s="1"/>
  <c r="IN95" i="3" l="1"/>
  <c r="IS95" i="3"/>
  <c r="IR95" i="3"/>
  <c r="IO96" i="3" s="1"/>
  <c r="IP96" i="3" s="1"/>
  <c r="IQ96" i="3" s="1"/>
  <c r="IN96" i="3" l="1"/>
  <c r="IR96" i="3"/>
  <c r="IO97" i="3" s="1"/>
  <c r="IS96" i="3"/>
  <c r="IN97" i="3"/>
  <c r="IS97" i="3" l="1"/>
  <c r="IP97" i="3"/>
  <c r="IQ97" i="3" s="1"/>
  <c r="IR97" i="3" s="1"/>
  <c r="IN98" i="3" s="1"/>
  <c r="IS98" i="3" s="1"/>
  <c r="IO98" i="3" l="1"/>
  <c r="IP98" i="3" l="1"/>
  <c r="IQ98" i="3" s="1"/>
  <c r="IR98" i="3" s="1"/>
  <c r="IN99" i="3" s="1"/>
  <c r="IS99" i="3" s="1"/>
  <c r="IO99" i="3" l="1"/>
  <c r="IP99" i="3"/>
  <c r="IQ99" i="3" s="1"/>
  <c r="IR99" i="3" s="1"/>
  <c r="IN100" i="3" s="1"/>
  <c r="IS100" i="3" s="1"/>
  <c r="IO100" i="3" l="1"/>
  <c r="IP100" i="3"/>
  <c r="IQ100" i="3" s="1"/>
  <c r="IR100" i="3" s="1"/>
  <c r="IN101" i="3" s="1"/>
  <c r="IS101" i="3" s="1"/>
  <c r="IO101" i="3" l="1"/>
  <c r="IP101" i="3" s="1"/>
  <c r="IQ101" i="3" s="1"/>
  <c r="IR101" i="3" s="1"/>
  <c r="IN102" i="3" s="1"/>
  <c r="IS102" i="3" s="1"/>
  <c r="IO102" i="3" l="1"/>
  <c r="IP102" i="3" l="1"/>
  <c r="IQ102" i="3" s="1"/>
  <c r="IR102" i="3" s="1"/>
  <c r="IN103" i="3" s="1"/>
  <c r="IO103" i="3"/>
  <c r="IP103" i="3" l="1"/>
  <c r="IQ103" i="3" s="1"/>
  <c r="IR103" i="3" s="1"/>
  <c r="IO104" i="3" s="1"/>
  <c r="IS103" i="3"/>
  <c r="IN104" i="3"/>
  <c r="IS104" i="3" s="1"/>
  <c r="IP104" i="3" l="1"/>
  <c r="IQ104" i="3" s="1"/>
  <c r="IR104" i="3" s="1"/>
  <c r="IN105" i="3" s="1"/>
  <c r="IS105" i="3" s="1"/>
  <c r="IO105" i="3" l="1"/>
  <c r="IP105" i="3" l="1"/>
  <c r="IQ105" i="3" s="1"/>
  <c r="IR105" i="3" s="1"/>
  <c r="IN106" i="3" s="1"/>
  <c r="IS106" i="3" s="1"/>
  <c r="IO106" i="3"/>
  <c r="IP106" i="3" l="1"/>
  <c r="IQ106" i="3" s="1"/>
  <c r="IR106" i="3" s="1"/>
  <c r="IN107" i="3" s="1"/>
  <c r="IS107" i="3" s="1"/>
  <c r="IO107" i="3" l="1"/>
  <c r="IP107" i="3" l="1"/>
  <c r="IQ107" i="3" s="1"/>
  <c r="IR107" i="3" s="1"/>
  <c r="IN108" i="3" s="1"/>
  <c r="IS108" i="3" s="1"/>
  <c r="IO108" i="3" l="1"/>
  <c r="IP108" i="3" l="1"/>
  <c r="IQ108" i="3" s="1"/>
  <c r="IR108" i="3" s="1"/>
  <c r="IN109" i="3" s="1"/>
  <c r="IS109" i="3" s="1"/>
  <c r="IO109" i="3" l="1"/>
  <c r="IP109" i="3" l="1"/>
  <c r="IQ109" i="3" s="1"/>
  <c r="IR109" i="3" s="1"/>
  <c r="IN110" i="3" s="1"/>
  <c r="IS110" i="3" s="1"/>
  <c r="IO110" i="3"/>
  <c r="IP110" i="3" l="1"/>
  <c r="IQ110" i="3" s="1"/>
  <c r="IR110" i="3" s="1"/>
  <c r="IN111" i="3" s="1"/>
  <c r="IO111" i="3"/>
  <c r="IP111" i="3" s="1"/>
  <c r="IQ111" i="3" s="1"/>
  <c r="IS111" i="3" l="1"/>
  <c r="IR111" i="3"/>
  <c r="IO112" i="3" s="1"/>
  <c r="IP112" i="3" s="1"/>
  <c r="IQ112" i="3" s="1"/>
  <c r="IN112" i="3"/>
  <c r="IR112" i="3" l="1"/>
  <c r="IO113" i="3" s="1"/>
  <c r="IP113" i="3" s="1"/>
  <c r="IQ113" i="3" s="1"/>
  <c r="IN113" i="3"/>
  <c r="IS112" i="3"/>
  <c r="IS113" i="3" l="1"/>
  <c r="IR113" i="3"/>
  <c r="IO114" i="3" s="1"/>
  <c r="IP114" i="3" s="1"/>
  <c r="IQ114" i="3" s="1"/>
  <c r="IN114" i="3"/>
  <c r="IS114" i="3" l="1"/>
  <c r="IR114" i="3"/>
  <c r="IO115" i="3" s="1"/>
  <c r="IP115" i="3" s="1"/>
  <c r="IQ115" i="3" s="1"/>
  <c r="IN115" i="3"/>
  <c r="IR115" i="3" l="1"/>
  <c r="IS115" i="3"/>
  <c r="IO116" i="3" l="1"/>
  <c r="IP116" i="3" s="1"/>
  <c r="IQ116" i="3" s="1"/>
  <c r="IN116" i="3"/>
  <c r="IR116" i="3" l="1"/>
  <c r="IO117" i="3" s="1"/>
  <c r="IP117" i="3" s="1"/>
  <c r="IQ117" i="3" s="1"/>
  <c r="IS116" i="3"/>
  <c r="IN117" i="3"/>
  <c r="IR117" i="3" l="1"/>
  <c r="IO118" i="3" s="1"/>
  <c r="IP118" i="3" s="1"/>
  <c r="IQ118" i="3" s="1"/>
  <c r="IS117" i="3"/>
  <c r="IN118" i="3"/>
  <c r="IR118" i="3" l="1"/>
  <c r="IO119" i="3" s="1"/>
  <c r="IP119" i="3" s="1"/>
  <c r="IQ119" i="3" s="1"/>
  <c r="IS118" i="3"/>
  <c r="IN119" i="3" l="1"/>
  <c r="IR119" i="3"/>
  <c r="IO120" i="3" s="1"/>
  <c r="IP120" i="3" s="1"/>
  <c r="IQ120" i="3" s="1"/>
  <c r="IN120" i="3"/>
  <c r="IS119" i="3"/>
  <c r="IS120" i="3" l="1"/>
  <c r="IR120" i="3"/>
  <c r="IO121" i="3" l="1"/>
  <c r="IP121" i="3" s="1"/>
  <c r="IQ121" i="3" s="1"/>
  <c r="IN121" i="3"/>
  <c r="IS121" i="3" l="1"/>
  <c r="IR121" i="3"/>
  <c r="IO122" i="3" s="1"/>
  <c r="IP122" i="3" s="1"/>
  <c r="IQ122" i="3" s="1"/>
  <c r="IN122" i="3"/>
  <c r="IR122" i="3" l="1"/>
  <c r="IS122" i="3"/>
  <c r="IO123" i="3" l="1"/>
  <c r="IP123" i="3" s="1"/>
  <c r="IQ123" i="3" s="1"/>
  <c r="IN123" i="3"/>
  <c r="IR123" i="3" l="1"/>
  <c r="IO124" i="3" s="1"/>
  <c r="IP124" i="3" s="1"/>
  <c r="IQ124" i="3" s="1"/>
  <c r="IN124" i="3"/>
  <c r="IS123" i="3"/>
  <c r="IR124" i="3" l="1"/>
  <c r="IO125" i="3" s="1"/>
  <c r="IP125" i="3" s="1"/>
  <c r="IQ125" i="3" s="1"/>
  <c r="IS124" i="3"/>
  <c r="IN125" i="3"/>
  <c r="IR125" i="3" l="1"/>
  <c r="IO126" i="3" s="1"/>
  <c r="IP126" i="3" s="1"/>
  <c r="IQ126" i="3" s="1"/>
  <c r="IS125" i="3"/>
  <c r="IN126" i="3"/>
  <c r="IS126" i="3" l="1"/>
  <c r="IR126" i="3"/>
  <c r="IO127" i="3" s="1"/>
  <c r="IP127" i="3" s="1"/>
  <c r="IQ127" i="3" s="1"/>
  <c r="IN127" i="3" l="1"/>
  <c r="IR127" i="3" l="1"/>
  <c r="IO128" i="3" s="1"/>
  <c r="IP128" i="3" s="1"/>
  <c r="IQ128" i="3" s="1"/>
  <c r="IS127" i="3"/>
  <c r="IN128" i="3"/>
  <c r="IS128" i="3" l="1"/>
  <c r="IR128" i="3"/>
  <c r="IO129" i="3" s="1"/>
  <c r="IP129" i="3" s="1"/>
  <c r="IQ129" i="3" s="1"/>
  <c r="IN129" i="3" l="1"/>
  <c r="IS129" i="3" l="1"/>
  <c r="IR129" i="3"/>
  <c r="IO130" i="3" s="1"/>
  <c r="IP130" i="3" s="1"/>
  <c r="IQ130" i="3" s="1"/>
  <c r="IN130" i="3"/>
  <c r="IR130" i="3" l="1"/>
  <c r="IO131" i="3" s="1"/>
  <c r="IP131" i="3" s="1"/>
  <c r="IQ131" i="3" s="1"/>
  <c r="IS130" i="3"/>
  <c r="IN131" i="3"/>
  <c r="IS131" i="3" l="1"/>
  <c r="IR131" i="3"/>
  <c r="IO132" i="3" l="1"/>
  <c r="IP132" i="3" s="1"/>
  <c r="IQ132" i="3" s="1"/>
  <c r="IN132" i="3"/>
  <c r="IS132" i="3" l="1"/>
  <c r="IR132" i="3"/>
  <c r="IO133" i="3" s="1"/>
  <c r="IP133" i="3" s="1"/>
  <c r="IQ133" i="3" s="1"/>
  <c r="IN133" i="3"/>
  <c r="IR133" i="3" s="1"/>
  <c r="IO134" i="3" s="1"/>
  <c r="IP134" i="3" s="1"/>
  <c r="IQ134" i="3" s="1"/>
  <c r="IS133" i="3"/>
  <c r="IN134" i="3" l="1"/>
  <c r="IR134" i="3"/>
  <c r="IS134" i="3" l="1"/>
  <c r="N21" i="3" s="1"/>
  <c r="JB34" i="3"/>
  <c r="JG34" i="3" l="1"/>
  <c r="JF34" i="3"/>
  <c r="JC35" i="3" l="1"/>
  <c r="JD35" i="3" s="1"/>
  <c r="JE35" i="3" s="1"/>
  <c r="JB35" i="3"/>
  <c r="JG35" i="3" l="1"/>
  <c r="JF35" i="3"/>
  <c r="JB36" i="3" l="1"/>
  <c r="JG36" i="3" s="1"/>
  <c r="JC36" i="3"/>
  <c r="JD36" i="3" s="1"/>
  <c r="JE36" i="3" s="1"/>
  <c r="JF36" i="3" s="1"/>
  <c r="JC37" i="3" s="1"/>
  <c r="JD37" i="3" s="1"/>
  <c r="JE37" i="3" s="1"/>
  <c r="JB37" i="3" l="1"/>
  <c r="JG37" i="3" s="1"/>
  <c r="JF37" i="3"/>
  <c r="JC38" i="3" l="1"/>
  <c r="JD38" i="3" s="1"/>
  <c r="JE38" i="3" s="1"/>
  <c r="JB38" i="3"/>
  <c r="JF38" i="3" l="1"/>
  <c r="JC39" i="3" s="1"/>
  <c r="JD39" i="3" s="1"/>
  <c r="JE39" i="3" s="1"/>
  <c r="JG38" i="3"/>
  <c r="JB39" i="3" l="1"/>
  <c r="JG39" i="3" l="1"/>
  <c r="JF39" i="3"/>
  <c r="JC40" i="3" s="1"/>
  <c r="JD40" i="3" s="1"/>
  <c r="JE40" i="3" s="1"/>
  <c r="JB40" i="3"/>
  <c r="JF40" i="3" l="1"/>
  <c r="JC41" i="3" s="1"/>
  <c r="JD41" i="3" s="1"/>
  <c r="JE41" i="3" s="1"/>
  <c r="JG40" i="3"/>
  <c r="JB41" i="3" l="1"/>
  <c r="JF41" i="3" l="1"/>
  <c r="JC42" i="3" s="1"/>
  <c r="JD42" i="3" s="1"/>
  <c r="JE42" i="3" s="1"/>
  <c r="JB42" i="3"/>
  <c r="JG41" i="3"/>
  <c r="JG42" i="3" l="1"/>
  <c r="JF42" i="3"/>
  <c r="JC43" i="3" s="1"/>
  <c r="JD43" i="3" s="1"/>
  <c r="JE43" i="3" s="1"/>
  <c r="JB43" i="3"/>
  <c r="JG43" i="3" l="1"/>
  <c r="JF43" i="3"/>
  <c r="JC44" i="3" s="1"/>
  <c r="JD44" i="3" s="1"/>
  <c r="JE44" i="3" s="1"/>
  <c r="JB44" i="3"/>
  <c r="JF44" i="3" l="1"/>
  <c r="JC45" i="3" s="1"/>
  <c r="JD45" i="3" s="1"/>
  <c r="JE45" i="3" s="1"/>
  <c r="JG44" i="3"/>
  <c r="JB45" i="3"/>
  <c r="JF45" i="3" l="1"/>
  <c r="JC46" i="3" s="1"/>
  <c r="JD46" i="3" s="1"/>
  <c r="JE46" i="3" s="1"/>
  <c r="JB46" i="3"/>
  <c r="JG45" i="3"/>
  <c r="JG46" i="3" l="1"/>
  <c r="JF46" i="3"/>
  <c r="JC47" i="3" s="1"/>
  <c r="JD47" i="3" s="1"/>
  <c r="JE47" i="3" s="1"/>
  <c r="JB47" i="3"/>
  <c r="JG47" i="3" l="1"/>
  <c r="JF47" i="3"/>
  <c r="JC48" i="3" l="1"/>
  <c r="JD48" i="3" s="1"/>
  <c r="JE48" i="3" s="1"/>
  <c r="JB48" i="3"/>
  <c r="JG48" i="3" l="1"/>
  <c r="JF48" i="3"/>
  <c r="JC49" i="3" l="1"/>
  <c r="JD49" i="3" s="1"/>
  <c r="JE49" i="3" s="1"/>
  <c r="JB49" i="3"/>
  <c r="JG49" i="3" l="1"/>
  <c r="JF49" i="3"/>
  <c r="JC50" i="3" s="1"/>
  <c r="JD50" i="3" s="1"/>
  <c r="JE50" i="3" s="1"/>
  <c r="JB50" i="3"/>
  <c r="JF50" i="3" l="1"/>
  <c r="JC51" i="3" s="1"/>
  <c r="JD51" i="3" s="1"/>
  <c r="JE51" i="3" s="1"/>
  <c r="JG50" i="3"/>
  <c r="JB51" i="3"/>
  <c r="JG51" i="3" l="1"/>
  <c r="JF51" i="3"/>
  <c r="JC52" i="3" s="1"/>
  <c r="JD52" i="3" s="1"/>
  <c r="JE52" i="3" s="1"/>
  <c r="JB52" i="3"/>
  <c r="JG52" i="3" l="1"/>
  <c r="JF52" i="3"/>
  <c r="JC53" i="3" l="1"/>
  <c r="JD53" i="3" s="1"/>
  <c r="JE53" i="3" s="1"/>
  <c r="JB53" i="3"/>
  <c r="JG53" i="3" l="1"/>
  <c r="JF53" i="3"/>
  <c r="JC54" i="3" l="1"/>
  <c r="JD54" i="3" s="1"/>
  <c r="JE54" i="3" s="1"/>
  <c r="JB54" i="3"/>
  <c r="JG54" i="3" l="1"/>
  <c r="JF54" i="3"/>
  <c r="JC55" i="3" s="1"/>
  <c r="JD55" i="3" s="1"/>
  <c r="JE55" i="3" s="1"/>
  <c r="JB55" i="3"/>
  <c r="JG55" i="3" l="1"/>
  <c r="JF55" i="3"/>
  <c r="JC56" i="3" s="1"/>
  <c r="JD56" i="3" s="1"/>
  <c r="JE56" i="3" s="1"/>
  <c r="JB56" i="3"/>
  <c r="JG56" i="3" l="1"/>
  <c r="JF56" i="3"/>
  <c r="JC57" i="3" s="1"/>
  <c r="JD57" i="3" s="1"/>
  <c r="JE57" i="3" s="1"/>
  <c r="JB57" i="3"/>
  <c r="JG57" i="3" l="1"/>
  <c r="JF57" i="3"/>
  <c r="JC58" i="3" s="1"/>
  <c r="JD58" i="3" s="1"/>
  <c r="JE58" i="3" s="1"/>
  <c r="JB58" i="3"/>
  <c r="JG58" i="3" l="1"/>
  <c r="JF58" i="3"/>
  <c r="JC59" i="3" s="1"/>
  <c r="JD59" i="3" s="1"/>
  <c r="JE59" i="3" s="1"/>
  <c r="JB59" i="3" l="1"/>
  <c r="JF59" i="3"/>
  <c r="JC60" i="3" s="1"/>
  <c r="JD60" i="3" s="1"/>
  <c r="JE60" i="3" s="1"/>
  <c r="JB60" i="3"/>
  <c r="JG59" i="3"/>
  <c r="JG60" i="3" l="1"/>
  <c r="JF60" i="3"/>
  <c r="JC61" i="3" s="1"/>
  <c r="JD61" i="3" s="1"/>
  <c r="JE61" i="3" s="1"/>
  <c r="JB61" i="3"/>
  <c r="JG61" i="3" l="1"/>
  <c r="JF61" i="3"/>
  <c r="JC62" i="3" s="1"/>
  <c r="JD62" i="3" s="1"/>
  <c r="JE62" i="3" s="1"/>
  <c r="JB62" i="3"/>
  <c r="JG62" i="3" l="1"/>
  <c r="JF62" i="3"/>
  <c r="JC63" i="3" s="1"/>
  <c r="JD63" i="3" s="1"/>
  <c r="JE63" i="3" s="1"/>
  <c r="JB63" i="3"/>
  <c r="JG63" i="3" l="1"/>
  <c r="JF63" i="3"/>
  <c r="JC64" i="3" l="1"/>
  <c r="JD64" i="3" s="1"/>
  <c r="JE64" i="3" s="1"/>
  <c r="JB64" i="3"/>
  <c r="JG64" i="3" l="1"/>
  <c r="JF64" i="3"/>
  <c r="JC65" i="3" s="1"/>
  <c r="JD65" i="3" s="1"/>
  <c r="JE65" i="3" s="1"/>
  <c r="JB65" i="3"/>
  <c r="JG65" i="3" l="1"/>
  <c r="JF65" i="3"/>
  <c r="JC66" i="3" s="1"/>
  <c r="JD66" i="3" s="1"/>
  <c r="JE66" i="3" s="1"/>
  <c r="JB66" i="3" l="1"/>
  <c r="JG66" i="3"/>
  <c r="JF66" i="3"/>
  <c r="JC67" i="3" s="1"/>
  <c r="JD67" i="3" s="1"/>
  <c r="JE67" i="3" s="1"/>
  <c r="JB67" i="3"/>
  <c r="JG67" i="3" l="1"/>
  <c r="JF67" i="3"/>
  <c r="JC68" i="3" s="1"/>
  <c r="JD68" i="3" s="1"/>
  <c r="JE68" i="3" s="1"/>
  <c r="JB68" i="3"/>
  <c r="JG68" i="3" l="1"/>
  <c r="JF68" i="3"/>
  <c r="JC69" i="3" s="1"/>
  <c r="JD69" i="3" s="1"/>
  <c r="JE69" i="3" s="1"/>
  <c r="JB69" i="3"/>
  <c r="JG69" i="3" l="1"/>
  <c r="JF69" i="3"/>
  <c r="JC70" i="3" s="1"/>
  <c r="JD70" i="3" s="1"/>
  <c r="JE70" i="3" s="1"/>
  <c r="JB70" i="3"/>
  <c r="JG70" i="3" l="1"/>
  <c r="JF70" i="3"/>
  <c r="JC71" i="3" s="1"/>
  <c r="JD71" i="3" s="1"/>
  <c r="JE71" i="3" s="1"/>
  <c r="JB71" i="3"/>
  <c r="JG71" i="3" l="1"/>
  <c r="JF71" i="3"/>
  <c r="JC72" i="3" s="1"/>
  <c r="JB72" i="3"/>
  <c r="JG72" i="3" l="1"/>
  <c r="JD72" i="3"/>
  <c r="JE72" i="3" s="1"/>
  <c r="JF72" i="3" s="1"/>
  <c r="JB73" i="3" s="1"/>
  <c r="JC73" i="3" l="1"/>
  <c r="JD73" i="3" s="1"/>
  <c r="JE73" i="3" s="1"/>
  <c r="JG73" i="3"/>
  <c r="JF73" i="3"/>
  <c r="JC74" i="3" s="1"/>
  <c r="JD74" i="3" s="1"/>
  <c r="JE74" i="3" s="1"/>
  <c r="JB74" i="3" l="1"/>
  <c r="JG74" i="3" l="1"/>
  <c r="JF74" i="3"/>
  <c r="JC75" i="3" s="1"/>
  <c r="JD75" i="3" s="1"/>
  <c r="JE75" i="3" s="1"/>
  <c r="JB75" i="3"/>
  <c r="JF75" i="3" l="1"/>
  <c r="JC76" i="3" s="1"/>
  <c r="JD76" i="3" s="1"/>
  <c r="JE76" i="3" s="1"/>
  <c r="JG75" i="3"/>
  <c r="JB76" i="3"/>
  <c r="JG76" i="3" l="1"/>
  <c r="JF76" i="3"/>
  <c r="JC77" i="3" s="1"/>
  <c r="JD77" i="3" s="1"/>
  <c r="JE77" i="3" s="1"/>
  <c r="JB77" i="3"/>
  <c r="JG77" i="3" l="1"/>
  <c r="JF77" i="3"/>
  <c r="JC78" i="3" s="1"/>
  <c r="JD78" i="3" s="1"/>
  <c r="JE78" i="3" s="1"/>
  <c r="JB78" i="3" l="1"/>
  <c r="JG78" i="3" s="1"/>
  <c r="JF78" i="3" l="1"/>
  <c r="JC79" i="3" s="1"/>
  <c r="JD79" i="3" s="1"/>
  <c r="JE79" i="3" s="1"/>
  <c r="JB79" i="3" l="1"/>
  <c r="JF79" i="3" l="1"/>
  <c r="JG79" i="3"/>
  <c r="JC80" i="3" l="1"/>
  <c r="JD80" i="3" s="1"/>
  <c r="JE80" i="3" s="1"/>
  <c r="JB80" i="3"/>
  <c r="JF80" i="3" l="1"/>
  <c r="JC81" i="3" s="1"/>
  <c r="JD81" i="3" s="1"/>
  <c r="JE81" i="3" s="1"/>
  <c r="JB81" i="3"/>
  <c r="JG80" i="3"/>
  <c r="JG81" i="3" l="1"/>
  <c r="JF81" i="3"/>
  <c r="JC82" i="3" s="1"/>
  <c r="JD82" i="3" s="1"/>
  <c r="JE82" i="3" s="1"/>
  <c r="JB82" i="3" l="1"/>
  <c r="JF82" i="3" l="1"/>
  <c r="JC83" i="3" s="1"/>
  <c r="JD83" i="3" s="1"/>
  <c r="JE83" i="3" s="1"/>
  <c r="JG82" i="3"/>
  <c r="JB83" i="3"/>
  <c r="JF83" i="3" l="1"/>
  <c r="JC84" i="3" s="1"/>
  <c r="JD84" i="3" s="1"/>
  <c r="JE84" i="3" s="1"/>
  <c r="JB84" i="3"/>
  <c r="JG83" i="3"/>
  <c r="JG84" i="3" l="1"/>
  <c r="JF84" i="3"/>
  <c r="JC85" i="3" s="1"/>
  <c r="JB85" i="3" l="1"/>
  <c r="JG85" i="3" s="1"/>
  <c r="JD85" i="3"/>
  <c r="JE85" i="3" s="1"/>
  <c r="JF85" i="3" s="1"/>
  <c r="JB86" i="3" s="1"/>
  <c r="JG86" i="3" l="1"/>
  <c r="JC86" i="3"/>
  <c r="JD86" i="3" s="1"/>
  <c r="JE86" i="3" s="1"/>
  <c r="JF86" i="3" s="1"/>
  <c r="JC87" i="3" l="1"/>
  <c r="JB87" i="3"/>
  <c r="JG87" i="3" l="1"/>
  <c r="JD87" i="3"/>
  <c r="JE87" i="3" s="1"/>
  <c r="JF87" i="3" s="1"/>
  <c r="JB88" i="3" l="1"/>
  <c r="JC88" i="3"/>
  <c r="JD88" i="3" s="1"/>
  <c r="JE88" i="3" s="1"/>
  <c r="JF88" i="3" l="1"/>
  <c r="JC89" i="3" s="1"/>
  <c r="JG88" i="3"/>
  <c r="JB89" i="3"/>
  <c r="JG89" i="3" s="1"/>
  <c r="JD89" i="3" l="1"/>
  <c r="JE89" i="3" s="1"/>
  <c r="JF89" i="3" s="1"/>
  <c r="JB90" i="3" s="1"/>
  <c r="JC90" i="3" l="1"/>
  <c r="JD90" i="3" s="1"/>
  <c r="JE90" i="3" s="1"/>
  <c r="JG90" i="3"/>
  <c r="JF90" i="3"/>
  <c r="JC91" i="3" s="1"/>
  <c r="JD91" i="3" s="1"/>
  <c r="JE91" i="3" s="1"/>
  <c r="JB91" i="3"/>
  <c r="JF91" i="3" l="1"/>
  <c r="JC92" i="3" s="1"/>
  <c r="JD92" i="3" s="1"/>
  <c r="JE92" i="3" s="1"/>
  <c r="JG91" i="3"/>
  <c r="JB92" i="3"/>
  <c r="JG92" i="3" l="1"/>
  <c r="JF92" i="3"/>
  <c r="JC93" i="3" s="1"/>
  <c r="JD93" i="3" s="1"/>
  <c r="JE93" i="3" s="1"/>
  <c r="JB93" i="3" l="1"/>
  <c r="JF93" i="3" l="1"/>
  <c r="JC94" i="3" s="1"/>
  <c r="JD94" i="3" s="1"/>
  <c r="JE94" i="3" s="1"/>
  <c r="JG93" i="3"/>
  <c r="JB94" i="3"/>
  <c r="JG94" i="3" l="1"/>
  <c r="JF94" i="3"/>
  <c r="JC95" i="3" s="1"/>
  <c r="JD95" i="3" s="1"/>
  <c r="JE95" i="3" s="1"/>
  <c r="JB95" i="3" l="1"/>
  <c r="JF95" i="3" l="1"/>
  <c r="JC96" i="3" s="1"/>
  <c r="JD96" i="3" s="1"/>
  <c r="JE96" i="3" s="1"/>
  <c r="JB96" i="3"/>
  <c r="JG95" i="3"/>
  <c r="JF96" i="3" l="1"/>
  <c r="JC97" i="3" s="1"/>
  <c r="JB97" i="3"/>
  <c r="JG96" i="3"/>
  <c r="JG97" i="3" l="1"/>
  <c r="JD97" i="3"/>
  <c r="JE97" i="3" s="1"/>
  <c r="JF97" i="3" s="1"/>
  <c r="JB98" i="3" l="1"/>
  <c r="JC98" i="3"/>
  <c r="JD98" i="3" s="1"/>
  <c r="JE98" i="3" s="1"/>
  <c r="JG98" i="3" l="1"/>
  <c r="JF98" i="3"/>
  <c r="JC99" i="3" s="1"/>
  <c r="JD99" i="3" s="1"/>
  <c r="JE99" i="3" s="1"/>
  <c r="JB99" i="3" l="1"/>
  <c r="JG99" i="3" l="1"/>
  <c r="JF99" i="3"/>
  <c r="JC100" i="3" s="1"/>
  <c r="JB100" i="3" l="1"/>
  <c r="JD100" i="3"/>
  <c r="JE100" i="3" s="1"/>
  <c r="JG100" i="3" l="1"/>
  <c r="JF100" i="3"/>
  <c r="JC101" i="3" s="1"/>
  <c r="JD101" i="3" s="1"/>
  <c r="JE101" i="3" s="1"/>
  <c r="JB101" i="3" l="1"/>
  <c r="JF101" i="3" l="1"/>
  <c r="JC102" i="3" s="1"/>
  <c r="JD102" i="3" s="1"/>
  <c r="JE102" i="3" s="1"/>
  <c r="JG101" i="3"/>
  <c r="JB102" i="3"/>
  <c r="JF102" i="3" l="1"/>
  <c r="JC103" i="3" s="1"/>
  <c r="JG102" i="3"/>
  <c r="JB103" i="3"/>
  <c r="JG103" i="3" s="1"/>
  <c r="JD103" i="3" l="1"/>
  <c r="JE103" i="3" s="1"/>
  <c r="JF103" i="3" s="1"/>
  <c r="JB104" i="3" s="1"/>
  <c r="JC104" i="3" l="1"/>
  <c r="JD104" i="3" s="1"/>
  <c r="JE104" i="3" s="1"/>
  <c r="JF104" i="3" s="1"/>
  <c r="JC105" i="3" s="1"/>
  <c r="JG104" i="3"/>
  <c r="JB105" i="3" l="1"/>
  <c r="JD105" i="3"/>
  <c r="JE105" i="3" s="1"/>
  <c r="JF105" i="3" l="1"/>
  <c r="JC106" i="3" s="1"/>
  <c r="JG105" i="3"/>
  <c r="JB106" i="3"/>
  <c r="JG106" i="3" s="1"/>
  <c r="JD106" i="3" l="1"/>
  <c r="JE106" i="3" s="1"/>
  <c r="JF106" i="3" s="1"/>
  <c r="JB107" i="3" s="1"/>
  <c r="JC107" i="3"/>
  <c r="JD107" i="3" l="1"/>
  <c r="JE107" i="3" s="1"/>
  <c r="JF107" i="3" s="1"/>
  <c r="JC108" i="3"/>
  <c r="JG107" i="3"/>
  <c r="JB108" i="3"/>
  <c r="JG108" i="3" l="1"/>
  <c r="JD108" i="3"/>
  <c r="JE108" i="3" s="1"/>
  <c r="JF108" i="3" s="1"/>
  <c r="JB109" i="3" l="1"/>
  <c r="JC109" i="3"/>
  <c r="JD109" i="3" s="1"/>
  <c r="JE109" i="3" s="1"/>
  <c r="JG109" i="3" l="1"/>
  <c r="JF109" i="3"/>
  <c r="JC110" i="3" s="1"/>
  <c r="JD110" i="3" s="1"/>
  <c r="JE110" i="3" s="1"/>
  <c r="JB110" i="3"/>
  <c r="JF110" i="3" l="1"/>
  <c r="JC111" i="3" s="1"/>
  <c r="JD111" i="3" s="1"/>
  <c r="JE111" i="3" s="1"/>
  <c r="JG110" i="3"/>
  <c r="JB111" i="3"/>
  <c r="JG111" i="3" l="1"/>
  <c r="JF111" i="3"/>
  <c r="JC112" i="3" s="1"/>
  <c r="JD112" i="3" s="1"/>
  <c r="JE112" i="3" s="1"/>
  <c r="JB112" i="3"/>
  <c r="JG112" i="3" l="1"/>
  <c r="JF112" i="3"/>
  <c r="JC113" i="3" s="1"/>
  <c r="JD113" i="3" s="1"/>
  <c r="JE113" i="3" s="1"/>
  <c r="JB113" i="3"/>
  <c r="JG113" i="3" l="1"/>
  <c r="JF113" i="3"/>
  <c r="JC114" i="3" s="1"/>
  <c r="JD114" i="3" s="1"/>
  <c r="JE114" i="3" s="1"/>
  <c r="JB114" i="3" l="1"/>
  <c r="JF114" i="3" l="1"/>
  <c r="JC115" i="3" s="1"/>
  <c r="JG114" i="3"/>
  <c r="JB115" i="3"/>
  <c r="JG115" i="3" s="1"/>
  <c r="JD115" i="3" l="1"/>
  <c r="JE115" i="3" s="1"/>
  <c r="JF115" i="3" s="1"/>
  <c r="JB116" i="3" s="1"/>
  <c r="JC116" i="3"/>
  <c r="JD116" i="3" s="1"/>
  <c r="JE116" i="3" s="1"/>
  <c r="JG116" i="3" l="1"/>
  <c r="JF116" i="3"/>
  <c r="JC117" i="3" s="1"/>
  <c r="JD117" i="3" s="1"/>
  <c r="JE117" i="3" s="1"/>
  <c r="JB117" i="3"/>
  <c r="JF117" i="3" l="1"/>
  <c r="JC118" i="3" s="1"/>
  <c r="JB118" i="3"/>
  <c r="JG117" i="3"/>
  <c r="JG118" i="3" l="1"/>
  <c r="JD118" i="3"/>
  <c r="JE118" i="3" s="1"/>
  <c r="JF118" i="3" s="1"/>
  <c r="JB119" i="3" s="1"/>
  <c r="JG119" i="3" l="1"/>
  <c r="JC119" i="3"/>
  <c r="JD119" i="3" s="1"/>
  <c r="JE119" i="3" s="1"/>
  <c r="JF119" i="3" s="1"/>
  <c r="JC120" i="3" l="1"/>
  <c r="JD120" i="3" s="1"/>
  <c r="JE120" i="3" s="1"/>
  <c r="JB120" i="3"/>
  <c r="JG120" i="3" l="1"/>
  <c r="JF120" i="3"/>
  <c r="JC121" i="3" s="1"/>
  <c r="JD121" i="3" s="1"/>
  <c r="JE121" i="3" s="1"/>
  <c r="JB121" i="3"/>
  <c r="JG121" i="3" l="1"/>
  <c r="JF121" i="3"/>
  <c r="JC122" i="3" s="1"/>
  <c r="JB122" i="3"/>
  <c r="JG122" i="3" l="1"/>
  <c r="JD122" i="3"/>
  <c r="JE122" i="3" s="1"/>
  <c r="JF122" i="3" s="1"/>
  <c r="JB123" i="3" l="1"/>
  <c r="JC123" i="3"/>
  <c r="JD123" i="3" s="1"/>
  <c r="JE123" i="3" s="1"/>
  <c r="JG123" i="3" l="1"/>
  <c r="JF123" i="3"/>
  <c r="JC124" i="3" s="1"/>
  <c r="JD124" i="3" s="1"/>
  <c r="JE124" i="3" s="1"/>
  <c r="JB124" i="3"/>
  <c r="JG124" i="3" l="1"/>
  <c r="JF124" i="3"/>
  <c r="JC125" i="3" s="1"/>
  <c r="JD125" i="3" s="1"/>
  <c r="JE125" i="3" s="1"/>
  <c r="JB125" i="3" l="1"/>
  <c r="JF125" i="3" l="1"/>
  <c r="JC126" i="3" s="1"/>
  <c r="JD126" i="3" s="1"/>
  <c r="JE126" i="3" s="1"/>
  <c r="JG125" i="3"/>
  <c r="JB126" i="3" l="1"/>
  <c r="JF126" i="3" l="1"/>
  <c r="JC127" i="3" s="1"/>
  <c r="JD127" i="3" s="1"/>
  <c r="JE127" i="3" s="1"/>
  <c r="JB127" i="3"/>
  <c r="JG126" i="3"/>
  <c r="JF127" i="3" l="1"/>
  <c r="JC128" i="3" s="1"/>
  <c r="JD128" i="3" s="1"/>
  <c r="JE128" i="3" s="1"/>
  <c r="JG127" i="3"/>
  <c r="JB128" i="3"/>
  <c r="JG128" i="3" l="1"/>
  <c r="JF128" i="3"/>
  <c r="JC129" i="3" s="1"/>
  <c r="JD129" i="3" s="1"/>
  <c r="JE129" i="3" s="1"/>
  <c r="JB129" i="3" l="1"/>
  <c r="JF129" i="3"/>
  <c r="JC130" i="3" s="1"/>
  <c r="JD130" i="3" s="1"/>
  <c r="JE130" i="3" s="1"/>
  <c r="JG129" i="3"/>
  <c r="JB130" i="3"/>
  <c r="JF130" i="3" l="1"/>
  <c r="JC131" i="3" s="1"/>
  <c r="JD131" i="3" s="1"/>
  <c r="JE131" i="3" s="1"/>
  <c r="JG130" i="3"/>
  <c r="JB131" i="3"/>
  <c r="JF131" i="3" l="1"/>
  <c r="JC132" i="3" s="1"/>
  <c r="JD132" i="3" s="1"/>
  <c r="JE132" i="3" s="1"/>
  <c r="JB132" i="3"/>
  <c r="JG131" i="3"/>
  <c r="JG132" i="3" l="1"/>
  <c r="JF132" i="3"/>
  <c r="JC133" i="3" s="1"/>
  <c r="JD133" i="3" s="1"/>
  <c r="JE133" i="3" s="1"/>
  <c r="JB133" i="3" l="1"/>
  <c r="JG133" i="3" l="1"/>
  <c r="JF133" i="3"/>
  <c r="JC134" i="3" s="1"/>
  <c r="JD134" i="3" s="1"/>
  <c r="JE134" i="3" s="1"/>
  <c r="JB134" i="3" l="1"/>
  <c r="JP34" i="3" l="1"/>
  <c r="JG134" i="3"/>
  <c r="N22" i="3" s="1"/>
  <c r="JF134" i="3"/>
  <c r="JT34" i="3" l="1"/>
  <c r="JQ35" i="3" s="1"/>
  <c r="JU34" i="3"/>
  <c r="JP35" i="3"/>
  <c r="JU35" i="3" s="1"/>
  <c r="JR35" i="3" l="1"/>
  <c r="JS35" i="3" s="1"/>
  <c r="JT35" i="3" s="1"/>
  <c r="JP36" i="3" s="1"/>
  <c r="JU36" i="3" s="1"/>
  <c r="JQ36" i="3" l="1"/>
  <c r="JR36" i="3" l="1"/>
  <c r="JS36" i="3" s="1"/>
  <c r="JT36" i="3" s="1"/>
  <c r="JP37" i="3" s="1"/>
  <c r="JU37" i="3" s="1"/>
  <c r="JQ37" i="3" l="1"/>
  <c r="JR37" i="3" l="1"/>
  <c r="JS37" i="3" s="1"/>
  <c r="JT37" i="3" s="1"/>
  <c r="JP38" i="3" s="1"/>
  <c r="JU38" i="3" s="1"/>
  <c r="JQ38" i="3"/>
  <c r="JR38" i="3" l="1"/>
  <c r="JS38" i="3" s="1"/>
  <c r="JT38" i="3" s="1"/>
  <c r="JP39" i="3" s="1"/>
  <c r="JU39" i="3" s="1"/>
  <c r="JQ39" i="3" l="1"/>
  <c r="JR39" i="3" l="1"/>
  <c r="JS39" i="3" s="1"/>
  <c r="JT39" i="3" s="1"/>
  <c r="JP40" i="3" s="1"/>
  <c r="JQ40" i="3"/>
  <c r="JR40" i="3" l="1"/>
  <c r="JS40" i="3" s="1"/>
  <c r="JT40" i="3" s="1"/>
  <c r="JQ41" i="3"/>
  <c r="JU40" i="3"/>
  <c r="JP41" i="3"/>
  <c r="JU41" i="3" s="1"/>
  <c r="JR41" i="3" l="1"/>
  <c r="JS41" i="3" s="1"/>
  <c r="JT41" i="3" s="1"/>
  <c r="JP42" i="3" s="1"/>
  <c r="JQ42" i="3"/>
  <c r="JR42" i="3" s="1"/>
  <c r="JS42" i="3" s="1"/>
  <c r="JT42" i="3" s="1"/>
  <c r="JQ43" i="3" s="1"/>
  <c r="JR43" i="3" s="1"/>
  <c r="JS43" i="3" s="1"/>
  <c r="JP43" i="3" l="1"/>
  <c r="JU42" i="3"/>
  <c r="JT43" i="3" l="1"/>
  <c r="JQ44" i="3" s="1"/>
  <c r="JR44" i="3" s="1"/>
  <c r="JS44" i="3" s="1"/>
  <c r="JP44" i="3"/>
  <c r="JU43" i="3"/>
  <c r="JT44" i="3" l="1"/>
  <c r="JQ45" i="3" s="1"/>
  <c r="JR45" i="3" s="1"/>
  <c r="JS45" i="3" s="1"/>
  <c r="JU44" i="3"/>
  <c r="JP45" i="3"/>
  <c r="JU45" i="3" l="1"/>
  <c r="JT45" i="3"/>
  <c r="JQ46" i="3" s="1"/>
  <c r="JR46" i="3" s="1"/>
  <c r="JS46" i="3" s="1"/>
  <c r="JP46" i="3" l="1"/>
  <c r="JU46" i="3" l="1"/>
  <c r="JT46" i="3"/>
  <c r="JQ47" i="3" s="1"/>
  <c r="JR47" i="3" s="1"/>
  <c r="JS47" i="3" s="1"/>
  <c r="JP47" i="3" l="1"/>
  <c r="JU47" i="3" l="1"/>
  <c r="JT47" i="3"/>
  <c r="JQ48" i="3" s="1"/>
  <c r="JP48" i="3"/>
  <c r="JU48" i="3" s="1"/>
  <c r="JR48" i="3" l="1"/>
  <c r="JS48" i="3" s="1"/>
  <c r="JT48" i="3" s="1"/>
  <c r="JP49" i="3" s="1"/>
  <c r="JU49" i="3" s="1"/>
  <c r="JQ49" i="3"/>
  <c r="JR49" i="3" l="1"/>
  <c r="JS49" i="3" s="1"/>
  <c r="JT49" i="3" s="1"/>
  <c r="JP50" i="3" s="1"/>
  <c r="JQ50" i="3" l="1"/>
  <c r="JR50" i="3" s="1"/>
  <c r="JS50" i="3" s="1"/>
  <c r="JT50" i="3" s="1"/>
  <c r="JQ51" i="3" s="1"/>
  <c r="JU50" i="3"/>
  <c r="JP51" i="3" l="1"/>
  <c r="JR51" i="3"/>
  <c r="JS51" i="3" s="1"/>
  <c r="JT51" i="3" l="1"/>
  <c r="JQ52" i="3" s="1"/>
  <c r="JR52" i="3" s="1"/>
  <c r="JS52" i="3" s="1"/>
  <c r="JU51" i="3"/>
  <c r="JP52" i="3"/>
  <c r="JT52" i="3" l="1"/>
  <c r="JQ53" i="3" s="1"/>
  <c r="JR53" i="3" s="1"/>
  <c r="JS53" i="3" s="1"/>
  <c r="JU52" i="3"/>
  <c r="JP53" i="3"/>
  <c r="JT53" i="3" l="1"/>
  <c r="JQ54" i="3" s="1"/>
  <c r="JU53" i="3"/>
  <c r="JP54" i="3"/>
  <c r="JU54" i="3" l="1"/>
  <c r="JR54" i="3"/>
  <c r="JS54" i="3" s="1"/>
  <c r="JT54" i="3" s="1"/>
  <c r="JP55" i="3" l="1"/>
  <c r="JQ55" i="3"/>
  <c r="JR55" i="3" s="1"/>
  <c r="JS55" i="3" s="1"/>
  <c r="JU55" i="3" l="1"/>
  <c r="JT55" i="3"/>
  <c r="JQ56" i="3" s="1"/>
  <c r="JP56" i="3"/>
  <c r="JU56" i="3" l="1"/>
  <c r="JR56" i="3"/>
  <c r="JS56" i="3" s="1"/>
  <c r="JT56" i="3" s="1"/>
  <c r="JP57" i="3" l="1"/>
  <c r="JQ57" i="3"/>
  <c r="JR57" i="3" l="1"/>
  <c r="JS57" i="3" s="1"/>
  <c r="JU57" i="3"/>
  <c r="JT57" i="3"/>
  <c r="JP58" i="3" s="1"/>
  <c r="JU58" i="3" l="1"/>
  <c r="JQ58" i="3"/>
  <c r="JR58" i="3" s="1"/>
  <c r="JS58" i="3" s="1"/>
  <c r="JT58" i="3" s="1"/>
  <c r="JQ59" i="3" l="1"/>
  <c r="JR59" i="3" s="1"/>
  <c r="JS59" i="3" s="1"/>
  <c r="JP59" i="3"/>
  <c r="JT59" i="3" l="1"/>
  <c r="JQ60" i="3" s="1"/>
  <c r="JU59" i="3"/>
  <c r="JP60" i="3" l="1"/>
  <c r="JU60" i="3"/>
  <c r="JR60" i="3"/>
  <c r="JS60" i="3" s="1"/>
  <c r="JT60" i="3" s="1"/>
  <c r="JP61" i="3" l="1"/>
  <c r="JQ61" i="3"/>
  <c r="JR61" i="3" s="1"/>
  <c r="JS61" i="3" s="1"/>
  <c r="JT61" i="3" l="1"/>
  <c r="JQ62" i="3" s="1"/>
  <c r="JU61" i="3"/>
  <c r="JP62" i="3"/>
  <c r="JU62" i="3" l="1"/>
  <c r="JR62" i="3"/>
  <c r="JS62" i="3" s="1"/>
  <c r="JT62" i="3" s="1"/>
  <c r="JP63" i="3" l="1"/>
  <c r="JQ63" i="3"/>
  <c r="JR63" i="3" s="1"/>
  <c r="JS63" i="3" s="1"/>
  <c r="JU63" i="3" l="1"/>
  <c r="JT63" i="3"/>
  <c r="JQ64" i="3" s="1"/>
  <c r="JR64" i="3" s="1"/>
  <c r="JS64" i="3" s="1"/>
  <c r="JP64" i="3" l="1"/>
  <c r="JU64" i="3" l="1"/>
  <c r="JT64" i="3"/>
  <c r="JQ65" i="3" s="1"/>
  <c r="JR65" i="3" s="1"/>
  <c r="JS65" i="3" s="1"/>
  <c r="JP65" i="3"/>
  <c r="JT65" i="3" l="1"/>
  <c r="JQ66" i="3" s="1"/>
  <c r="JR66" i="3" s="1"/>
  <c r="JS66" i="3" s="1"/>
  <c r="JU65" i="3"/>
  <c r="JP66" i="3"/>
  <c r="JU66" i="3" l="1"/>
  <c r="JT66" i="3"/>
  <c r="JQ67" i="3" s="1"/>
  <c r="JR67" i="3" s="1"/>
  <c r="JS67" i="3" s="1"/>
  <c r="JP67" i="3" l="1"/>
  <c r="JU67" i="3" l="1"/>
  <c r="JT67" i="3"/>
  <c r="JQ68" i="3" s="1"/>
  <c r="JR68" i="3" s="1"/>
  <c r="JS68" i="3" s="1"/>
  <c r="JP68" i="3" l="1"/>
  <c r="JU68" i="3" l="1"/>
  <c r="JT68" i="3"/>
  <c r="JQ69" i="3" s="1"/>
  <c r="JR69" i="3" s="1"/>
  <c r="JS69" i="3" s="1"/>
  <c r="JP69" i="3" l="1"/>
  <c r="JT69" i="3" l="1"/>
  <c r="JQ70" i="3" s="1"/>
  <c r="JR70" i="3" s="1"/>
  <c r="JS70" i="3" s="1"/>
  <c r="JU69" i="3"/>
  <c r="JP70" i="3"/>
  <c r="JU70" i="3" l="1"/>
  <c r="JT70" i="3"/>
  <c r="JQ71" i="3" s="1"/>
  <c r="JR71" i="3" s="1"/>
  <c r="JS71" i="3" s="1"/>
  <c r="JP71" i="3"/>
  <c r="JU71" i="3" l="1"/>
  <c r="JT71" i="3"/>
  <c r="JQ72" i="3" s="1"/>
  <c r="JR72" i="3" s="1"/>
  <c r="JS72" i="3" s="1"/>
  <c r="JP72" i="3"/>
  <c r="JU72" i="3" l="1"/>
  <c r="JT72" i="3"/>
  <c r="JQ73" i="3" s="1"/>
  <c r="JR73" i="3" s="1"/>
  <c r="JS73" i="3" s="1"/>
  <c r="JP73" i="3"/>
  <c r="JU73" i="3" l="1"/>
  <c r="JT73" i="3"/>
  <c r="JQ74" i="3" s="1"/>
  <c r="JR74" i="3" s="1"/>
  <c r="JS74" i="3" s="1"/>
  <c r="JP74" i="3" l="1"/>
  <c r="JT74" i="3" l="1"/>
  <c r="JQ75" i="3" s="1"/>
  <c r="JR75" i="3" s="1"/>
  <c r="JS75" i="3" s="1"/>
  <c r="JP75" i="3"/>
  <c r="JU74" i="3"/>
  <c r="JT75" i="3" l="1"/>
  <c r="JQ76" i="3" s="1"/>
  <c r="JR76" i="3" s="1"/>
  <c r="JS76" i="3" s="1"/>
  <c r="JP76" i="3"/>
  <c r="JU75" i="3"/>
  <c r="JT76" i="3" l="1"/>
  <c r="JQ77" i="3" s="1"/>
  <c r="JR77" i="3" s="1"/>
  <c r="JS77" i="3" s="1"/>
  <c r="JP77" i="3"/>
  <c r="JU76" i="3"/>
  <c r="JU77" i="3" l="1"/>
  <c r="JT77" i="3"/>
  <c r="JQ78" i="3" s="1"/>
  <c r="JR78" i="3" s="1"/>
  <c r="JS78" i="3" s="1"/>
  <c r="JP78" i="3"/>
  <c r="JU78" i="3" l="1"/>
  <c r="JT78" i="3"/>
  <c r="JQ79" i="3" s="1"/>
  <c r="JR79" i="3" s="1"/>
  <c r="JS79" i="3" s="1"/>
  <c r="JP79" i="3"/>
  <c r="JU79" i="3" l="1"/>
  <c r="JT79" i="3"/>
  <c r="JQ80" i="3" s="1"/>
  <c r="JR80" i="3" s="1"/>
  <c r="JS80" i="3" s="1"/>
  <c r="JP80" i="3"/>
  <c r="JT80" i="3" l="1"/>
  <c r="JQ81" i="3" s="1"/>
  <c r="JR81" i="3" s="1"/>
  <c r="JS81" i="3" s="1"/>
  <c r="JU80" i="3"/>
  <c r="JP81" i="3"/>
  <c r="JT81" i="3" l="1"/>
  <c r="JQ82" i="3" s="1"/>
  <c r="JP82" i="3"/>
  <c r="JU81" i="3"/>
  <c r="JU82" i="3" l="1"/>
  <c r="JR82" i="3"/>
  <c r="JS82" i="3" s="1"/>
  <c r="JT82" i="3" s="1"/>
  <c r="JP83" i="3" s="1"/>
  <c r="JU83" i="3" l="1"/>
  <c r="JQ83" i="3"/>
  <c r="JR83" i="3" s="1"/>
  <c r="JS83" i="3" s="1"/>
  <c r="JT83" i="3" s="1"/>
  <c r="JQ84" i="3" l="1"/>
  <c r="JR84" i="3" s="1"/>
  <c r="JS84" i="3" s="1"/>
  <c r="JP84" i="3"/>
  <c r="JU84" i="3" l="1"/>
  <c r="JT84" i="3"/>
  <c r="JQ85" i="3" s="1"/>
  <c r="JR85" i="3" s="1"/>
  <c r="JS85" i="3" s="1"/>
  <c r="JP85" i="3" l="1"/>
  <c r="JU85" i="3" l="1"/>
  <c r="JT85" i="3"/>
  <c r="JQ86" i="3" s="1"/>
  <c r="JR86" i="3" s="1"/>
  <c r="JS86" i="3" s="1"/>
  <c r="JP86" i="3" l="1"/>
  <c r="JU86" i="3" l="1"/>
  <c r="JT86" i="3"/>
  <c r="JQ87" i="3" s="1"/>
  <c r="JR87" i="3" s="1"/>
  <c r="JS87" i="3" s="1"/>
  <c r="JP87" i="3" l="1"/>
  <c r="JT87" i="3" l="1"/>
  <c r="JQ88" i="3" s="1"/>
  <c r="JU87" i="3"/>
  <c r="JP88" i="3"/>
  <c r="JU88" i="3" l="1"/>
  <c r="JR88" i="3"/>
  <c r="JS88" i="3" s="1"/>
  <c r="JT88" i="3" s="1"/>
  <c r="JP89" i="3" s="1"/>
  <c r="JU89" i="3" l="1"/>
  <c r="JQ89" i="3"/>
  <c r="JR89" i="3" s="1"/>
  <c r="JS89" i="3" s="1"/>
  <c r="JT89" i="3" s="1"/>
  <c r="JQ90" i="3" l="1"/>
  <c r="JP90" i="3"/>
  <c r="JU90" i="3" l="1"/>
  <c r="JR90" i="3"/>
  <c r="JS90" i="3" s="1"/>
  <c r="JT90" i="3" s="1"/>
  <c r="JP91" i="3" l="1"/>
  <c r="JQ91" i="3"/>
  <c r="JR91" i="3" s="1"/>
  <c r="JS91" i="3" s="1"/>
  <c r="JT91" i="3" l="1"/>
  <c r="JQ92" i="3" s="1"/>
  <c r="JR92" i="3" s="1"/>
  <c r="JS92" i="3" s="1"/>
  <c r="JP92" i="3"/>
  <c r="JU91" i="3"/>
  <c r="JT92" i="3" l="1"/>
  <c r="JQ93" i="3" s="1"/>
  <c r="JR93" i="3" s="1"/>
  <c r="JS93" i="3" s="1"/>
  <c r="JU92" i="3"/>
  <c r="JP93" i="3" l="1"/>
  <c r="JU93" i="3"/>
  <c r="JT93" i="3"/>
  <c r="JQ94" i="3" s="1"/>
  <c r="JR94" i="3" s="1"/>
  <c r="JS94" i="3" s="1"/>
  <c r="JP94" i="3" l="1"/>
  <c r="JU94" i="3" l="1"/>
  <c r="JT94" i="3"/>
  <c r="JQ95" i="3" s="1"/>
  <c r="JR95" i="3" s="1"/>
  <c r="JS95" i="3" s="1"/>
  <c r="JP95" i="3" l="1"/>
  <c r="JU95" i="3" l="1"/>
  <c r="JT95" i="3"/>
  <c r="JQ96" i="3" s="1"/>
  <c r="JP96" i="3"/>
  <c r="JU96" i="3" l="1"/>
  <c r="JR96" i="3"/>
  <c r="JS96" i="3" s="1"/>
  <c r="JT96" i="3" s="1"/>
  <c r="JP97" i="3" l="1"/>
  <c r="JQ97" i="3"/>
  <c r="JR97" i="3" s="1"/>
  <c r="JS97" i="3" s="1"/>
  <c r="JU97" i="3" l="1"/>
  <c r="JT97" i="3"/>
  <c r="JQ98" i="3" s="1"/>
  <c r="JR98" i="3" l="1"/>
  <c r="JS98" i="3" s="1"/>
  <c r="JP98" i="3"/>
  <c r="JT98" i="3" l="1"/>
  <c r="JQ99" i="3" s="1"/>
  <c r="JR99" i="3" s="1"/>
  <c r="JS99" i="3" s="1"/>
  <c r="JU98" i="3"/>
  <c r="JP99" i="3"/>
  <c r="JU99" i="3" l="1"/>
  <c r="JT99" i="3"/>
  <c r="JQ100" i="3" s="1"/>
  <c r="JR100" i="3" s="1"/>
  <c r="JS100" i="3" s="1"/>
  <c r="JP100" i="3" l="1"/>
  <c r="JU100" i="3"/>
  <c r="JT100" i="3"/>
  <c r="JQ101" i="3" s="1"/>
  <c r="JR101" i="3" s="1"/>
  <c r="JS101" i="3" s="1"/>
  <c r="JP101" i="3" l="1"/>
  <c r="JT101" i="3" l="1"/>
  <c r="JQ102" i="3" s="1"/>
  <c r="JR102" i="3" s="1"/>
  <c r="JS102" i="3" s="1"/>
  <c r="JU101" i="3"/>
  <c r="JP102" i="3"/>
  <c r="JT102" i="3" l="1"/>
  <c r="JQ103" i="3" s="1"/>
  <c r="JP103" i="3"/>
  <c r="JU103" i="3" s="1"/>
  <c r="JU102" i="3"/>
  <c r="JR103" i="3" l="1"/>
  <c r="JS103" i="3" s="1"/>
  <c r="JT103" i="3" s="1"/>
  <c r="JP104" i="3" s="1"/>
  <c r="JQ104" i="3" l="1"/>
  <c r="JR104" i="3" s="1"/>
  <c r="JS104" i="3" s="1"/>
  <c r="JT104" i="3"/>
  <c r="JQ105" i="3" s="1"/>
  <c r="JU104" i="3"/>
  <c r="JR105" i="3" l="1"/>
  <c r="JS105" i="3" s="1"/>
  <c r="JP105" i="3"/>
  <c r="JU105" i="3" l="1"/>
  <c r="JT105" i="3"/>
  <c r="JQ106" i="3" s="1"/>
  <c r="JR106" i="3" s="1"/>
  <c r="JS106" i="3" s="1"/>
  <c r="JP106" i="3"/>
  <c r="JU106" i="3" l="1"/>
  <c r="JT106" i="3"/>
  <c r="JQ107" i="3" s="1"/>
  <c r="JR107" i="3" s="1"/>
  <c r="JS107" i="3" s="1"/>
  <c r="JP107" i="3"/>
  <c r="JU107" i="3" l="1"/>
  <c r="JT107" i="3"/>
  <c r="JQ108" i="3" s="1"/>
  <c r="JR108" i="3" s="1"/>
  <c r="JS108" i="3" s="1"/>
  <c r="JP108" i="3" l="1"/>
  <c r="JU108" i="3" l="1"/>
  <c r="JT108" i="3"/>
  <c r="JQ109" i="3" s="1"/>
  <c r="JR109" i="3" s="1"/>
  <c r="JS109" i="3" s="1"/>
  <c r="JP109" i="3"/>
  <c r="JT109" i="3" l="1"/>
  <c r="JQ110" i="3" s="1"/>
  <c r="JR110" i="3" s="1"/>
  <c r="JS110" i="3" s="1"/>
  <c r="JU109" i="3"/>
  <c r="JP110" i="3"/>
  <c r="JU110" i="3" l="1"/>
  <c r="JT110" i="3"/>
  <c r="JQ111" i="3" s="1"/>
  <c r="JP111" i="3"/>
  <c r="JU111" i="3" s="1"/>
  <c r="JR111" i="3" l="1"/>
  <c r="JS111" i="3" s="1"/>
  <c r="JT111" i="3" s="1"/>
  <c r="JP112" i="3" s="1"/>
  <c r="JQ112" i="3" l="1"/>
  <c r="JU112" i="3"/>
  <c r="JR112" i="3" l="1"/>
  <c r="JS112" i="3" s="1"/>
  <c r="JT112" i="3" s="1"/>
  <c r="JP113" i="3" s="1"/>
  <c r="JQ113" i="3"/>
  <c r="JR113" i="3" s="1"/>
  <c r="JS113" i="3" s="1"/>
  <c r="JT113" i="3" l="1"/>
  <c r="JQ114" i="3" s="1"/>
  <c r="JP114" i="3"/>
  <c r="JU113" i="3"/>
  <c r="JU114" i="3" l="1"/>
  <c r="JR114" i="3"/>
  <c r="JS114" i="3" s="1"/>
  <c r="JT114" i="3" s="1"/>
  <c r="JP115" i="3" s="1"/>
  <c r="JU115" i="3" l="1"/>
  <c r="JQ115" i="3"/>
  <c r="JR115" i="3" s="1"/>
  <c r="JS115" i="3" s="1"/>
  <c r="JT115" i="3" s="1"/>
  <c r="JQ116" i="3" l="1"/>
  <c r="JR116" i="3" s="1"/>
  <c r="JS116" i="3" s="1"/>
  <c r="JP116" i="3"/>
  <c r="JU116" i="3" l="1"/>
  <c r="JT116" i="3"/>
  <c r="JQ117" i="3" s="1"/>
  <c r="JR117" i="3" s="1"/>
  <c r="JS117" i="3" s="1"/>
  <c r="JP117" i="3"/>
  <c r="JT117" i="3" l="1"/>
  <c r="JQ118" i="3" s="1"/>
  <c r="JR118" i="3" s="1"/>
  <c r="JS118" i="3" s="1"/>
  <c r="JP118" i="3"/>
  <c r="JU117" i="3"/>
  <c r="JT118" i="3" l="1"/>
  <c r="JQ119" i="3" s="1"/>
  <c r="JR119" i="3" s="1"/>
  <c r="JS119" i="3" s="1"/>
  <c r="JP119" i="3"/>
  <c r="JU118" i="3"/>
  <c r="JU119" i="3" l="1"/>
  <c r="JT119" i="3"/>
  <c r="JQ120" i="3" s="1"/>
  <c r="JR120" i="3" s="1"/>
  <c r="JS120" i="3" s="1"/>
  <c r="JP120" i="3"/>
  <c r="JT120" i="3" l="1"/>
  <c r="JQ121" i="3" s="1"/>
  <c r="JR121" i="3" s="1"/>
  <c r="JS121" i="3" s="1"/>
  <c r="JP121" i="3"/>
  <c r="JU120" i="3"/>
  <c r="JU121" i="3" l="1"/>
  <c r="JT121" i="3"/>
  <c r="JQ122" i="3" s="1"/>
  <c r="JR122" i="3" s="1"/>
  <c r="JS122" i="3" s="1"/>
  <c r="JP122" i="3"/>
  <c r="JU122" i="3" l="1"/>
  <c r="JT122" i="3"/>
  <c r="JQ123" i="3" s="1"/>
  <c r="JR123" i="3" s="1"/>
  <c r="JS123" i="3" s="1"/>
  <c r="JP123" i="3" l="1"/>
  <c r="JT123" i="3"/>
  <c r="JQ124" i="3" s="1"/>
  <c r="JR124" i="3" s="1"/>
  <c r="JS124" i="3" s="1"/>
  <c r="JP124" i="3"/>
  <c r="JU123" i="3"/>
  <c r="JT124" i="3" l="1"/>
  <c r="JQ125" i="3" s="1"/>
  <c r="JP125" i="3"/>
  <c r="JU124" i="3"/>
  <c r="JU125" i="3" l="1"/>
  <c r="JR125" i="3"/>
  <c r="JS125" i="3" s="1"/>
  <c r="JT125" i="3" s="1"/>
  <c r="JP126" i="3" s="1"/>
  <c r="JU126" i="3" l="1"/>
  <c r="JQ126" i="3"/>
  <c r="JR126" i="3" s="1"/>
  <c r="JS126" i="3" s="1"/>
  <c r="JT126" i="3" s="1"/>
  <c r="JQ127" i="3" l="1"/>
  <c r="JP127" i="3"/>
  <c r="JU127" i="3" s="1"/>
  <c r="JR127" i="3" l="1"/>
  <c r="JS127" i="3" s="1"/>
  <c r="JT127" i="3" s="1"/>
  <c r="JP128" i="3" s="1"/>
  <c r="JQ128" i="3"/>
  <c r="JR128" i="3" s="1"/>
  <c r="JS128" i="3" s="1"/>
  <c r="JU128" i="3" l="1"/>
  <c r="JT128" i="3"/>
  <c r="JQ129" i="3" s="1"/>
  <c r="JR129" i="3" l="1"/>
  <c r="JS129" i="3" s="1"/>
  <c r="JP129" i="3"/>
  <c r="JU129" i="3" l="1"/>
  <c r="JT129" i="3"/>
  <c r="JQ130" i="3" s="1"/>
  <c r="JR130" i="3" l="1"/>
  <c r="JS130" i="3" s="1"/>
  <c r="JP130" i="3"/>
  <c r="JU130" i="3" l="1"/>
  <c r="JT130" i="3"/>
  <c r="JQ131" i="3" s="1"/>
  <c r="JR131" i="3" s="1"/>
  <c r="JS131" i="3" s="1"/>
  <c r="JP131" i="3" l="1"/>
  <c r="JT131" i="3" l="1"/>
  <c r="JQ132" i="3" s="1"/>
  <c r="JU131" i="3"/>
  <c r="JP132" i="3"/>
  <c r="JU132" i="3" l="1"/>
  <c r="JR132" i="3"/>
  <c r="JS132" i="3" s="1"/>
  <c r="JT132" i="3" s="1"/>
  <c r="JP133" i="3" s="1"/>
  <c r="JU133" i="3" l="1"/>
  <c r="JQ133" i="3"/>
  <c r="JR133" i="3" s="1"/>
  <c r="JS133" i="3" s="1"/>
  <c r="JT133" i="3" s="1"/>
  <c r="JQ134" i="3" l="1"/>
  <c r="JR134" i="3" s="1"/>
  <c r="JS134" i="3" s="1"/>
  <c r="JP134" i="3"/>
  <c r="JT134" i="3" l="1"/>
  <c r="JU134" i="3"/>
  <c r="N23" i="3" s="1"/>
  <c r="Q1" i="3" s="1"/>
  <c r="O29" i="3" l="1"/>
  <c r="O24" i="3"/>
  <c r="O26" i="3"/>
  <c r="O7" i="3"/>
  <c r="O14" i="3"/>
  <c r="O6" i="3"/>
  <c r="O20" i="3"/>
  <c r="O12" i="3"/>
  <c r="O23" i="3"/>
  <c r="O13" i="3"/>
  <c r="O5" i="3"/>
  <c r="O32" i="3"/>
  <c r="O28" i="3"/>
  <c r="O21" i="3"/>
  <c r="O11" i="3"/>
  <c r="O15" i="3"/>
  <c r="O30" i="3"/>
  <c r="O4" i="3"/>
  <c r="O8" i="3"/>
  <c r="O31" i="3"/>
  <c r="O3" i="3"/>
  <c r="O22" i="3"/>
  <c r="R1" i="3"/>
  <c r="O27" i="3"/>
  <c r="O9" i="3"/>
  <c r="O18" i="3"/>
  <c r="O25" i="3"/>
  <c r="O16" i="3"/>
  <c r="O17" i="3"/>
  <c r="O19" i="3"/>
  <c r="O10" i="3"/>
</calcChain>
</file>

<file path=xl/sharedStrings.xml><?xml version="1.0" encoding="utf-8"?>
<sst xmlns="http://schemas.openxmlformats.org/spreadsheetml/2006/main" count="603" uniqueCount="163">
  <si>
    <t>Input</t>
  </si>
  <si>
    <t>Conversion hydrogen concentration</t>
  </si>
  <si>
    <t>f(dB)</t>
  </si>
  <si>
    <t>f(Db)</t>
  </si>
  <si>
    <t>Db(start)</t>
  </si>
  <si>
    <t>mm</t>
  </si>
  <si>
    <t xml:space="preserve">1 ml H2 gas </t>
  </si>
  <si>
    <t>Flush step</t>
  </si>
  <si>
    <t>t</t>
  </si>
  <si>
    <t>X</t>
  </si>
  <si>
    <t>X(simplified)</t>
  </si>
  <si>
    <t>H</t>
  </si>
  <si>
    <t>m</t>
  </si>
  <si>
    <t>moles H2</t>
  </si>
  <si>
    <t>HQg/V (m/m3)</t>
  </si>
  <si>
    <t>V</t>
  </si>
  <si>
    <t>m3</t>
  </si>
  <si>
    <t>100 g Al</t>
  </si>
  <si>
    <t>Db</t>
  </si>
  <si>
    <t>T</t>
  </si>
  <si>
    <r>
      <rPr>
        <sz val="11"/>
        <color theme="1"/>
        <rFont val="Times New Roman"/>
        <family val="1"/>
      </rPr>
      <t>°</t>
    </r>
    <r>
      <rPr>
        <sz val="11"/>
        <color theme="1"/>
        <rFont val="Aptos Narrow"/>
        <family val="2"/>
      </rPr>
      <t>C</t>
    </r>
  </si>
  <si>
    <t>moles Al</t>
  </si>
  <si>
    <t>Ps</t>
  </si>
  <si>
    <t>mbar</t>
  </si>
  <si>
    <t>Definitions</t>
  </si>
  <si>
    <t>XHstart</t>
  </si>
  <si>
    <t>ml/100g Al</t>
  </si>
  <si>
    <t>xH</t>
  </si>
  <si>
    <t>mole fraction H2</t>
  </si>
  <si>
    <t>Qg0</t>
  </si>
  <si>
    <t>Nl/min</t>
  </si>
  <si>
    <t>XH</t>
  </si>
  <si>
    <t>SI-units</t>
  </si>
  <si>
    <t>(mole fraction H2)/(ml/100g)</t>
  </si>
  <si>
    <t>Tg</t>
  </si>
  <si>
    <t>K</t>
  </si>
  <si>
    <t>xH/XH</t>
  </si>
  <si>
    <t>Nm3/s</t>
  </si>
  <si>
    <t>DH(liq)</t>
  </si>
  <si>
    <t>m2/s</t>
  </si>
  <si>
    <t>May be reduced to match literature values of k</t>
  </si>
  <si>
    <t>Pa</t>
  </si>
  <si>
    <t>ub</t>
  </si>
  <si>
    <t>m/s</t>
  </si>
  <si>
    <t>xHstart</t>
  </si>
  <si>
    <t>ml/100g</t>
  </si>
  <si>
    <t>kstart</t>
  </si>
  <si>
    <t>Nor used here</t>
  </si>
  <si>
    <t>Pi(start)</t>
  </si>
  <si>
    <t>Constants</t>
  </si>
  <si>
    <t>αg(Pi,Tg)</t>
  </si>
  <si>
    <t>ρH2</t>
  </si>
  <si>
    <t>kg/m3</t>
  </si>
  <si>
    <t>A</t>
  </si>
  <si>
    <t>1/m</t>
  </si>
  <si>
    <t>ρl</t>
  </si>
  <si>
    <t>tr</t>
  </si>
  <si>
    <t>s</t>
  </si>
  <si>
    <t>g</t>
  </si>
  <si>
    <t>m/s2</t>
  </si>
  <si>
    <t>nAr/m3</t>
  </si>
  <si>
    <t>mol/Nm3</t>
  </si>
  <si>
    <t>mAl</t>
  </si>
  <si>
    <t>g/mole</t>
  </si>
  <si>
    <t>nAr/Nl</t>
  </si>
  <si>
    <t>mol/Nl</t>
  </si>
  <si>
    <t>mH2</t>
  </si>
  <si>
    <t>nAr in bubbles</t>
  </si>
  <si>
    <t>mol</t>
  </si>
  <si>
    <t>σ</t>
  </si>
  <si>
    <t>N/m</t>
  </si>
  <si>
    <t>nbubbles</t>
  </si>
  <si>
    <t>D0(liq)</t>
  </si>
  <si>
    <t>B</t>
  </si>
  <si>
    <r>
      <t>Ea</t>
    </r>
    <r>
      <rPr>
        <sz val="11"/>
        <color theme="1"/>
        <rFont val="Aptos Narrow"/>
        <family val="2"/>
      </rPr>
      <t>(liq)</t>
    </r>
  </si>
  <si>
    <t>J/mol</t>
  </si>
  <si>
    <t>nAl</t>
  </si>
  <si>
    <t>R</t>
  </si>
  <si>
    <t>J/molK</t>
  </si>
  <si>
    <t>tc</t>
  </si>
  <si>
    <t>P0</t>
  </si>
  <si>
    <t>T0</t>
  </si>
  <si>
    <t>Pi at H</t>
  </si>
  <si>
    <t>K0</t>
  </si>
  <si>
    <t>Pi at surface</t>
  </si>
  <si>
    <t>(neglecting increase in Db in the curvature term)</t>
  </si>
  <si>
    <r>
      <rPr>
        <sz val="11"/>
        <color theme="1"/>
        <rFont val="Aptos Narrow"/>
        <family val="2"/>
        <charset val="1"/>
      </rPr>
      <t>Δ</t>
    </r>
    <r>
      <rPr>
        <sz val="11"/>
        <color theme="1"/>
        <rFont val="Aptos Narrow"/>
        <family val="2"/>
      </rPr>
      <t>H</t>
    </r>
  </si>
  <si>
    <t>Db(s)/Db(H)</t>
  </si>
  <si>
    <t>ub assumed to be constant and dependent on Db(start)</t>
  </si>
  <si>
    <t>Flush sequence</t>
  </si>
  <si>
    <t>Tg assumed to be equal to metal temperature</t>
  </si>
  <si>
    <t>New flush sequence</t>
  </si>
  <si>
    <t>z</t>
  </si>
  <si>
    <t>Pi</t>
  </si>
  <si>
    <t>k</t>
  </si>
  <si>
    <t>x</t>
  </si>
  <si>
    <t>xH2 gas</t>
  </si>
  <si>
    <t>PH2</t>
  </si>
  <si>
    <t>x*</t>
  </si>
  <si>
    <t>dn(H2)/dt</t>
  </si>
  <si>
    <t>T given</t>
  </si>
  <si>
    <t>Flush-step</t>
  </si>
  <si>
    <t>Fra modell A (prøv og feil)</t>
  </si>
  <si>
    <t>Average</t>
  </si>
  <si>
    <t>Pr/Ps</t>
  </si>
  <si>
    <t>Numerisk</t>
  </si>
  <si>
    <t>Halvparten n</t>
  </si>
  <si>
    <t>moles H</t>
  </si>
  <si>
    <t>mole fraction</t>
  </si>
  <si>
    <t>(mole fraction)/(ml/100g)</t>
  </si>
  <si>
    <t>Considering one bubble</t>
  </si>
  <si>
    <t>Vbubble</t>
  </si>
  <si>
    <t>Nl</t>
  </si>
  <si>
    <t>Abubble</t>
  </si>
  <si>
    <t>m2</t>
  </si>
  <si>
    <t>Pi(avg)</t>
  </si>
  <si>
    <t>nArbubble</t>
  </si>
  <si>
    <t>h</t>
  </si>
  <si>
    <t>W/m2K</t>
  </si>
  <si>
    <t>cp(Ar)</t>
  </si>
  <si>
    <t>Caclulating the heating of Ar inside the bubbles</t>
  </si>
  <si>
    <t>t (s)</t>
  </si>
  <si>
    <t>TAr</t>
  </si>
  <si>
    <t>ub assumed to be constant and dependent on Db</t>
  </si>
  <si>
    <t>First flush sequence</t>
  </si>
  <si>
    <t>Modell A</t>
  </si>
  <si>
    <t>Antar at smelten har samme konsentrasjon under en boble-flushing</t>
  </si>
  <si>
    <t>molefraction</t>
  </si>
  <si>
    <t>a</t>
  </si>
  <si>
    <t>b</t>
  </si>
  <si>
    <t>X*=0</t>
  </si>
  <si>
    <t>Antar XH*=0</t>
  </si>
  <si>
    <t>Out</t>
  </si>
  <si>
    <t>n(H2)</t>
  </si>
  <si>
    <t>y=rot(n)</t>
  </si>
  <si>
    <t>X*</t>
  </si>
  <si>
    <t>ntest</t>
  </si>
  <si>
    <t>PH2test</t>
  </si>
  <si>
    <t>X*test</t>
  </si>
  <si>
    <t>z(m)</t>
  </si>
  <si>
    <r>
      <t>Δ</t>
    </r>
    <r>
      <rPr>
        <sz val="11"/>
        <color theme="1"/>
        <rFont val="Aptos Narrow"/>
        <family val="2"/>
      </rPr>
      <t>H2(gas)</t>
    </r>
  </si>
  <si>
    <t>xH*</t>
  </si>
  <si>
    <t>nH out</t>
  </si>
  <si>
    <t>xH2(gas)</t>
  </si>
  <si>
    <t>PH2(out)</t>
  </si>
  <si>
    <t>f(PH2)</t>
  </si>
  <si>
    <t>Rising velocity of Argon bubbles in liquid aluminium</t>
  </si>
  <si>
    <t>Assumptions</t>
  </si>
  <si>
    <t>Mendelson (1967)</t>
  </si>
  <si>
    <t>boyancy is balanced with drag</t>
  </si>
  <si>
    <t>ρl&gt;&gt;ρg</t>
  </si>
  <si>
    <t>CD</t>
  </si>
  <si>
    <t>Boyancy equals drag</t>
  </si>
  <si>
    <t>Aluminium</t>
  </si>
  <si>
    <t>Mercury</t>
  </si>
  <si>
    <t>Water</t>
  </si>
  <si>
    <t>Db (m)</t>
  </si>
  <si>
    <t>Db (mm)</t>
  </si>
  <si>
    <t>ub (m/s)</t>
  </si>
  <si>
    <t>C. Zhang, S. Eckert *, G. Gerbeth, "Experimental study of single bubble motion in a liquid metal column exposed to a DC magnetic field",  International Journal of Multiphase Flow 31 (2005), pp824–842</t>
  </si>
  <si>
    <t>https://www.hzdr.de/FWS/FWSH/papers/Zhang_Eckert_Gerbeth_JMF_2005.pdf</t>
  </si>
  <si>
    <t>R. Clifton, J.R. Grace and M.E. Weber, “Bubbles, drops and particles”, Academy Press, New York (NY), 1978</t>
  </si>
  <si>
    <t>https://books.google.no/books?hl=no&amp;lr=&amp;id=UUrOmD8niUQC&amp;oi=fnd&amp;pg=PP1&amp;ots=pIBTSHaPdU&amp;sig=uALpXbekhBXSZiUCxR7GNYgbnKU&amp;redir_esc=y#v=onepage&amp;q&amp;f=false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</si>
</sst>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theme="1"/>
      <name val="Aptos Narrow"/>
      <family val="1"/>
    </font>
    <font>
      <sz val="8"/>
      <name val="Aptos Narrow"/>
      <family val="2"/>
      <scheme val="minor"/>
    </font>
    <font>
      <sz val="11"/>
      <color theme="1"/>
      <name val="Aptos Narrow"/>
      <family val="2"/>
      <charset val="1"/>
    </font>
    <font>
      <sz val="11"/>
      <color rgb="FF0070C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</font>
    <font>
      <b/>
      <sz val="11"/>
      <color theme="8"/>
      <name val="Aptos Narrow"/>
      <family val="2"/>
      <scheme val="minor"/>
    </font>
    <font>
      <sz val="11"/>
      <color rgb="FFFF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1" xfId="0" applyBorder="1"/>
    <xf numFmtId="0" fontId="8" fillId="0" borderId="1" xfId="0" applyFont="1" applyBorder="1"/>
    <xf numFmtId="0" fontId="0" fillId="0" borderId="2" xfId="0" applyBorder="1"/>
    <xf numFmtId="0" fontId="10" fillId="0" borderId="0" xfId="0" applyFont="1"/>
    <xf numFmtId="11" fontId="0" fillId="0" borderId="0" xfId="0" applyNumberFormat="1"/>
    <xf numFmtId="0" fontId="1" fillId="2" borderId="1" xfId="0" applyFont="1" applyFill="1" applyBorder="1"/>
    <xf numFmtId="0" fontId="11" fillId="0" borderId="0" xfId="0" applyFont="1"/>
    <xf numFmtId="10" fontId="0" fillId="0" borderId="1" xfId="1" applyNumberFormat="1" applyFont="1" applyBorder="1"/>
    <xf numFmtId="0" fontId="12" fillId="0" borderId="1" xfId="0" applyFont="1" applyBorder="1"/>
    <xf numFmtId="0" fontId="5" fillId="0" borderId="1" xfId="0" applyFont="1" applyBorder="1"/>
    <xf numFmtId="0" fontId="1" fillId="0" borderId="1" xfId="0" applyFont="1" applyBorder="1"/>
    <xf numFmtId="11" fontId="0" fillId="0" borderId="1" xfId="0" applyNumberFormat="1" applyBorder="1"/>
    <xf numFmtId="0" fontId="10" fillId="0" borderId="1" xfId="0" applyFont="1" applyBorder="1"/>
    <xf numFmtId="0" fontId="14" fillId="0" borderId="0" xfId="0" applyFont="1"/>
    <xf numFmtId="0" fontId="13" fillId="0" borderId="0" xfId="0" applyFont="1"/>
    <xf numFmtId="164" fontId="1" fillId="0" borderId="0" xfId="0" applyNumberFormat="1" applyFont="1"/>
    <xf numFmtId="16" fontId="0" fillId="0" borderId="1" xfId="0" applyNumberFormat="1" applyBorder="1"/>
    <xf numFmtId="0" fontId="15" fillId="0" borderId="3" xfId="0" applyFont="1" applyBorder="1" applyAlignment="1">
      <alignment horizontal="center"/>
    </xf>
    <xf numFmtId="0" fontId="13" fillId="0" borderId="1" xfId="0" applyFont="1" applyBorder="1"/>
    <xf numFmtId="0" fontId="16" fillId="0" borderId="1" xfId="0" applyFont="1" applyBorder="1"/>
    <xf numFmtId="0" fontId="11" fillId="0" borderId="1" xfId="0" applyFont="1" applyBorder="1"/>
    <xf numFmtId="0" fontId="11" fillId="0" borderId="2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'Numeric model'!$N$2</c:f>
              <c:strCache>
                <c:ptCount val="1"/>
                <c:pt idx="0">
                  <c:v>X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'Numeric model'!$M$3:$M$23</c:f>
              <c:numCache>
                <c:formatCode>General</c:formatCode>
                <c:ptCount val="21"/>
                <c:pt idx="0">
                  <c:v>0</c:v>
                </c:pt>
                <c:pt idx="1">
                  <c:v>1.8976937367330144</c:v>
                </c:pt>
                <c:pt idx="2">
                  <c:v>3.7953874734660289</c:v>
                </c:pt>
                <c:pt idx="3">
                  <c:v>5.6930812101990433</c:v>
                </c:pt>
                <c:pt idx="4">
                  <c:v>7.5907749469320578</c:v>
                </c:pt>
                <c:pt idx="5">
                  <c:v>9.4884686836650722</c:v>
                </c:pt>
                <c:pt idx="6">
                  <c:v>11.386162420398087</c:v>
                </c:pt>
                <c:pt idx="7">
                  <c:v>13.283856157131101</c:v>
                </c:pt>
                <c:pt idx="8">
                  <c:v>15.181549893864116</c:v>
                </c:pt>
                <c:pt idx="9">
                  <c:v>17.07924363059713</c:v>
                </c:pt>
                <c:pt idx="10">
                  <c:v>18.976937367330144</c:v>
                </c:pt>
                <c:pt idx="11">
                  <c:v>20.874631104063159</c:v>
                </c:pt>
                <c:pt idx="12">
                  <c:v>22.772324840796173</c:v>
                </c:pt>
                <c:pt idx="13">
                  <c:v>24.670018577529188</c:v>
                </c:pt>
                <c:pt idx="14">
                  <c:v>26.567712314262202</c:v>
                </c:pt>
                <c:pt idx="15">
                  <c:v>28.465406050995217</c:v>
                </c:pt>
                <c:pt idx="16">
                  <c:v>30.363099787728231</c:v>
                </c:pt>
                <c:pt idx="17">
                  <c:v>32.260793524461249</c:v>
                </c:pt>
                <c:pt idx="18">
                  <c:v>34.15848726119426</c:v>
                </c:pt>
                <c:pt idx="19">
                  <c:v>36.056180997927271</c:v>
                </c:pt>
                <c:pt idx="20">
                  <c:v>37.953874734660289</c:v>
                </c:pt>
              </c:numCache>
            </c:numRef>
          </c:xVal>
          <c:yVal>
            <c:numRef>
              <c:f>'Numeric model'!$N$3:$N$23</c:f>
              <c:numCache>
                <c:formatCode>General</c:formatCode>
                <c:ptCount val="21"/>
                <c:pt idx="0">
                  <c:v>0.35</c:v>
                </c:pt>
                <c:pt idx="1">
                  <c:v>0.33783715313377172</c:v>
                </c:pt>
                <c:pt idx="2">
                  <c:v>0.32634058825241297</c:v>
                </c:pt>
                <c:pt idx="3">
                  <c:v>0.31546467696610087</c:v>
                </c:pt>
                <c:pt idx="4">
                  <c:v>0.30516738415603839</c:v>
                </c:pt>
                <c:pt idx="5">
                  <c:v>0.2954099560717991</c:v>
                </c:pt>
                <c:pt idx="6">
                  <c:v>0.28615663749350262</c:v>
                </c:pt>
                <c:pt idx="7">
                  <c:v>0.27737441510542965</c:v>
                </c:pt>
                <c:pt idx="8">
                  <c:v>0.2690327845184845</c:v>
                </c:pt>
                <c:pt idx="9">
                  <c:v>0.26110353863932545</c:v>
                </c:pt>
                <c:pt idx="10">
                  <c:v>0.2535605753172322</c:v>
                </c:pt>
                <c:pt idx="11">
                  <c:v>0.24637972240872585</c:v>
                </c:pt>
                <c:pt idx="12">
                  <c:v>0.2395385785872032</c:v>
                </c:pt>
                <c:pt idx="13">
                  <c:v>0.23301636839265646</c:v>
                </c:pt>
                <c:pt idx="14">
                  <c:v>0.22679381016700556</c:v>
                </c:pt>
                <c:pt idx="15">
                  <c:v>0.22085299565548414</c:v>
                </c:pt>
                <c:pt idx="16">
                  <c:v>0.21517728017553822</c:v>
                </c:pt>
                <c:pt idx="17">
                  <c:v>0.2097511823632886</c:v>
                </c:pt>
                <c:pt idx="18">
                  <c:v>0.20456029260506886</c:v>
                </c:pt>
                <c:pt idx="19">
                  <c:v>0.19959118934905687</c:v>
                </c:pt>
                <c:pt idx="20">
                  <c:v>0.19483136257061323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D8-445F-BD4B-6BD516F217EB}"/>
            </c:ext>
          </c:extLst>
        </c:ser>
        <c:ser>
          <c:idx val="1"/>
          <c:order val="1"/>
          <c:tx>
            <c:strRef>
              <c:f>'Numeric model'!$O$2</c:f>
              <c:strCache>
                <c:ptCount val="1"/>
                <c:pt idx="0">
                  <c:v>X(simplified)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'Numeric model'!$M$3:$M$32</c:f>
              <c:numCache>
                <c:formatCode>General</c:formatCode>
                <c:ptCount val="30"/>
                <c:pt idx="0">
                  <c:v>0</c:v>
                </c:pt>
                <c:pt idx="1">
                  <c:v>1.8976937367330144</c:v>
                </c:pt>
                <c:pt idx="2">
                  <c:v>3.7953874734660289</c:v>
                </c:pt>
                <c:pt idx="3">
                  <c:v>5.6930812101990433</c:v>
                </c:pt>
                <c:pt idx="4">
                  <c:v>7.5907749469320578</c:v>
                </c:pt>
                <c:pt idx="5">
                  <c:v>9.4884686836650722</c:v>
                </c:pt>
                <c:pt idx="6">
                  <c:v>11.386162420398087</c:v>
                </c:pt>
                <c:pt idx="7">
                  <c:v>13.283856157131101</c:v>
                </c:pt>
                <c:pt idx="8">
                  <c:v>15.181549893864116</c:v>
                </c:pt>
                <c:pt idx="9">
                  <c:v>17.07924363059713</c:v>
                </c:pt>
                <c:pt idx="10">
                  <c:v>18.976937367330144</c:v>
                </c:pt>
                <c:pt idx="11">
                  <c:v>20.874631104063159</c:v>
                </c:pt>
                <c:pt idx="12">
                  <c:v>22.772324840796173</c:v>
                </c:pt>
                <c:pt idx="13">
                  <c:v>24.670018577529188</c:v>
                </c:pt>
                <c:pt idx="14">
                  <c:v>26.567712314262202</c:v>
                </c:pt>
                <c:pt idx="15">
                  <c:v>28.465406050995217</c:v>
                </c:pt>
                <c:pt idx="16">
                  <c:v>30.363099787728231</c:v>
                </c:pt>
                <c:pt idx="17">
                  <c:v>32.260793524461249</c:v>
                </c:pt>
                <c:pt idx="18">
                  <c:v>34.15848726119426</c:v>
                </c:pt>
                <c:pt idx="19">
                  <c:v>36.056180997927271</c:v>
                </c:pt>
                <c:pt idx="20">
                  <c:v>37.953874734660289</c:v>
                </c:pt>
                <c:pt idx="21">
                  <c:v>39.851568471393307</c:v>
                </c:pt>
                <c:pt idx="22">
                  <c:v>41.749262208126318</c:v>
                </c:pt>
                <c:pt idx="23">
                  <c:v>43.646955944859329</c:v>
                </c:pt>
                <c:pt idx="24">
                  <c:v>45.544649681592347</c:v>
                </c:pt>
                <c:pt idx="25">
                  <c:v>47.442343418325365</c:v>
                </c:pt>
                <c:pt idx="26">
                  <c:v>49.340037155058376</c:v>
                </c:pt>
                <c:pt idx="27">
                  <c:v>51.237730891791387</c:v>
                </c:pt>
                <c:pt idx="28">
                  <c:v>53.135424628524405</c:v>
                </c:pt>
                <c:pt idx="29">
                  <c:v>55.033118365257423</c:v>
                </c:pt>
              </c:numCache>
            </c:numRef>
          </c:xVal>
          <c:yVal>
            <c:numRef>
              <c:f>'Numeric model'!$O$3:$O$32</c:f>
              <c:numCache>
                <c:formatCode>General</c:formatCode>
                <c:ptCount val="30"/>
                <c:pt idx="0">
                  <c:v>0.35</c:v>
                </c:pt>
                <c:pt idx="1">
                  <c:v>0.33989719886532799</c:v>
                </c:pt>
                <c:pt idx="2">
                  <c:v>0.33008601656141812</c:v>
                </c:pt>
                <c:pt idx="3">
                  <c:v>0.32055803546811507</c:v>
                </c:pt>
                <c:pt idx="4">
                  <c:v>0.31130508094109938</c:v>
                </c:pt>
                <c:pt idx="5">
                  <c:v>0.30231921429835396</c:v>
                </c:pt>
                <c:pt idx="6">
                  <c:v>0.2935927260090781</c:v>
                </c:pt>
                <c:pt idx="7">
                  <c:v>0.28511812907920392</c:v>
                </c:pt>
                <c:pt idx="8">
                  <c:v>0.27688815262784122</c:v>
                </c:pt>
                <c:pt idx="9">
                  <c:v>0.26889573564913899</c:v>
                </c:pt>
                <c:pt idx="10">
                  <c:v>0.26113402095421162</c:v>
                </c:pt>
                <c:pt idx="11">
                  <c:v>0.25359634928793257</c:v>
                </c:pt>
                <c:pt idx="12">
                  <c:v>0.24627625361554742</c:v>
                </c:pt>
                <c:pt idx="13">
                  <c:v>0.2391674535742048</c:v>
                </c:pt>
                <c:pt idx="14">
                  <c:v>0.23226385008464454</c:v>
                </c:pt>
                <c:pt idx="15">
                  <c:v>0.22555952011842045</c:v>
                </c:pt>
                <c:pt idx="16">
                  <c:v>0.21904871161616774</c:v>
                </c:pt>
                <c:pt idx="17">
                  <c:v>0.21272583855255559</c:v>
                </c:pt>
                <c:pt idx="18">
                  <c:v>0.20658547614369041</c:v>
                </c:pt>
                <c:pt idx="19">
                  <c:v>0.20062235619285834</c:v>
                </c:pt>
                <c:pt idx="20">
                  <c:v>0.19483136257061326</c:v>
                </c:pt>
                <c:pt idx="21">
                  <c:v>0.18920752682533304</c:v>
                </c:pt>
                <c:pt idx="22">
                  <c:v>0.18374602392047745</c:v>
                </c:pt>
                <c:pt idx="23">
                  <c:v>0.17844216809489097</c:v>
                </c:pt>
                <c:pt idx="24">
                  <c:v>0.17329140884259842</c:v>
                </c:pt>
                <c:pt idx="25">
                  <c:v>0.16828932700864435</c:v>
                </c:pt>
                <c:pt idx="26">
                  <c:v>0.16343163099762689</c:v>
                </c:pt>
                <c:pt idx="27">
                  <c:v>0.15871415309167228</c:v>
                </c:pt>
                <c:pt idx="28">
                  <c:v>0.15413284587469211</c:v>
                </c:pt>
                <c:pt idx="29">
                  <c:v>0.14968377875985481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FA-4783-94B4-D34A87CD12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2109039"/>
        <c:axId val="1802088879"/>
      </c:scatterChart>
      <c:valAx>
        <c:axId val="1802109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802088879"/>
        <c:crosses val="autoZero"/>
        <c:crossBetween val="midCat"/>
      </c:valAx>
      <c:valAx>
        <c:axId val="180208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802109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'Numeric model'!$Y$4</c:f>
              <c:strCache>
                <c:ptCount val="1"/>
                <c:pt idx="0">
                  <c:v>f(Db)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'Numeric model'!$X$5:$X$20</c:f>
              <c:numCache>
                <c:formatCode>General</c:formatCode>
                <c:ptCount val="1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</c:numCache>
            </c:numRef>
          </c:xVal>
          <c:yVal>
            <c:numRef>
              <c:f>'Numeric model'!$Y$5:$Y$20</c:f>
              <c:numCache>
                <c:formatCode>General</c:formatCode>
                <c:ptCount val="16"/>
                <c:pt idx="0">
                  <c:v>1.5961016984297447E-2</c:v>
                </c:pt>
                <c:pt idx="1">
                  <c:v>1.3519028486387611E-2</c:v>
                </c:pt>
                <c:pt idx="2">
                  <c:v>1.1619671213796973E-2</c:v>
                </c:pt>
                <c:pt idx="3">
                  <c:v>1.0106937735276258E-2</c:v>
                </c:pt>
                <c:pt idx="4">
                  <c:v>8.878744709017004E-3</c:v>
                </c:pt>
                <c:pt idx="5">
                  <c:v>7.8657425116618312E-3</c:v>
                </c:pt>
                <c:pt idx="6">
                  <c:v>7.0192129509801119E-3</c:v>
                </c:pt>
                <c:pt idx="7">
                  <c:v>6.3039197258561467E-3</c:v>
                </c:pt>
                <c:pt idx="8">
                  <c:v>5.6937334882368245E-3</c:v>
                </c:pt>
                <c:pt idx="9">
                  <c:v>5.1688620908768588E-3</c:v>
                </c:pt>
                <c:pt idx="10">
                  <c:v>4.7140402465071134E-3</c:v>
                </c:pt>
                <c:pt idx="11">
                  <c:v>4.3173110662332341E-3</c:v>
                </c:pt>
                <c:pt idx="12">
                  <c:v>3.9691839177323227E-3</c:v>
                </c:pt>
                <c:pt idx="13">
                  <c:v>3.6620384180187119E-3</c:v>
                </c:pt>
                <c:pt idx="14">
                  <c:v>3.3896936847984649E-3</c:v>
                </c:pt>
                <c:pt idx="15">
                  <c:v>3.1470912312137399E-3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024-4AA4-A8BA-488691EAB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728144"/>
        <c:axId val="482723824"/>
      </c:scatterChart>
      <c:valAx>
        <c:axId val="482728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82723824"/>
        <c:crosses val="autoZero"/>
        <c:crossBetween val="midCat"/>
      </c:valAx>
      <c:valAx>
        <c:axId val="48272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82728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'De-gassing'!$AN$39</c:f>
              <c:strCache>
                <c:ptCount val="1"/>
                <c:pt idx="0">
                  <c:v>XH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'De-gassing'!$AI$40:$AI$124</c:f>
              <c:numCache>
                <c:formatCode>General</c:formatCode>
                <c:ptCount val="85"/>
                <c:pt idx="0">
                  <c:v>0</c:v>
                </c:pt>
                <c:pt idx="1">
                  <c:v>2.2569196338526254</c:v>
                </c:pt>
                <c:pt idx="2">
                  <c:v>4.5138392677052508</c:v>
                </c:pt>
                <c:pt idx="3">
                  <c:v>6.7707589015578762</c:v>
                </c:pt>
                <c:pt idx="4">
                  <c:v>9.0276785354105016</c:v>
                </c:pt>
                <c:pt idx="5">
                  <c:v>11.284598169263127</c:v>
                </c:pt>
                <c:pt idx="6">
                  <c:v>13.541517803115752</c:v>
                </c:pt>
                <c:pt idx="7">
                  <c:v>15.798437436968378</c:v>
                </c:pt>
                <c:pt idx="8">
                  <c:v>18.055357070821003</c:v>
                </c:pt>
                <c:pt idx="9">
                  <c:v>20.312276704673629</c:v>
                </c:pt>
                <c:pt idx="10">
                  <c:v>22.569196338526254</c:v>
                </c:pt>
                <c:pt idx="11">
                  <c:v>24.826115972378879</c:v>
                </c:pt>
                <c:pt idx="12">
                  <c:v>27.083035606231505</c:v>
                </c:pt>
                <c:pt idx="13">
                  <c:v>29.33995524008413</c:v>
                </c:pt>
                <c:pt idx="14">
                  <c:v>31.596874873936756</c:v>
                </c:pt>
                <c:pt idx="15">
                  <c:v>33.853794507789381</c:v>
                </c:pt>
                <c:pt idx="16">
                  <c:v>36.110714141642006</c:v>
                </c:pt>
                <c:pt idx="17">
                  <c:v>38.367633775494632</c:v>
                </c:pt>
                <c:pt idx="18">
                  <c:v>40.624553409347257</c:v>
                </c:pt>
                <c:pt idx="19">
                  <c:v>42.881473043199883</c:v>
                </c:pt>
                <c:pt idx="20">
                  <c:v>45.138392677052508</c:v>
                </c:pt>
                <c:pt idx="21">
                  <c:v>47.395312310905133</c:v>
                </c:pt>
                <c:pt idx="22">
                  <c:v>49.652231944757759</c:v>
                </c:pt>
                <c:pt idx="23">
                  <c:v>51.909151578610384</c:v>
                </c:pt>
                <c:pt idx="24">
                  <c:v>54.166071212463009</c:v>
                </c:pt>
                <c:pt idx="25">
                  <c:v>56.422990846315635</c:v>
                </c:pt>
                <c:pt idx="26">
                  <c:v>58.67991048016826</c:v>
                </c:pt>
                <c:pt idx="27">
                  <c:v>60.936830114020886</c:v>
                </c:pt>
                <c:pt idx="28">
                  <c:v>63.193749747873511</c:v>
                </c:pt>
                <c:pt idx="29">
                  <c:v>65.450669381726129</c:v>
                </c:pt>
                <c:pt idx="30">
                  <c:v>67.707589015578762</c:v>
                </c:pt>
                <c:pt idx="31">
                  <c:v>69.964508649431394</c:v>
                </c:pt>
                <c:pt idx="32">
                  <c:v>72.221428283284013</c:v>
                </c:pt>
                <c:pt idx="33">
                  <c:v>74.478347917136631</c:v>
                </c:pt>
                <c:pt idx="34">
                  <c:v>76.735267550989263</c:v>
                </c:pt>
                <c:pt idx="35">
                  <c:v>78.992187184841896</c:v>
                </c:pt>
                <c:pt idx="36">
                  <c:v>81.249106818694514</c:v>
                </c:pt>
                <c:pt idx="37">
                  <c:v>83.506026452547133</c:v>
                </c:pt>
                <c:pt idx="38">
                  <c:v>85.762946086399765</c:v>
                </c:pt>
                <c:pt idx="39">
                  <c:v>88.019865720252398</c:v>
                </c:pt>
                <c:pt idx="40">
                  <c:v>90.276785354105016</c:v>
                </c:pt>
                <c:pt idx="41">
                  <c:v>92.533704987957634</c:v>
                </c:pt>
                <c:pt idx="42">
                  <c:v>94.790624621810267</c:v>
                </c:pt>
                <c:pt idx="43">
                  <c:v>97.047544255662899</c:v>
                </c:pt>
                <c:pt idx="44">
                  <c:v>99.304463889515517</c:v>
                </c:pt>
                <c:pt idx="45">
                  <c:v>101.56138352336814</c:v>
                </c:pt>
                <c:pt idx="46">
                  <c:v>103.81830315722077</c:v>
                </c:pt>
                <c:pt idx="47">
                  <c:v>106.0752227910734</c:v>
                </c:pt>
                <c:pt idx="48">
                  <c:v>108.33214242492602</c:v>
                </c:pt>
                <c:pt idx="49">
                  <c:v>110.58906205877864</c:v>
                </c:pt>
                <c:pt idx="50">
                  <c:v>112.84598169263127</c:v>
                </c:pt>
                <c:pt idx="51">
                  <c:v>115.1029013264839</c:v>
                </c:pt>
                <c:pt idx="52">
                  <c:v>117.35982096033652</c:v>
                </c:pt>
                <c:pt idx="53">
                  <c:v>119.61674059418914</c:v>
                </c:pt>
                <c:pt idx="54">
                  <c:v>121.87366022804177</c:v>
                </c:pt>
                <c:pt idx="55">
                  <c:v>124.1305798618944</c:v>
                </c:pt>
                <c:pt idx="56">
                  <c:v>126.38749949574702</c:v>
                </c:pt>
                <c:pt idx="57">
                  <c:v>128.64441912959964</c:v>
                </c:pt>
                <c:pt idx="58">
                  <c:v>130.90133876345226</c:v>
                </c:pt>
                <c:pt idx="59">
                  <c:v>133.15825839730491</c:v>
                </c:pt>
                <c:pt idx="60">
                  <c:v>135.41517803115752</c:v>
                </c:pt>
                <c:pt idx="61">
                  <c:v>137.67209766501014</c:v>
                </c:pt>
                <c:pt idx="62">
                  <c:v>139.92901729886279</c:v>
                </c:pt>
                <c:pt idx="63">
                  <c:v>142.18593693271541</c:v>
                </c:pt>
                <c:pt idx="64">
                  <c:v>144.44285656656803</c:v>
                </c:pt>
                <c:pt idx="65">
                  <c:v>146.69977620042064</c:v>
                </c:pt>
                <c:pt idx="66">
                  <c:v>148.95669583427326</c:v>
                </c:pt>
                <c:pt idx="67">
                  <c:v>151.21361546812591</c:v>
                </c:pt>
                <c:pt idx="68">
                  <c:v>153.47053510197853</c:v>
                </c:pt>
                <c:pt idx="69">
                  <c:v>155.72745473583115</c:v>
                </c:pt>
                <c:pt idx="70">
                  <c:v>157.98437436968379</c:v>
                </c:pt>
                <c:pt idx="71">
                  <c:v>160.24129400353641</c:v>
                </c:pt>
                <c:pt idx="72">
                  <c:v>162.49821363738903</c:v>
                </c:pt>
                <c:pt idx="73">
                  <c:v>164.75513327124165</c:v>
                </c:pt>
                <c:pt idx="74">
                  <c:v>167.01205290509427</c:v>
                </c:pt>
                <c:pt idx="75">
                  <c:v>169.26897253894691</c:v>
                </c:pt>
                <c:pt idx="76">
                  <c:v>171.52589217279953</c:v>
                </c:pt>
                <c:pt idx="77">
                  <c:v>173.78281180665215</c:v>
                </c:pt>
                <c:pt idx="78">
                  <c:v>176.0397314405048</c:v>
                </c:pt>
                <c:pt idx="79">
                  <c:v>178.29665107435741</c:v>
                </c:pt>
                <c:pt idx="80">
                  <c:v>180.55357070821003</c:v>
                </c:pt>
                <c:pt idx="81">
                  <c:v>182.81049034206265</c:v>
                </c:pt>
                <c:pt idx="82">
                  <c:v>185.06740997591527</c:v>
                </c:pt>
                <c:pt idx="83">
                  <c:v>187.32432960976791</c:v>
                </c:pt>
                <c:pt idx="84">
                  <c:v>189.58124924362053</c:v>
                </c:pt>
              </c:numCache>
            </c:numRef>
          </c:xVal>
          <c:yVal>
            <c:numRef>
              <c:f>'De-gassing'!$AN$40:$AN$124</c:f>
              <c:numCache>
                <c:formatCode>General</c:formatCode>
                <c:ptCount val="85"/>
                <c:pt idx="0">
                  <c:v>0.35</c:v>
                </c:pt>
                <c:pt idx="1">
                  <c:v>0.30292410109110063</c:v>
                </c:pt>
                <c:pt idx="2">
                  <c:v>0.26218003149100383</c:v>
                </c:pt>
                <c:pt idx="3">
                  <c:v>0.22691614389556797</c:v>
                </c:pt>
                <c:pt idx="4">
                  <c:v>0.19639533975035359</c:v>
                </c:pt>
                <c:pt idx="5">
                  <c:v>0.16997966214959193</c:v>
                </c:pt>
                <c:pt idx="6">
                  <c:v>0.14711696102981173</c:v>
                </c:pt>
                <c:pt idx="7">
                  <c:v>0.12732935192917202</c:v>
                </c:pt>
                <c:pt idx="8">
                  <c:v>0.11020322707330521</c:v>
                </c:pt>
                <c:pt idx="9">
                  <c:v>9.5380609995769805E-2</c:v>
                </c:pt>
                <c:pt idx="10">
                  <c:v>8.2551672984255475E-2</c:v>
                </c:pt>
                <c:pt idx="11">
                  <c:v>7.1448260949491679E-2</c:v>
                </c:pt>
                <c:pt idx="12">
                  <c:v>6.1838286350420421E-2</c:v>
                </c:pt>
                <c:pt idx="13">
                  <c:v>5.3520878016329106E-2</c:v>
                </c:pt>
                <c:pt idx="14">
                  <c:v>4.6322182464865545E-2</c:v>
                </c:pt>
                <c:pt idx="15">
                  <c:v>4.0091729953563825E-2</c:v>
                </c:pt>
                <c:pt idx="16">
                  <c:v>3.4699289306772775E-2</c:v>
                </c:pt>
                <c:pt idx="17">
                  <c:v>3.0032145776440533E-2</c:v>
                </c:pt>
                <c:pt idx="18">
                  <c:v>2.599274503761469E-2</c:v>
                </c:pt>
                <c:pt idx="19">
                  <c:v>2.2496654072598855E-2</c:v>
                </c:pt>
                <c:pt idx="20">
                  <c:v>1.9470796321427012E-2</c:v>
                </c:pt>
                <c:pt idx="21">
                  <c:v>1.6851924209131959E-2</c:v>
                </c:pt>
                <c:pt idx="22">
                  <c:v>1.458529712201902E-2</c:v>
                </c:pt>
                <c:pt idx="23">
                  <c:v>1.2623537199526365E-2</c:v>
                </c:pt>
                <c:pt idx="24">
                  <c:v>1.0925639025018839E-2</c:v>
                </c:pt>
                <c:pt idx="25">
                  <c:v>9.4561125157133757E-3</c:v>
                </c:pt>
                <c:pt idx="26">
                  <c:v>8.1842410961108E-3</c:v>
                </c:pt>
                <c:pt idx="27">
                  <c:v>7.0834396490063074E-3</c:v>
                </c:pt>
                <c:pt idx="28">
                  <c:v>6.1306988237379931E-3</c:v>
                </c:pt>
                <c:pt idx="29">
                  <c:v>5.3061040864031406E-3</c:v>
                </c:pt>
                <c:pt idx="30">
                  <c:v>4.5924194590556766E-3</c:v>
                </c:pt>
                <c:pt idx="31">
                  <c:v>3.9747272470506264E-3</c:v>
                </c:pt>
                <c:pt idx="32">
                  <c:v>3.4401162239860454E-3</c:v>
                </c:pt>
                <c:pt idx="33">
                  <c:v>2.9774117565710997E-3</c:v>
                </c:pt>
                <c:pt idx="34">
                  <c:v>2.5769422283925003E-3</c:v>
                </c:pt>
                <c:pt idx="35">
                  <c:v>2.2303368802842716E-3</c:v>
                </c:pt>
                <c:pt idx="36">
                  <c:v>1.9303508416869805E-3</c:v>
                </c:pt>
                <c:pt idx="37">
                  <c:v>1.6707136957385101E-3</c:v>
                </c:pt>
                <c:pt idx="38">
                  <c:v>1.4459984127490816E-3</c:v>
                </c:pt>
                <c:pt idx="39">
                  <c:v>1.2515079124604954E-3</c:v>
                </c:pt>
                <c:pt idx="40">
                  <c:v>1.0831768839728449E-3</c:v>
                </c:pt>
                <c:pt idx="41">
                  <c:v>9.3748681114323913E-4</c:v>
                </c:pt>
                <c:pt idx="42">
                  <c:v>8.1139242728665102E-4</c:v>
                </c:pt>
                <c:pt idx="43">
                  <c:v>7.0225806190838541E-4</c:v>
                </c:pt>
                <c:pt idx="44">
                  <c:v>6.078025489645038E-4</c:v>
                </c:pt>
                <c:pt idx="45">
                  <c:v>5.2605154510271983E-4</c:v>
                </c:pt>
                <c:pt idx="46">
                  <c:v>4.5529626122235988E-4</c:v>
                </c:pt>
                <c:pt idx="47">
                  <c:v>3.9405774474549223E-4</c:v>
                </c:pt>
                <c:pt idx="48">
                  <c:v>3.4105596601432739E-4</c:v>
                </c:pt>
                <c:pt idx="49">
                  <c:v>2.9518306264756332E-4</c:v>
                </c:pt>
                <c:pt idx="50">
                  <c:v>2.5548018259951758E-4</c:v>
                </c:pt>
                <c:pt idx="51">
                  <c:v>2.2111744188728293E-4</c:v>
                </c:pt>
                <c:pt idx="52">
                  <c:v>1.9137657805505404E-4</c:v>
                </c:pt>
                <c:pt idx="53">
                  <c:v>1.6563593679205183E-4</c:v>
                </c:pt>
                <c:pt idx="54">
                  <c:v>1.4335747788889888E-4</c:v>
                </c:pt>
                <c:pt idx="55">
                  <c:v>1.2407552892623432E-4</c:v>
                </c:pt>
                <c:pt idx="56">
                  <c:v>1.0738705162109261E-4</c:v>
                </c:pt>
                <c:pt idx="57">
                  <c:v>9.294321737469456E-5</c:v>
                </c:pt>
                <c:pt idx="58">
                  <c:v>8.0442115930697456E-5</c:v>
                </c:pt>
                <c:pt idx="59">
                  <c:v>6.9622444737636087E-5</c:v>
                </c:pt>
                <c:pt idx="60">
                  <c:v>6.0258047108323527E-5</c:v>
                </c:pt>
                <c:pt idx="61">
                  <c:v>5.215318501084028E-5</c:v>
                </c:pt>
                <c:pt idx="62">
                  <c:v>4.5138447681276145E-5</c:v>
                </c:pt>
                <c:pt idx="63">
                  <c:v>3.906721053856643E-5</c:v>
                </c:pt>
                <c:pt idx="64">
                  <c:v>3.3812570384377162E-5</c:v>
                </c:pt>
                <c:pt idx="65">
                  <c:v>2.9264692826477253E-5</c:v>
                </c:pt>
                <c:pt idx="66">
                  <c:v>2.5328516480479433E-5</c:v>
                </c:pt>
                <c:pt idx="67">
                  <c:v>2.1921765962343844E-5</c:v>
                </c:pt>
                <c:pt idx="68">
                  <c:v>1.8973232138492873E-5</c:v>
                </c:pt>
                <c:pt idx="69">
                  <c:v>1.6421283686702097E-5</c:v>
                </c:pt>
                <c:pt idx="70">
                  <c:v>1.4212578855874792E-5</c:v>
                </c:pt>
                <c:pt idx="71">
                  <c:v>1.2300950497435034E-5</c:v>
                </c:pt>
                <c:pt idx="72">
                  <c:v>1.0646441062861812E-5</c:v>
                </c:pt>
                <c:pt idx="73">
                  <c:v>9.2144673965337184E-6</c:v>
                </c:pt>
                <c:pt idx="74">
                  <c:v>7.9750978660806593E-6</c:v>
                </c:pt>
                <c:pt idx="75">
                  <c:v>6.9024267205600952E-6</c:v>
                </c:pt>
                <c:pt idx="76">
                  <c:v>5.974032599065325E-6</c:v>
                </c:pt>
                <c:pt idx="77">
                  <c:v>5.1705098713165572E-6</c:v>
                </c:pt>
                <c:pt idx="78">
                  <c:v>4.4750630141463644E-6</c:v>
                </c:pt>
                <c:pt idx="79">
                  <c:v>3.8731555453894882E-6</c:v>
                </c:pt>
                <c:pt idx="80">
                  <c:v>3.3522061770660628E-6</c:v>
                </c:pt>
                <c:pt idx="81">
                  <c:v>2.9013258367422052E-6</c:v>
                </c:pt>
                <c:pt idx="82">
                  <c:v>2.5110900601929121E-6</c:v>
                </c:pt>
                <c:pt idx="83">
                  <c:v>2.1733419978363834E-6</c:v>
                </c:pt>
                <c:pt idx="84">
                  <c:v>1.8810219173089231E-6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2B-4A72-9AE9-6BB66CB56C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8818095"/>
        <c:axId val="648818575"/>
      </c:scatterChart>
      <c:valAx>
        <c:axId val="648818095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48818575"/>
        <c:crosses val="autoZero"/>
        <c:crossBetween val="midCat"/>
      </c:valAx>
      <c:valAx>
        <c:axId val="648818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48818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'De-gassing'!$K$2</c:f>
              <c:strCache>
                <c:ptCount val="1"/>
                <c:pt idx="0">
                  <c:v>ub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'De-gassing'!$J$3:$J$22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'De-gassing'!$K$3:$K$22</c:f>
              <c:numCache>
                <c:formatCode>General</c:formatCode>
                <c:ptCount val="20"/>
                <c:pt idx="0">
                  <c:v>0.87798772588716223</c:v>
                </c:pt>
                <c:pt idx="1">
                  <c:v>0.62672858830936962</c:v>
                </c:pt>
                <c:pt idx="2">
                  <c:v>0.519648101060872</c:v>
                </c:pt>
                <c:pt idx="3">
                  <c:v>0.45946638800039297</c:v>
                </c:pt>
                <c:pt idx="4">
                  <c:v>0.42156433596985182</c:v>
                </c:pt>
                <c:pt idx="5">
                  <c:v>0.39634527178721979</c:v>
                </c:pt>
                <c:pt idx="6">
                  <c:v>0.37915365275995405</c:v>
                </c:pt>
                <c:pt idx="7">
                  <c:v>0.3674026141048316</c:v>
                </c:pt>
                <c:pt idx="8">
                  <c:v>0.35951548364253161</c:v>
                </c:pt>
                <c:pt idx="9">
                  <c:v>0.35446543510030859</c:v>
                </c:pt>
                <c:pt idx="10">
                  <c:v>0.35155013179404454</c:v>
                </c:pt>
                <c:pt idx="11">
                  <c:v>0.35027101968910096</c:v>
                </c:pt>
                <c:pt idx="12">
                  <c:v>0.35026390564923282</c:v>
                </c:pt>
                <c:pt idx="13">
                  <c:v>0.35125666712620263</c:v>
                </c:pt>
                <c:pt idx="14">
                  <c:v>0.35304224929494493</c:v>
                </c:pt>
                <c:pt idx="15">
                  <c:v>0.35546074386003851</c:v>
                </c:pt>
                <c:pt idx="16">
                  <c:v>0.35838710970192639</c:v>
                </c:pt>
                <c:pt idx="17">
                  <c:v>0.36172253384239372</c:v>
                </c:pt>
                <c:pt idx="18">
                  <c:v>0.36538821797100529</c:v>
                </c:pt>
                <c:pt idx="19">
                  <c:v>0.36932082576051078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2F-441B-8940-09B92FC834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5653183"/>
        <c:axId val="955640223"/>
      </c:scatterChart>
      <c:valAx>
        <c:axId val="955653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955640223"/>
        <c:crosses val="autoZero"/>
        <c:crossBetween val="midCat"/>
      </c:valAx>
      <c:valAx>
        <c:axId val="95564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955653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>
        <c:manualLayout>
          <c:layoutTarget val="inner"/>
          <c:xMode val="edge"/>
          <c:yMode val="edge"/>
          <c:x val="9.1227141689256067E-2"/>
          <c:y val="0.16245370370370371"/>
          <c:w val="0.8607947162342412"/>
          <c:h val="0.7212580198308544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'De-gassing'!$L$2</c:f>
              <c:strCache>
                <c:ptCount val="1"/>
                <c:pt idx="0">
                  <c:v>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'De-gassing'!$J$3:$J$22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'De-gassing'!$L$3:$L$22</c:f>
              <c:numCache>
                <c:formatCode>General</c:formatCode>
                <c:ptCount val="20"/>
                <c:pt idx="0">
                  <c:v>1.2759865947943188E-2</c:v>
                </c:pt>
                <c:pt idx="1">
                  <c:v>7.623012720331058E-3</c:v>
                </c:pt>
                <c:pt idx="2">
                  <c:v>5.6675574937173198E-3</c:v>
                </c:pt>
                <c:pt idx="3">
                  <c:v>4.6152875777671068E-3</c:v>
                </c:pt>
                <c:pt idx="4">
                  <c:v>3.9541106545051118E-3</c:v>
                </c:pt>
                <c:pt idx="5">
                  <c:v>3.4999601949439281E-3</c:v>
                </c:pt>
                <c:pt idx="6">
                  <c:v>3.1692791365809641E-3</c:v>
                </c:pt>
                <c:pt idx="7">
                  <c:v>2.9182871110957137E-3</c:v>
                </c:pt>
                <c:pt idx="8">
                  <c:v>2.7216948685118317E-3</c:v>
                </c:pt>
                <c:pt idx="9">
                  <c:v>2.5638277016345728E-3</c:v>
                </c:pt>
                <c:pt idx="10">
                  <c:v>2.4344405842917412E-3</c:v>
                </c:pt>
                <c:pt idx="11">
                  <c:v>2.3265552468065983E-3</c:v>
                </c:pt>
                <c:pt idx="12">
                  <c:v>2.235259278863188E-3</c:v>
                </c:pt>
                <c:pt idx="13">
                  <c:v>2.1570000730138654E-3</c:v>
                </c:pt>
                <c:pt idx="14">
                  <c:v>2.0891498915733709E-3</c:v>
                </c:pt>
                <c:pt idx="15">
                  <c:v>2.0297274300732624E-3</c:v>
                </c:pt>
                <c:pt idx="16">
                  <c:v>1.9772137374174962E-3</c:v>
                </c:pt>
                <c:pt idx="17">
                  <c:v>1.930427159756744E-3</c:v>
                </c:pt>
                <c:pt idx="18">
                  <c:v>1.8884363815103991E-3</c:v>
                </c:pt>
                <c:pt idx="19">
                  <c:v>1.8504987269238784E-3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2F-441B-8940-09B92FC834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5653183"/>
        <c:axId val="955640223"/>
      </c:scatterChart>
      <c:valAx>
        <c:axId val="955653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955640223"/>
        <c:crosses val="autoZero"/>
        <c:crossBetween val="midCat"/>
      </c:valAx>
      <c:valAx>
        <c:axId val="95564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955653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'De-gassing'!$M$2</c:f>
              <c:strCache>
                <c:ptCount val="1"/>
                <c:pt idx="0">
                  <c:v>Pr/Ps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'De-gassing'!$J$3:$J$22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'De-gassing'!$M$3:$M$22</c:f>
              <c:numCache>
                <c:formatCode>0.00%</c:formatCode>
                <c:ptCount val="20"/>
                <c:pt idx="0">
                  <c:v>4.441154700222058E-2</c:v>
                </c:pt>
                <c:pt idx="1">
                  <c:v>2.220577350111029E-2</c:v>
                </c:pt>
                <c:pt idx="2">
                  <c:v>1.4803849000740192E-2</c:v>
                </c:pt>
                <c:pt idx="3">
                  <c:v>1.1102886750555145E-2</c:v>
                </c:pt>
                <c:pt idx="4">
                  <c:v>8.8823094004441151E-3</c:v>
                </c:pt>
                <c:pt idx="5">
                  <c:v>7.4019245003700959E-3</c:v>
                </c:pt>
                <c:pt idx="6">
                  <c:v>6.3445067146029399E-3</c:v>
                </c:pt>
                <c:pt idx="7">
                  <c:v>5.5514433752775726E-3</c:v>
                </c:pt>
                <c:pt idx="8">
                  <c:v>4.9346163335800648E-3</c:v>
                </c:pt>
                <c:pt idx="9">
                  <c:v>4.4411547002220575E-3</c:v>
                </c:pt>
                <c:pt idx="10">
                  <c:v>4.0374133638382348E-3</c:v>
                </c:pt>
                <c:pt idx="11">
                  <c:v>3.7009622501850479E-3</c:v>
                </c:pt>
                <c:pt idx="12">
                  <c:v>3.4162728463246602E-3</c:v>
                </c:pt>
                <c:pt idx="13">
                  <c:v>3.17225335730147E-3</c:v>
                </c:pt>
                <c:pt idx="14">
                  <c:v>2.9607698001480388E-3</c:v>
                </c:pt>
                <c:pt idx="15">
                  <c:v>2.7757216876387863E-3</c:v>
                </c:pt>
                <c:pt idx="16">
                  <c:v>2.6124439413070925E-3</c:v>
                </c:pt>
                <c:pt idx="17">
                  <c:v>2.4673081667900324E-3</c:v>
                </c:pt>
                <c:pt idx="18">
                  <c:v>2.3374498422221359E-3</c:v>
                </c:pt>
                <c:pt idx="19">
                  <c:v>2.2205773501110288E-3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2F-441B-8940-09B92FC834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5653183"/>
        <c:axId val="955640223"/>
      </c:scatterChart>
      <c:valAx>
        <c:axId val="955653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955640223"/>
        <c:crosses val="autoZero"/>
        <c:crossBetween val="midCat"/>
      </c:valAx>
      <c:valAx>
        <c:axId val="95564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955653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'De-gassing'!$AA$20</c:f>
              <c:strCache>
                <c:ptCount val="1"/>
                <c:pt idx="0">
                  <c:v>TAr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'De-gassing'!$Z$21:$Z$31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'De-gassing'!$AA$21:$AA$31</c:f>
              <c:numCache>
                <c:formatCode>0.00E+00</c:formatCode>
                <c:ptCount val="11"/>
                <c:pt idx="0" formatCode="General">
                  <c:v>20</c:v>
                </c:pt>
                <c:pt idx="1">
                  <c:v>458.57989211295643</c:v>
                </c:pt>
                <c:pt idx="2" formatCode="General">
                  <c:v>614.2887228056004</c:v>
                </c:pt>
                <c:pt idx="3" formatCode="General">
                  <c:v>669.56996207734073</c:v>
                </c:pt>
                <c:pt idx="4" formatCode="General">
                  <c:v>689.19643670838934</c:v>
                </c:pt>
                <c:pt idx="5" formatCode="General">
                  <c:v>696.16441556555128</c:v>
                </c:pt>
                <c:pt idx="6" formatCode="General">
                  <c:v>698.63825410591994</c:v>
                </c:pt>
                <c:pt idx="7" formatCode="General">
                  <c:v>699.51653994020069</c:v>
                </c:pt>
                <c:pt idx="8" formatCode="General">
                  <c:v>699.82835738265317</c:v>
                </c:pt>
                <c:pt idx="9" formatCode="General">
                  <c:v>699.93906179529722</c:v>
                </c:pt>
                <c:pt idx="10" formatCode="General">
                  <c:v>699.97836513536208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6EA-499F-9C6F-6BF0A01C0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0174463"/>
        <c:axId val="930172063"/>
      </c:scatterChart>
      <c:valAx>
        <c:axId val="930174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930172063"/>
        <c:crosses val="autoZero"/>
        <c:crossBetween val="midCat"/>
      </c:valAx>
      <c:valAx>
        <c:axId val="93017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930174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'De-gassing'!$AB$39</c:f>
              <c:strCache>
                <c:ptCount val="1"/>
                <c:pt idx="0">
                  <c:v>X*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'De-gassing'!$W$40:$W$156</c:f>
              <c:numCache>
                <c:formatCode>General</c:formatCode>
                <c:ptCount val="117"/>
                <c:pt idx="0">
                  <c:v>0</c:v>
                </c:pt>
                <c:pt idx="1">
                  <c:v>3.5346655241962566E-2</c:v>
                </c:pt>
                <c:pt idx="2">
                  <c:v>7.6522660106398743E-2</c:v>
                </c:pt>
                <c:pt idx="3">
                  <c:v>0.12272821892379993</c:v>
                </c:pt>
                <c:pt idx="4">
                  <c:v>0.17400900443977374</c:v>
                </c:pt>
                <c:pt idx="5">
                  <c:v>0.2306663644866016</c:v>
                </c:pt>
                <c:pt idx="6">
                  <c:v>0.29318011801293198</c:v>
                </c:pt>
                <c:pt idx="7">
                  <c:v>0.35068992631050699</c:v>
                </c:pt>
                <c:pt idx="8">
                  <c:v>0.43858948260729336</c:v>
                </c:pt>
                <c:pt idx="9">
                  <c:v>0.5234403280721267</c:v>
                </c:pt>
                <c:pt idx="10">
                  <c:v>0.61819036073012446</c:v>
                </c:pt>
                <c:pt idx="11">
                  <c:v>0.72473271952192297</c:v>
                </c:pt>
                <c:pt idx="12">
                  <c:v>0.84562177405039574</c:v>
                </c:pt>
                <c:pt idx="13">
                  <c:v>0.98440670083696147</c:v>
                </c:pt>
                <c:pt idx="14">
                  <c:v>1.1462112899938393</c:v>
                </c:pt>
                <c:pt idx="15">
                  <c:v>1.3388142123578786</c:v>
                </c:pt>
                <c:pt idx="16">
                  <c:v>1.5748563611017365</c:v>
                </c:pt>
                <c:pt idx="17">
                  <c:v>1.8769660974703386</c:v>
                </c:pt>
                <c:pt idx="18">
                  <c:v>2.2921553416863727</c:v>
                </c:pt>
                <c:pt idx="19">
                  <c:v>2.9477816004838147</c:v>
                </c:pt>
                <c:pt idx="20">
                  <c:v>4.5387276384590711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</c:numCache>
            </c:numRef>
          </c:xVal>
          <c:yVal>
            <c:numRef>
              <c:f>'De-gassing'!$AB$40:$AB$156</c:f>
              <c:numCache>
                <c:formatCode>General</c:formatCode>
                <c:ptCount val="117"/>
                <c:pt idx="0">
                  <c:v>0</c:v>
                </c:pt>
                <c:pt idx="1">
                  <c:v>7.7552693551348834E-2</c:v>
                </c:pt>
                <c:pt idx="2">
                  <c:v>0.10967607101888201</c:v>
                </c:pt>
                <c:pt idx="3">
                  <c:v>0.13432520549475541</c:v>
                </c:pt>
                <c:pt idx="4">
                  <c:v>0.15510538710269767</c:v>
                </c:pt>
                <c:pt idx="5">
                  <c:v>0.1734130946190256</c:v>
                </c:pt>
                <c:pt idx="6">
                  <c:v>0.18996452737923611</c:v>
                </c:pt>
                <c:pt idx="7">
                  <c:v>0.20282661239382482</c:v>
                </c:pt>
                <c:pt idx="8">
                  <c:v>0.21935214203776401</c:v>
                </c:pt>
                <c:pt idx="9">
                  <c:v>0.23265808065404647</c:v>
                </c:pt>
                <c:pt idx="10">
                  <c:v>0.24524315030331478</c:v>
                </c:pt>
                <c:pt idx="11">
                  <c:v>0.25721318599123888</c:v>
                </c:pt>
                <c:pt idx="12">
                  <c:v>0.26865041098951081</c:v>
                </c:pt>
                <c:pt idx="13">
                  <c:v>0.27962021314973373</c:v>
                </c:pt>
                <c:pt idx="14">
                  <c:v>0.29017560869062015</c:v>
                </c:pt>
                <c:pt idx="15">
                  <c:v>0.30036029057790137</c:v>
                </c:pt>
                <c:pt idx="16">
                  <c:v>0.31021077420539533</c:v>
                </c:pt>
                <c:pt idx="17">
                  <c:v>0.31975794706336885</c:v>
                </c:pt>
                <c:pt idx="18">
                  <c:v>0.32902821305664592</c:v>
                </c:pt>
                <c:pt idx="19">
                  <c:v>0.33804435398970806</c:v>
                </c:pt>
                <c:pt idx="20">
                  <c:v>0.3468261892380512</c:v>
                </c:pt>
                <c:pt idx="21">
                  <c:v>0.35539108854676971</c:v>
                </c:pt>
                <c:pt idx="22">
                  <c:v>0.36375437605000344</c:v>
                </c:pt>
                <c:pt idx="23">
                  <c:v>0.37192965245136989</c:v>
                </c:pt>
                <c:pt idx="24">
                  <c:v>0.37992905475847222</c:v>
                </c:pt>
                <c:pt idx="25">
                  <c:v>0.38776346775674425</c:v>
                </c:pt>
                <c:pt idx="26">
                  <c:v>0.39544269775000901</c:v>
                </c:pt>
                <c:pt idx="27">
                  <c:v>0.40297561648426627</c:v>
                </c:pt>
                <c:pt idx="28">
                  <c:v>0.41037028128014319</c:v>
                </c:pt>
                <c:pt idx="29">
                  <c:v>0.41763403601121074</c:v>
                </c:pt>
                <c:pt idx="30">
                  <c:v>0.42477359653359187</c:v>
                </c:pt>
                <c:pt idx="31">
                  <c:v>0.43179512339667775</c:v>
                </c:pt>
                <c:pt idx="32">
                  <c:v>0.43870428407552803</c:v>
                </c:pt>
                <c:pt idx="33">
                  <c:v>0.44550630651348916</c:v>
                </c:pt>
                <c:pt idx="34">
                  <c:v>0.45220602541359445</c:v>
                </c:pt>
                <c:pt idx="35">
                  <c:v>0.45880792244405488</c:v>
                </c:pt>
                <c:pt idx="36">
                  <c:v>0.46531616130809295</c:v>
                </c:pt>
                <c:pt idx="37">
                  <c:v>0.47173461845784503</c:v>
                </c:pt>
                <c:pt idx="38">
                  <c:v>0.47806691009589664</c:v>
                </c:pt>
                <c:pt idx="39">
                  <c:v>0.48431641599857789</c:v>
                </c:pt>
                <c:pt idx="40">
                  <c:v>0.49048630060662957</c:v>
                </c:pt>
                <c:pt idx="41">
                  <c:v>0.49657953175684394</c:v>
                </c:pt>
                <c:pt idx="42">
                  <c:v>0.50259889736937924</c:v>
                </c:pt>
                <c:pt idx="43">
                  <c:v>0.50854702035700217</c:v>
                </c:pt>
                <c:pt idx="44">
                  <c:v>0.51442637198247776</c:v>
                </c:pt>
                <c:pt idx="45">
                  <c:v>0.52023928385707674</c:v>
                </c:pt>
                <c:pt idx="46">
                  <c:v>0.52598795874543891</c:v>
                </c:pt>
                <c:pt idx="47">
                  <c:v>0.53167448031879705</c:v>
                </c:pt>
                <c:pt idx="48">
                  <c:v>0.53730082197902163</c:v>
                </c:pt>
                <c:pt idx="49">
                  <c:v>0.54286885485944192</c:v>
                </c:pt>
                <c:pt idx="50">
                  <c:v>0.54838035509440997</c:v>
                </c:pt>
                <c:pt idx="51">
                  <c:v>0.5538370104376743</c:v>
                </c:pt>
                <c:pt idx="52">
                  <c:v>0.55924042629946746</c:v>
                </c:pt>
                <c:pt idx="53">
                  <c:v>0.56459213126351615</c:v>
                </c:pt>
                <c:pt idx="54">
                  <c:v>0.56989358213770835</c:v>
                </c:pt>
                <c:pt idx="55">
                  <c:v>0.57514616858570689</c:v>
                </c:pt>
                <c:pt idx="56">
                  <c:v>0.58035121738124029</c:v>
                </c:pt>
                <c:pt idx="57">
                  <c:v>0.58550999632197331</c:v>
                </c:pt>
                <c:pt idx="58">
                  <c:v>0.59062371783566781</c:v>
                </c:pt>
                <c:pt idx="59">
                  <c:v>0.59569354230770022</c:v>
                </c:pt>
                <c:pt idx="60">
                  <c:v>0.60072058115580274</c:v>
                </c:pt>
                <c:pt idx="61">
                  <c:v>0.60570589967511035</c:v>
                </c:pt>
                <c:pt idx="62">
                  <c:v>0.61065051967414574</c:v>
                </c:pt>
                <c:pt idx="63">
                  <c:v>0.61555542192021484</c:v>
                </c:pt>
                <c:pt idx="64">
                  <c:v>0.62042154841079067</c:v>
                </c:pt>
                <c:pt idx="65">
                  <c:v>0.62524980448578515</c:v>
                </c:pt>
                <c:pt idx="66">
                  <c:v>0.63004106079412159</c:v>
                </c:pt>
                <c:pt idx="67">
                  <c:v>0.63479615512670784</c:v>
                </c:pt>
                <c:pt idx="68">
                  <c:v>0.63951589412673771</c:v>
                </c:pt>
                <c:pt idx="69">
                  <c:v>0.64420105488720691</c:v>
                </c:pt>
                <c:pt idx="70">
                  <c:v>0.64885238644460552</c:v>
                </c:pt>
                <c:pt idx="71">
                  <c:v>0.65347061117691363</c:v>
                </c:pt>
                <c:pt idx="72">
                  <c:v>0.65805642611329185</c:v>
                </c:pt>
                <c:pt idx="73">
                  <c:v>2.5391846205068314</c:v>
                </c:pt>
                <c:pt idx="74">
                  <c:v>3.5301386394995662</c:v>
                </c:pt>
                <c:pt idx="75">
                  <c:v>4.298406575832173</c:v>
                </c:pt>
                <c:pt idx="76">
                  <c:v>4.9488098941287584</c:v>
                </c:pt>
                <c:pt idx="77">
                  <c:v>5.5231458106133786</c:v>
                </c:pt>
                <c:pt idx="78">
                  <c:v>6.0431415606756671</c:v>
                </c:pt>
                <c:pt idx="79">
                  <c:v>6.5218080468099453</c:v>
                </c:pt>
                <c:pt idx="80">
                  <c:v>6.9676682237678618</c:v>
                </c:pt>
                <c:pt idx="81">
                  <c:v>7.3866650630425772</c:v>
                </c:pt>
                <c:pt idx="82">
                  <c:v>7.7831382507728364</c:v>
                </c:pt>
                <c:pt idx="83">
                  <c:v>8.1603713952070009</c:v>
                </c:pt>
                <c:pt idx="84">
                  <c:v>8.5209202311007513</c:v>
                </c:pt>
                <c:pt idx="85">
                  <c:v>8.8668202790995778</c:v>
                </c:pt>
                <c:pt idx="86">
                  <c:v>9.1997240251499353</c:v>
                </c:pt>
                <c:pt idx="87">
                  <c:v>9.520994822810815</c:v>
                </c:pt>
                <c:pt idx="88">
                  <c:v>9.8317731205037351</c:v>
                </c:pt>
                <c:pt idx="89">
                  <c:v>10.133024374298584</c:v>
                </c:pt>
                <c:pt idx="90">
                  <c:v>10.425574480439849</c:v>
                </c:pt>
                <c:pt idx="91">
                  <c:v>10.71013648485714</c:v>
                </c:pt>
                <c:pt idx="92">
                  <c:v>10.987331059057857</c:v>
                </c:pt>
                <c:pt idx="93">
                  <c:v>11.257702433374535</c:v>
                </c:pt>
                <c:pt idx="94">
                  <c:v>11.521730961772901</c:v>
                </c:pt>
                <c:pt idx="95">
                  <c:v>11.779843149742943</c:v>
                </c:pt>
                <c:pt idx="96">
                  <c:v>12.032419744574039</c:v>
                </c:pt>
                <c:pt idx="97">
                  <c:v>12.279802326857082</c:v>
                </c:pt>
                <c:pt idx="98">
                  <c:v>12.522298729217171</c:v>
                </c:pt>
                <c:pt idx="99">
                  <c:v>12.760187527651128</c:v>
                </c:pt>
                <c:pt idx="100">
                  <c:v>12.99372179238469</c:v>
                </c:pt>
                <c:pt idx="101">
                  <c:v>13.223132242209571</c:v>
                </c:pt>
                <c:pt idx="102">
                  <c:v>13.448629914308434</c:v>
                </c:pt>
                <c:pt idx="103">
                  <c:v>13.67040843753767</c:v>
                </c:pt>
                <c:pt idx="104">
                  <c:v>13.888645978862396</c:v>
                </c:pt>
                <c:pt idx="105">
                  <c:v>14.103506918608577</c:v>
                </c:pt>
                <c:pt idx="106">
                  <c:v>14.31514329932849</c:v>
                </c:pt>
                <c:pt idx="107">
                  <c:v>14.523696084584628</c:v>
                </c:pt>
                <c:pt idx="108">
                  <c:v>14.729296257270686</c:v>
                </c:pt>
                <c:pt idx="109">
                  <c:v>14.932065781783766</c:v>
                </c:pt>
                <c:pt idx="110">
                  <c:v>15.13211845012413</c:v>
                </c:pt>
                <c:pt idx="111">
                  <c:v>15.329560628591302</c:v>
                </c:pt>
                <c:pt idx="112">
                  <c:v>15.524491918988073</c:v>
                </c:pt>
                <c:pt idx="113">
                  <c:v>15.717005745999947</c:v>
                </c:pt>
                <c:pt idx="114">
                  <c:v>15.907189880581196</c:v>
                </c:pt>
                <c:pt idx="115">
                  <c:v>16.095126907667868</c:v>
                </c:pt>
                <c:pt idx="116">
                  <c:v>16.280894645289113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437-4DE7-8F5B-DD2B1A637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245935"/>
        <c:axId val="552239695"/>
      </c:scatterChart>
      <c:valAx>
        <c:axId val="552245935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52239695"/>
        <c:crosses val="autoZero"/>
        <c:crossBetween val="midCat"/>
      </c:valAx>
      <c:valAx>
        <c:axId val="55223969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52245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'De-gassing'!$T$2</c:f>
              <c:strCache>
                <c:ptCount val="1"/>
                <c:pt idx="0">
                  <c:v>XH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'De-gassing'!$S$3:$S$24</c:f>
              <c:numCache>
                <c:formatCode>General</c:formatCode>
                <c:ptCount val="22"/>
                <c:pt idx="0">
                  <c:v>0</c:v>
                </c:pt>
                <c:pt idx="1">
                  <c:v>2.2569196338526254</c:v>
                </c:pt>
                <c:pt idx="2">
                  <c:v>4.5138392677052508</c:v>
                </c:pt>
                <c:pt idx="3">
                  <c:v>6.7707589015578762</c:v>
                </c:pt>
                <c:pt idx="4">
                  <c:v>9.0276785354105016</c:v>
                </c:pt>
                <c:pt idx="5">
                  <c:v>11.284598169263127</c:v>
                </c:pt>
                <c:pt idx="6">
                  <c:v>13.541517803115752</c:v>
                </c:pt>
                <c:pt idx="7">
                  <c:v>15.798437436968378</c:v>
                </c:pt>
                <c:pt idx="8">
                  <c:v>18.055357070821003</c:v>
                </c:pt>
                <c:pt idx="9">
                  <c:v>20.312276704673629</c:v>
                </c:pt>
                <c:pt idx="10">
                  <c:v>22.569196338526254</c:v>
                </c:pt>
                <c:pt idx="11">
                  <c:v>24.826115972378879</c:v>
                </c:pt>
                <c:pt idx="12">
                  <c:v>27.083035606231505</c:v>
                </c:pt>
                <c:pt idx="13">
                  <c:v>29.33995524008413</c:v>
                </c:pt>
                <c:pt idx="14">
                  <c:v>31.596874873936756</c:v>
                </c:pt>
                <c:pt idx="15">
                  <c:v>33.853794507789381</c:v>
                </c:pt>
                <c:pt idx="16">
                  <c:v>36.110714141642006</c:v>
                </c:pt>
                <c:pt idx="17">
                  <c:v>38.367633775494632</c:v>
                </c:pt>
                <c:pt idx="18">
                  <c:v>40.624553409347257</c:v>
                </c:pt>
                <c:pt idx="19">
                  <c:v>42.881473043199883</c:v>
                </c:pt>
                <c:pt idx="20">
                  <c:v>45.138392677052508</c:v>
                </c:pt>
                <c:pt idx="21">
                  <c:v>47.395312310905133</c:v>
                </c:pt>
              </c:numCache>
            </c:numRef>
          </c:xVal>
          <c:yVal>
            <c:numRef>
              <c:f>'De-gassing'!$T$3:$T$24</c:f>
              <c:numCache>
                <c:formatCode>General</c:formatCode>
                <c:ptCount val="22"/>
                <c:pt idx="0">
                  <c:v>0.35</c:v>
                </c:pt>
                <c:pt idx="1">
                  <c:v>0.32700000000000001</c:v>
                </c:pt>
                <c:pt idx="2">
                  <c:v>0.30649999999999999</c:v>
                </c:pt>
                <c:pt idx="3">
                  <c:v>0.2878</c:v>
                </c:pt>
                <c:pt idx="4">
                  <c:v>0.27079999999999999</c:v>
                </c:pt>
                <c:pt idx="5">
                  <c:v>0.25519999999999998</c:v>
                </c:pt>
                <c:pt idx="6">
                  <c:v>0.24099999999999999</c:v>
                </c:pt>
                <c:pt idx="7">
                  <c:v>0.22800000000000001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6C-4803-8151-63D9D515B75C}"/>
            </c:ext>
          </c:extLst>
        </c:ser>
        <c:ser>
          <c:idx val="1"/>
          <c:order val="1"/>
          <c:tx>
            <c:strRef>
              <c:f>'De-gassing'!$U$2</c:f>
              <c:strCache>
                <c:ptCount val="1"/>
                <c:pt idx="0">
                  <c:v>Numerisk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'De-gassing'!$S$3:$S$24</c:f>
              <c:numCache>
                <c:formatCode>General</c:formatCode>
                <c:ptCount val="22"/>
                <c:pt idx="0">
                  <c:v>0</c:v>
                </c:pt>
                <c:pt idx="1">
                  <c:v>2.2569196338526254</c:v>
                </c:pt>
                <c:pt idx="2">
                  <c:v>4.5138392677052508</c:v>
                </c:pt>
                <c:pt idx="3">
                  <c:v>6.7707589015578762</c:v>
                </c:pt>
                <c:pt idx="4">
                  <c:v>9.0276785354105016</c:v>
                </c:pt>
                <c:pt idx="5">
                  <c:v>11.284598169263127</c:v>
                </c:pt>
                <c:pt idx="6">
                  <c:v>13.541517803115752</c:v>
                </c:pt>
                <c:pt idx="7">
                  <c:v>15.798437436968378</c:v>
                </c:pt>
                <c:pt idx="8">
                  <c:v>18.055357070821003</c:v>
                </c:pt>
                <c:pt idx="9">
                  <c:v>20.312276704673629</c:v>
                </c:pt>
                <c:pt idx="10">
                  <c:v>22.569196338526254</c:v>
                </c:pt>
                <c:pt idx="11">
                  <c:v>24.826115972378879</c:v>
                </c:pt>
                <c:pt idx="12">
                  <c:v>27.083035606231505</c:v>
                </c:pt>
                <c:pt idx="13">
                  <c:v>29.33995524008413</c:v>
                </c:pt>
                <c:pt idx="14">
                  <c:v>31.596874873936756</c:v>
                </c:pt>
                <c:pt idx="15">
                  <c:v>33.853794507789381</c:v>
                </c:pt>
                <c:pt idx="16">
                  <c:v>36.110714141642006</c:v>
                </c:pt>
                <c:pt idx="17">
                  <c:v>38.367633775494632</c:v>
                </c:pt>
                <c:pt idx="18">
                  <c:v>40.624553409347257</c:v>
                </c:pt>
                <c:pt idx="19">
                  <c:v>42.881473043199883</c:v>
                </c:pt>
                <c:pt idx="20">
                  <c:v>45.138392677052508</c:v>
                </c:pt>
                <c:pt idx="21">
                  <c:v>47.395312310905133</c:v>
                </c:pt>
              </c:numCache>
            </c:numRef>
          </c:xVal>
          <c:yVal>
            <c:numRef>
              <c:f>'De-gassing'!$U$3:$U$23</c:f>
              <c:numCache>
                <c:formatCode>General</c:formatCode>
                <c:ptCount val="21"/>
                <c:pt idx="0">
                  <c:v>0.35</c:v>
                </c:pt>
                <c:pt idx="1">
                  <c:v>0.33139999999999997</c:v>
                </c:pt>
                <c:pt idx="2">
                  <c:v>0.31390000000000001</c:v>
                </c:pt>
                <c:pt idx="3">
                  <c:v>0.29730000000000001</c:v>
                </c:pt>
                <c:pt idx="4">
                  <c:v>0.28170000000000001</c:v>
                </c:pt>
                <c:pt idx="5">
                  <c:v>0.26690000000000003</c:v>
                </c:pt>
                <c:pt idx="6">
                  <c:v>0.25290000000000001</c:v>
                </c:pt>
                <c:pt idx="7">
                  <c:v>0.2397</c:v>
                </c:pt>
                <c:pt idx="8">
                  <c:v>0.2273</c:v>
                </c:pt>
                <c:pt idx="9">
                  <c:v>0.2155</c:v>
                </c:pt>
                <c:pt idx="10">
                  <c:v>0.2044</c:v>
                </c:pt>
                <c:pt idx="11">
                  <c:v>0.19389999999999999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50-404A-A35E-8B4C572EEAA6}"/>
            </c:ext>
          </c:extLst>
        </c:ser>
        <c:ser>
          <c:idx val="2"/>
          <c:order val="2"/>
          <c:tx>
            <c:strRef>
              <c:f>'De-gassing'!$V$2</c:f>
              <c:strCache>
                <c:ptCount val="1"/>
                <c:pt idx="0">
                  <c:v>Halvparten 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'De-gassing'!$S$3:$S$24</c:f>
              <c:numCache>
                <c:formatCode>General</c:formatCode>
                <c:ptCount val="22"/>
                <c:pt idx="0">
                  <c:v>0</c:v>
                </c:pt>
                <c:pt idx="1">
                  <c:v>2.2569196338526254</c:v>
                </c:pt>
                <c:pt idx="2">
                  <c:v>4.5138392677052508</c:v>
                </c:pt>
                <c:pt idx="3">
                  <c:v>6.7707589015578762</c:v>
                </c:pt>
                <c:pt idx="4">
                  <c:v>9.0276785354105016</c:v>
                </c:pt>
                <c:pt idx="5">
                  <c:v>11.284598169263127</c:v>
                </c:pt>
                <c:pt idx="6">
                  <c:v>13.541517803115752</c:v>
                </c:pt>
                <c:pt idx="7">
                  <c:v>15.798437436968378</c:v>
                </c:pt>
                <c:pt idx="8">
                  <c:v>18.055357070821003</c:v>
                </c:pt>
                <c:pt idx="9">
                  <c:v>20.312276704673629</c:v>
                </c:pt>
                <c:pt idx="10">
                  <c:v>22.569196338526254</c:v>
                </c:pt>
                <c:pt idx="11">
                  <c:v>24.826115972378879</c:v>
                </c:pt>
                <c:pt idx="12">
                  <c:v>27.083035606231505</c:v>
                </c:pt>
                <c:pt idx="13">
                  <c:v>29.33995524008413</c:v>
                </c:pt>
                <c:pt idx="14">
                  <c:v>31.596874873936756</c:v>
                </c:pt>
                <c:pt idx="15">
                  <c:v>33.853794507789381</c:v>
                </c:pt>
                <c:pt idx="16">
                  <c:v>36.110714141642006</c:v>
                </c:pt>
                <c:pt idx="17">
                  <c:v>38.367633775494632</c:v>
                </c:pt>
                <c:pt idx="18">
                  <c:v>40.624553409347257</c:v>
                </c:pt>
                <c:pt idx="19">
                  <c:v>42.881473043199883</c:v>
                </c:pt>
                <c:pt idx="20">
                  <c:v>45.138392677052508</c:v>
                </c:pt>
                <c:pt idx="21">
                  <c:v>47.395312310905133</c:v>
                </c:pt>
              </c:numCache>
            </c:numRef>
          </c:xVal>
          <c:yVal>
            <c:numRef>
              <c:f>'De-gassing'!$V$3:$V$24</c:f>
              <c:numCache>
                <c:formatCode>General</c:formatCode>
                <c:ptCount val="22"/>
                <c:pt idx="0">
                  <c:v>0.35</c:v>
                </c:pt>
                <c:pt idx="1">
                  <c:v>0.34029999999999999</c:v>
                </c:pt>
                <c:pt idx="2">
                  <c:v>0.33079999999999998</c:v>
                </c:pt>
                <c:pt idx="3">
                  <c:v>0.3216</c:v>
                </c:pt>
                <c:pt idx="4">
                  <c:v>0.31269999999999998</c:v>
                </c:pt>
                <c:pt idx="5">
                  <c:v>0.30399999999999999</c:v>
                </c:pt>
                <c:pt idx="6">
                  <c:v>0.29559999999999997</c:v>
                </c:pt>
                <c:pt idx="7">
                  <c:v>0.28739999999999999</c:v>
                </c:pt>
                <c:pt idx="8">
                  <c:v>0.27950000000000003</c:v>
                </c:pt>
                <c:pt idx="9">
                  <c:v>0.27179999999999999</c:v>
                </c:pt>
                <c:pt idx="10">
                  <c:v>0.26429999999999998</c:v>
                </c:pt>
                <c:pt idx="11">
                  <c:v>0.25700000000000001</c:v>
                </c:pt>
                <c:pt idx="12">
                  <c:v>0.24990000000000001</c:v>
                </c:pt>
                <c:pt idx="13">
                  <c:v>0.24299999999999999</c:v>
                </c:pt>
                <c:pt idx="14">
                  <c:v>0.23630000000000001</c:v>
                </c:pt>
                <c:pt idx="15">
                  <c:v>0.2298</c:v>
                </c:pt>
                <c:pt idx="16">
                  <c:v>0.2235</c:v>
                </c:pt>
                <c:pt idx="17">
                  <c:v>0.21740000000000001</c:v>
                </c:pt>
                <c:pt idx="18">
                  <c:v>0.21149999999999999</c:v>
                </c:pt>
                <c:pt idx="19">
                  <c:v>0.20569999999999999</c:v>
                </c:pt>
                <c:pt idx="20">
                  <c:v>0.2001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C50-404A-A35E-8B4C572EEA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793951"/>
        <c:axId val="304797791"/>
      </c:scatterChart>
      <c:valAx>
        <c:axId val="304793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04797791"/>
        <c:crosses val="autoZero"/>
        <c:crossBetween val="midCat"/>
      </c:valAx>
      <c:valAx>
        <c:axId val="30479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04793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X(t)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'De-gassing'!$O$33</c:f>
              <c:strCache>
                <c:ptCount val="1"/>
                <c:pt idx="0">
                  <c:v>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'De-gassing'!$C$34:$C$134</c:f>
              <c:numCache>
                <c:formatCode>General</c:formatCode>
                <c:ptCount val="101"/>
                <c:pt idx="0">
                  <c:v>0</c:v>
                </c:pt>
                <c:pt idx="1">
                  <c:v>2.2569196338526255E-2</c:v>
                </c:pt>
                <c:pt idx="2">
                  <c:v>4.5138392677052511E-2</c:v>
                </c:pt>
                <c:pt idx="3">
                  <c:v>6.7707589015578759E-2</c:v>
                </c:pt>
                <c:pt idx="4">
                  <c:v>9.0276785354105021E-2</c:v>
                </c:pt>
                <c:pt idx="5">
                  <c:v>0.11284598169263127</c:v>
                </c:pt>
                <c:pt idx="6">
                  <c:v>0.13541517803115752</c:v>
                </c:pt>
                <c:pt idx="7">
                  <c:v>0.15798437436968379</c:v>
                </c:pt>
                <c:pt idx="8">
                  <c:v>0.18055357070821004</c:v>
                </c:pt>
                <c:pt idx="9">
                  <c:v>0.20312276704673629</c:v>
                </c:pt>
                <c:pt idx="10">
                  <c:v>0.22569196338526254</c:v>
                </c:pt>
                <c:pt idx="11">
                  <c:v>0.24826115972378879</c:v>
                </c:pt>
                <c:pt idx="12">
                  <c:v>0.27083035606231504</c:v>
                </c:pt>
                <c:pt idx="13">
                  <c:v>0.29339955240084131</c:v>
                </c:pt>
                <c:pt idx="14">
                  <c:v>0.31596874873936759</c:v>
                </c:pt>
                <c:pt idx="15">
                  <c:v>0.33853794507789381</c:v>
                </c:pt>
                <c:pt idx="16">
                  <c:v>0.36110714141642009</c:v>
                </c:pt>
                <c:pt idx="17">
                  <c:v>0.38367633775494636</c:v>
                </c:pt>
                <c:pt idx="18">
                  <c:v>0.40624553409347258</c:v>
                </c:pt>
                <c:pt idx="19">
                  <c:v>0.4288147304319988</c:v>
                </c:pt>
                <c:pt idx="20">
                  <c:v>0.45138392677052508</c:v>
                </c:pt>
                <c:pt idx="21">
                  <c:v>0.4739531231090513</c:v>
                </c:pt>
                <c:pt idx="22">
                  <c:v>0.49652231944757758</c:v>
                </c:pt>
                <c:pt idx="23">
                  <c:v>0.51909151578610391</c:v>
                </c:pt>
                <c:pt idx="24">
                  <c:v>0.54166071212463007</c:v>
                </c:pt>
                <c:pt idx="25">
                  <c:v>0.56422990846315635</c:v>
                </c:pt>
                <c:pt idx="26">
                  <c:v>0.58679910480168262</c:v>
                </c:pt>
                <c:pt idx="27">
                  <c:v>0.6093683011402089</c:v>
                </c:pt>
                <c:pt idx="28">
                  <c:v>0.63193749747873518</c:v>
                </c:pt>
                <c:pt idx="29">
                  <c:v>0.65450669381726134</c:v>
                </c:pt>
                <c:pt idx="30">
                  <c:v>0.67707589015578762</c:v>
                </c:pt>
                <c:pt idx="31">
                  <c:v>0.69964508649431389</c:v>
                </c:pt>
                <c:pt idx="32">
                  <c:v>0.72221428283284017</c:v>
                </c:pt>
                <c:pt idx="33">
                  <c:v>0.74478347917136645</c:v>
                </c:pt>
                <c:pt idx="34">
                  <c:v>0.76735267550989272</c:v>
                </c:pt>
                <c:pt idx="35">
                  <c:v>0.78992187184841889</c:v>
                </c:pt>
                <c:pt idx="36">
                  <c:v>0.81249106818694516</c:v>
                </c:pt>
                <c:pt idx="37">
                  <c:v>0.83506026452547144</c:v>
                </c:pt>
                <c:pt idx="38">
                  <c:v>0.85762946086399761</c:v>
                </c:pt>
                <c:pt idx="39">
                  <c:v>0.88019865720252388</c:v>
                </c:pt>
                <c:pt idx="40">
                  <c:v>0.90276785354105016</c:v>
                </c:pt>
                <c:pt idx="41">
                  <c:v>0.92533704987957632</c:v>
                </c:pt>
                <c:pt idx="42">
                  <c:v>0.9479062462181026</c:v>
                </c:pt>
                <c:pt idx="43">
                  <c:v>0.97047544255662888</c:v>
                </c:pt>
                <c:pt idx="44">
                  <c:v>0.99304463889515515</c:v>
                </c:pt>
                <c:pt idx="45">
                  <c:v>1.0156138352336814</c:v>
                </c:pt>
                <c:pt idx="46">
                  <c:v>1.0381830315722078</c:v>
                </c:pt>
                <c:pt idx="47">
                  <c:v>1.060752227910734</c:v>
                </c:pt>
                <c:pt idx="48">
                  <c:v>1.0833214242492601</c:v>
                </c:pt>
                <c:pt idx="49">
                  <c:v>1.1058906205877865</c:v>
                </c:pt>
                <c:pt idx="50">
                  <c:v>1.1284598169263127</c:v>
                </c:pt>
                <c:pt idx="51">
                  <c:v>1.1510290132648389</c:v>
                </c:pt>
                <c:pt idx="52">
                  <c:v>1.1735982096033652</c:v>
                </c:pt>
                <c:pt idx="53">
                  <c:v>1.1961674059418914</c:v>
                </c:pt>
                <c:pt idx="54">
                  <c:v>1.2187366022804178</c:v>
                </c:pt>
                <c:pt idx="55">
                  <c:v>1.241305798618944</c:v>
                </c:pt>
                <c:pt idx="56">
                  <c:v>1.2638749949574704</c:v>
                </c:pt>
                <c:pt idx="57">
                  <c:v>1.2864441912959963</c:v>
                </c:pt>
                <c:pt idx="58">
                  <c:v>1.3090133876345227</c:v>
                </c:pt>
                <c:pt idx="59">
                  <c:v>1.3315825839730489</c:v>
                </c:pt>
                <c:pt idx="60">
                  <c:v>1.3541517803115752</c:v>
                </c:pt>
                <c:pt idx="61">
                  <c:v>1.3767209766501014</c:v>
                </c:pt>
                <c:pt idx="62">
                  <c:v>1.3992901729886278</c:v>
                </c:pt>
                <c:pt idx="63">
                  <c:v>1.421859369327154</c:v>
                </c:pt>
                <c:pt idx="64">
                  <c:v>1.4444285656656803</c:v>
                </c:pt>
                <c:pt idx="65">
                  <c:v>1.4669977620042065</c:v>
                </c:pt>
                <c:pt idx="66">
                  <c:v>1.4895669583427329</c:v>
                </c:pt>
                <c:pt idx="67">
                  <c:v>1.5121361546812591</c:v>
                </c:pt>
                <c:pt idx="68">
                  <c:v>1.5347053510197854</c:v>
                </c:pt>
                <c:pt idx="69">
                  <c:v>1.5572745473583114</c:v>
                </c:pt>
                <c:pt idx="70">
                  <c:v>1.5798437436968378</c:v>
                </c:pt>
                <c:pt idx="71">
                  <c:v>1.6024129400353639</c:v>
                </c:pt>
                <c:pt idx="72">
                  <c:v>1.6249821363738903</c:v>
                </c:pt>
                <c:pt idx="73">
                  <c:v>1.6475513327124165</c:v>
                </c:pt>
                <c:pt idx="74">
                  <c:v>1.6701205290509429</c:v>
                </c:pt>
                <c:pt idx="75">
                  <c:v>1.692689725389469</c:v>
                </c:pt>
                <c:pt idx="76">
                  <c:v>1.7152589217279952</c:v>
                </c:pt>
                <c:pt idx="77">
                  <c:v>1.7378281180665216</c:v>
                </c:pt>
                <c:pt idx="78">
                  <c:v>1.7603973144050478</c:v>
                </c:pt>
                <c:pt idx="79">
                  <c:v>1.7829665107435742</c:v>
                </c:pt>
                <c:pt idx="80">
                  <c:v>1.8055357070821003</c:v>
                </c:pt>
                <c:pt idx="81">
                  <c:v>1.8281049034206267</c:v>
                </c:pt>
                <c:pt idx="82">
                  <c:v>1.8506740997591526</c:v>
                </c:pt>
                <c:pt idx="83">
                  <c:v>1.873243296097679</c:v>
                </c:pt>
                <c:pt idx="84">
                  <c:v>1.8958124924362052</c:v>
                </c:pt>
                <c:pt idx="85">
                  <c:v>1.9183816887747316</c:v>
                </c:pt>
                <c:pt idx="86">
                  <c:v>1.9409508851132578</c:v>
                </c:pt>
                <c:pt idx="87">
                  <c:v>1.9635200814517841</c:v>
                </c:pt>
                <c:pt idx="88">
                  <c:v>1.9860892777903103</c:v>
                </c:pt>
                <c:pt idx="89">
                  <c:v>2.0086584741288367</c:v>
                </c:pt>
                <c:pt idx="90">
                  <c:v>2.0312276704673629</c:v>
                </c:pt>
                <c:pt idx="91">
                  <c:v>2.053796866805889</c:v>
                </c:pt>
                <c:pt idx="92">
                  <c:v>2.0763660631444156</c:v>
                </c:pt>
                <c:pt idx="93">
                  <c:v>2.0989352594829418</c:v>
                </c:pt>
                <c:pt idx="94">
                  <c:v>2.121504455821468</c:v>
                </c:pt>
                <c:pt idx="95">
                  <c:v>2.1440736521599941</c:v>
                </c:pt>
                <c:pt idx="96">
                  <c:v>2.1666428484985203</c:v>
                </c:pt>
                <c:pt idx="97">
                  <c:v>2.1892120448370465</c:v>
                </c:pt>
                <c:pt idx="98">
                  <c:v>2.2117812411755731</c:v>
                </c:pt>
                <c:pt idx="99">
                  <c:v>2.2343504375140992</c:v>
                </c:pt>
                <c:pt idx="100">
                  <c:v>2.2569196338526254</c:v>
                </c:pt>
              </c:numCache>
            </c:numRef>
          </c:xVal>
          <c:yVal>
            <c:numRef>
              <c:f>'De-gassing'!$O$34:$O$134</c:f>
              <c:numCache>
                <c:formatCode>General</c:formatCode>
                <c:ptCount val="101"/>
                <c:pt idx="0">
                  <c:v>0.35</c:v>
                </c:pt>
                <c:pt idx="1">
                  <c:v>0.34989833651637581</c:v>
                </c:pt>
                <c:pt idx="2">
                  <c:v>0.3498048319730499</c:v>
                </c:pt>
                <c:pt idx="3">
                  <c:v>0.34971092351717892</c:v>
                </c:pt>
                <c:pt idx="4">
                  <c:v>0.34961696495184097</c:v>
                </c:pt>
                <c:pt idx="5">
                  <c:v>0.34952294117197891</c:v>
                </c:pt>
                <c:pt idx="6">
                  <c:v>0.34942885261766399</c:v>
                </c:pt>
                <c:pt idx="7">
                  <c:v>0.34933469907370984</c:v>
                </c:pt>
                <c:pt idx="8">
                  <c:v>0.34924048035157684</c:v>
                </c:pt>
                <c:pt idx="9">
                  <c:v>0.34914619626067162</c:v>
                </c:pt>
                <c:pt idx="10">
                  <c:v>0.34905184660954874</c:v>
                </c:pt>
                <c:pt idx="11">
                  <c:v>0.34895743120585354</c:v>
                </c:pt>
                <c:pt idx="12">
                  <c:v>0.34886294985631838</c:v>
                </c:pt>
                <c:pt idx="13">
                  <c:v>0.34876840236675671</c:v>
                </c:pt>
                <c:pt idx="14">
                  <c:v>0.34867378854205672</c:v>
                </c:pt>
                <c:pt idx="15">
                  <c:v>0.34857910818617505</c:v>
                </c:pt>
                <c:pt idx="16">
                  <c:v>0.34848436110213105</c:v>
                </c:pt>
                <c:pt idx="17">
                  <c:v>0.34838954709199998</c:v>
                </c:pt>
                <c:pt idx="18">
                  <c:v>0.34829466595690711</c:v>
                </c:pt>
                <c:pt idx="19">
                  <c:v>0.34819971749702122</c:v>
                </c:pt>
                <c:pt idx="20">
                  <c:v>0.34810470151154793</c:v>
                </c:pt>
                <c:pt idx="21">
                  <c:v>0.34800961779872364</c:v>
                </c:pt>
                <c:pt idx="22">
                  <c:v>0.34791446615580851</c:v>
                </c:pt>
                <c:pt idx="23">
                  <c:v>0.34781924637908024</c:v>
                </c:pt>
                <c:pt idx="24">
                  <c:v>0.34772395826382735</c:v>
                </c:pt>
                <c:pt idx="25">
                  <c:v>0.34762860160434222</c:v>
                </c:pt>
                <c:pt idx="26">
                  <c:v>0.34753317619391472</c:v>
                </c:pt>
                <c:pt idx="27">
                  <c:v>0.34743768182482482</c:v>
                </c:pt>
                <c:pt idx="28">
                  <c:v>0.34734211828833639</c:v>
                </c:pt>
                <c:pt idx="29">
                  <c:v>0.34724648537468966</c:v>
                </c:pt>
                <c:pt idx="30">
                  <c:v>0.34715078287309448</c:v>
                </c:pt>
                <c:pt idx="31">
                  <c:v>0.34705501057172317</c:v>
                </c:pt>
                <c:pt idx="32">
                  <c:v>0.34695916825770345</c:v>
                </c:pt>
                <c:pt idx="33">
                  <c:v>0.34686325571711124</c:v>
                </c:pt>
                <c:pt idx="34">
                  <c:v>0.34676727273496316</c:v>
                </c:pt>
                <c:pt idx="35">
                  <c:v>0.34667121909520954</c:v>
                </c:pt>
                <c:pt idx="36">
                  <c:v>0.34657509458072688</c:v>
                </c:pt>
                <c:pt idx="37">
                  <c:v>0.34647889897331025</c:v>
                </c:pt>
                <c:pt idx="38">
                  <c:v>0.34638263205366604</c:v>
                </c:pt>
                <c:pt idx="39">
                  <c:v>0.34628629360140406</c:v>
                </c:pt>
                <c:pt idx="40">
                  <c:v>0.34618988339503026</c:v>
                </c:pt>
                <c:pt idx="41">
                  <c:v>0.34609340121193855</c:v>
                </c:pt>
                <c:pt idx="42">
                  <c:v>0.3459968468284032</c:v>
                </c:pt>
                <c:pt idx="43">
                  <c:v>0.34590022001957133</c:v>
                </c:pt>
                <c:pt idx="44">
                  <c:v>0.34580352055945413</c:v>
                </c:pt>
                <c:pt idx="45">
                  <c:v>0.34570674822091957</c:v>
                </c:pt>
                <c:pt idx="46">
                  <c:v>0.34560990277568421</c:v>
                </c:pt>
                <c:pt idx="47">
                  <c:v>0.34551298399430463</c:v>
                </c:pt>
                <c:pt idx="48">
                  <c:v>0.34541599164616971</c:v>
                </c:pt>
                <c:pt idx="49">
                  <c:v>0.34531892549949178</c:v>
                </c:pt>
                <c:pt idx="50">
                  <c:v>0.34522178532129888</c:v>
                </c:pt>
                <c:pt idx="51">
                  <c:v>0.34512457087742565</c:v>
                </c:pt>
                <c:pt idx="52">
                  <c:v>0.3450272819325052</c:v>
                </c:pt>
                <c:pt idx="53">
                  <c:v>0.34492991824996033</c:v>
                </c:pt>
                <c:pt idx="54">
                  <c:v>0.34483247959199492</c:v>
                </c:pt>
                <c:pt idx="55">
                  <c:v>0.34473496571958495</c:v>
                </c:pt>
                <c:pt idx="56">
                  <c:v>0.34463737639246994</c:v>
                </c:pt>
                <c:pt idx="57">
                  <c:v>0.34453971136914374</c:v>
                </c:pt>
                <c:pt idx="58">
                  <c:v>0.3444419704068456</c:v>
                </c:pt>
                <c:pt idx="59">
                  <c:v>0.3443441532615511</c:v>
                </c:pt>
                <c:pt idx="60">
                  <c:v>0.34424625968796296</c:v>
                </c:pt>
                <c:pt idx="61">
                  <c:v>0.34414828943950149</c:v>
                </c:pt>
                <c:pt idx="62">
                  <c:v>0.34405024226829567</c:v>
                </c:pt>
                <c:pt idx="63">
                  <c:v>0.34395211792517338</c:v>
                </c:pt>
                <c:pt idx="64">
                  <c:v>0.34385391615965188</c:v>
                </c:pt>
                <c:pt idx="65">
                  <c:v>0.34375563671992826</c:v>
                </c:pt>
                <c:pt idx="66">
                  <c:v>0.34365727935286955</c:v>
                </c:pt>
                <c:pt idx="67">
                  <c:v>0.34355884380400331</c:v>
                </c:pt>
                <c:pt idx="68">
                  <c:v>0.34346032981750707</c:v>
                </c:pt>
                <c:pt idx="69">
                  <c:v>0.34336173713619877</c:v>
                </c:pt>
                <c:pt idx="70">
                  <c:v>0.34326306550152669</c:v>
                </c:pt>
                <c:pt idx="71">
                  <c:v>0.3431643146535589</c:v>
                </c:pt>
                <c:pt idx="72">
                  <c:v>0.34306548433097339</c:v>
                </c:pt>
                <c:pt idx="73">
                  <c:v>0.34296657427104732</c:v>
                </c:pt>
                <c:pt idx="74">
                  <c:v>0.34286758420964658</c:v>
                </c:pt>
                <c:pt idx="75">
                  <c:v>0.34276851388121543</c:v>
                </c:pt>
                <c:pt idx="76">
                  <c:v>0.34266936301876538</c:v>
                </c:pt>
                <c:pt idx="77">
                  <c:v>0.34257013135386494</c:v>
                </c:pt>
                <c:pt idx="78">
                  <c:v>0.34247081861662804</c:v>
                </c:pt>
                <c:pt idx="79">
                  <c:v>0.34237142453570374</c:v>
                </c:pt>
                <c:pt idx="80">
                  <c:v>0.34227194883826451</c:v>
                </c:pt>
                <c:pt idx="81">
                  <c:v>0.34217239124999521</c:v>
                </c:pt>
                <c:pt idx="82">
                  <c:v>0.34207275149508187</c:v>
                </c:pt>
                <c:pt idx="83">
                  <c:v>0.34197302929619994</c:v>
                </c:pt>
                <c:pt idx="84">
                  <c:v>0.34187322437450313</c:v>
                </c:pt>
                <c:pt idx="85">
                  <c:v>0.34177333644961133</c:v>
                </c:pt>
                <c:pt idx="86">
                  <c:v>0.34167336523959907</c:v>
                </c:pt>
                <c:pt idx="87">
                  <c:v>0.34157331046098338</c:v>
                </c:pt>
                <c:pt idx="88">
                  <c:v>0.34147317182871206</c:v>
                </c:pt>
                <c:pt idx="89">
                  <c:v>0.34137294905615134</c:v>
                </c:pt>
                <c:pt idx="90">
                  <c:v>0.34127264185507356</c:v>
                </c:pt>
                <c:pt idx="91">
                  <c:v>0.34117224993564488</c:v>
                </c:pt>
                <c:pt idx="92">
                  <c:v>0.34107177300641267</c:v>
                </c:pt>
                <c:pt idx="93">
                  <c:v>0.34097121077429293</c:v>
                </c:pt>
                <c:pt idx="94">
                  <c:v>0.3408705629445577</c:v>
                </c:pt>
                <c:pt idx="95">
                  <c:v>0.34076982922082166</c:v>
                </c:pt>
                <c:pt idx="96">
                  <c:v>0.34066900930502964</c:v>
                </c:pt>
                <c:pt idx="97">
                  <c:v>0.34056810289744305</c:v>
                </c:pt>
                <c:pt idx="98">
                  <c:v>0.34046710969662686</c:v>
                </c:pt>
                <c:pt idx="99">
                  <c:v>0.34036602939943617</c:v>
                </c:pt>
                <c:pt idx="100">
                  <c:v>0.34026486170100223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E33-494C-B4C1-03761E0F6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5501455"/>
        <c:axId val="1755500975"/>
      </c:scatterChart>
      <c:valAx>
        <c:axId val="1755501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755500975"/>
        <c:crosses val="autoZero"/>
        <c:crossBetween val="midCat"/>
      </c:valAx>
      <c:valAx>
        <c:axId val="175550097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755501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Db(z)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'De-gassing'!$F$33</c:f>
              <c:strCache>
                <c:ptCount val="1"/>
                <c:pt idx="0">
                  <c:v>Db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'De-gassing'!$D$34:$D$134</c:f>
              <c:numCache>
                <c:formatCode>General</c:formatCode>
                <c:ptCount val="101"/>
                <c:pt idx="0">
                  <c:v>0</c:v>
                </c:pt>
                <c:pt idx="1">
                  <c:v>8.0000000000000002E-3</c:v>
                </c:pt>
                <c:pt idx="2">
                  <c:v>1.6E-2</c:v>
                </c:pt>
                <c:pt idx="3">
                  <c:v>2.4E-2</c:v>
                </c:pt>
                <c:pt idx="4">
                  <c:v>3.2000000000000001E-2</c:v>
                </c:pt>
                <c:pt idx="5">
                  <c:v>0.04</c:v>
                </c:pt>
                <c:pt idx="6">
                  <c:v>4.8000000000000001E-2</c:v>
                </c:pt>
                <c:pt idx="7">
                  <c:v>5.6000000000000008E-2</c:v>
                </c:pt>
                <c:pt idx="8">
                  <c:v>6.4000000000000001E-2</c:v>
                </c:pt>
                <c:pt idx="9">
                  <c:v>7.2000000000000008E-2</c:v>
                </c:pt>
                <c:pt idx="10">
                  <c:v>0.08</c:v>
                </c:pt>
                <c:pt idx="11">
                  <c:v>8.7999999999999995E-2</c:v>
                </c:pt>
                <c:pt idx="12">
                  <c:v>9.6000000000000002E-2</c:v>
                </c:pt>
                <c:pt idx="13">
                  <c:v>0.10400000000000001</c:v>
                </c:pt>
                <c:pt idx="14">
                  <c:v>0.11200000000000002</c:v>
                </c:pt>
                <c:pt idx="15">
                  <c:v>0.12</c:v>
                </c:pt>
                <c:pt idx="16">
                  <c:v>0.128</c:v>
                </c:pt>
                <c:pt idx="17">
                  <c:v>0.13600000000000001</c:v>
                </c:pt>
                <c:pt idx="18">
                  <c:v>0.14400000000000002</c:v>
                </c:pt>
                <c:pt idx="19">
                  <c:v>0.152</c:v>
                </c:pt>
                <c:pt idx="20">
                  <c:v>0.16</c:v>
                </c:pt>
                <c:pt idx="21">
                  <c:v>0.16799999999999998</c:v>
                </c:pt>
                <c:pt idx="22">
                  <c:v>0.17599999999999999</c:v>
                </c:pt>
                <c:pt idx="23">
                  <c:v>0.18400000000000002</c:v>
                </c:pt>
                <c:pt idx="24">
                  <c:v>0.192</c:v>
                </c:pt>
                <c:pt idx="25">
                  <c:v>0.2</c:v>
                </c:pt>
                <c:pt idx="26">
                  <c:v>0.20800000000000002</c:v>
                </c:pt>
                <c:pt idx="27">
                  <c:v>0.21600000000000003</c:v>
                </c:pt>
                <c:pt idx="28">
                  <c:v>0.22400000000000003</c:v>
                </c:pt>
                <c:pt idx="29">
                  <c:v>0.23199999999999998</c:v>
                </c:pt>
                <c:pt idx="30">
                  <c:v>0.24</c:v>
                </c:pt>
                <c:pt idx="31">
                  <c:v>0.248</c:v>
                </c:pt>
                <c:pt idx="32">
                  <c:v>0.25600000000000001</c:v>
                </c:pt>
                <c:pt idx="33">
                  <c:v>0.26400000000000001</c:v>
                </c:pt>
                <c:pt idx="34">
                  <c:v>0.27200000000000002</c:v>
                </c:pt>
                <c:pt idx="35">
                  <c:v>0.28000000000000003</c:v>
                </c:pt>
                <c:pt idx="36">
                  <c:v>0.28800000000000003</c:v>
                </c:pt>
                <c:pt idx="37">
                  <c:v>0.29600000000000004</c:v>
                </c:pt>
                <c:pt idx="38">
                  <c:v>0.30399999999999999</c:v>
                </c:pt>
                <c:pt idx="39">
                  <c:v>0.312</c:v>
                </c:pt>
                <c:pt idx="40">
                  <c:v>0.32</c:v>
                </c:pt>
                <c:pt idx="41">
                  <c:v>0.32799999999999996</c:v>
                </c:pt>
                <c:pt idx="42">
                  <c:v>0.33599999999999997</c:v>
                </c:pt>
                <c:pt idx="43">
                  <c:v>0.34399999999999997</c:v>
                </c:pt>
                <c:pt idx="44">
                  <c:v>0.35199999999999998</c:v>
                </c:pt>
                <c:pt idx="45">
                  <c:v>0.36</c:v>
                </c:pt>
                <c:pt idx="46">
                  <c:v>0.36800000000000005</c:v>
                </c:pt>
                <c:pt idx="47">
                  <c:v>0.376</c:v>
                </c:pt>
                <c:pt idx="48">
                  <c:v>0.38400000000000001</c:v>
                </c:pt>
                <c:pt idx="49">
                  <c:v>0.39200000000000002</c:v>
                </c:pt>
                <c:pt idx="50">
                  <c:v>0.4</c:v>
                </c:pt>
                <c:pt idx="51">
                  <c:v>0.40799999999999997</c:v>
                </c:pt>
                <c:pt idx="52">
                  <c:v>0.41600000000000004</c:v>
                </c:pt>
                <c:pt idx="53">
                  <c:v>0.42399999999999999</c:v>
                </c:pt>
                <c:pt idx="54">
                  <c:v>0.43200000000000005</c:v>
                </c:pt>
                <c:pt idx="55">
                  <c:v>0.44</c:v>
                </c:pt>
                <c:pt idx="56">
                  <c:v>0.44800000000000006</c:v>
                </c:pt>
                <c:pt idx="57">
                  <c:v>0.45599999999999996</c:v>
                </c:pt>
                <c:pt idx="58">
                  <c:v>0.46399999999999997</c:v>
                </c:pt>
                <c:pt idx="59">
                  <c:v>0.47199999999999998</c:v>
                </c:pt>
                <c:pt idx="60">
                  <c:v>0.48</c:v>
                </c:pt>
                <c:pt idx="61">
                  <c:v>0.48799999999999999</c:v>
                </c:pt>
                <c:pt idx="62">
                  <c:v>0.496</c:v>
                </c:pt>
                <c:pt idx="63">
                  <c:v>0.504</c:v>
                </c:pt>
                <c:pt idx="64">
                  <c:v>0.51200000000000001</c:v>
                </c:pt>
                <c:pt idx="65">
                  <c:v>0.52</c:v>
                </c:pt>
                <c:pt idx="66">
                  <c:v>0.52800000000000002</c:v>
                </c:pt>
                <c:pt idx="67">
                  <c:v>0.53600000000000003</c:v>
                </c:pt>
                <c:pt idx="68">
                  <c:v>0.54400000000000004</c:v>
                </c:pt>
                <c:pt idx="69">
                  <c:v>0.55199999999999994</c:v>
                </c:pt>
                <c:pt idx="70">
                  <c:v>0.56000000000000005</c:v>
                </c:pt>
                <c:pt idx="71">
                  <c:v>0.56799999999999995</c:v>
                </c:pt>
                <c:pt idx="72">
                  <c:v>0.57600000000000007</c:v>
                </c:pt>
                <c:pt idx="73">
                  <c:v>0.58399999999999996</c:v>
                </c:pt>
                <c:pt idx="74">
                  <c:v>0.59200000000000008</c:v>
                </c:pt>
                <c:pt idx="75">
                  <c:v>0.6</c:v>
                </c:pt>
                <c:pt idx="76">
                  <c:v>0.60799999999999998</c:v>
                </c:pt>
                <c:pt idx="77">
                  <c:v>0.61599999999999999</c:v>
                </c:pt>
                <c:pt idx="78">
                  <c:v>0.624</c:v>
                </c:pt>
                <c:pt idx="79">
                  <c:v>0.63200000000000001</c:v>
                </c:pt>
                <c:pt idx="80">
                  <c:v>0.64</c:v>
                </c:pt>
                <c:pt idx="81">
                  <c:v>0.64800000000000002</c:v>
                </c:pt>
                <c:pt idx="82">
                  <c:v>0.65599999999999992</c:v>
                </c:pt>
                <c:pt idx="83">
                  <c:v>0.66400000000000003</c:v>
                </c:pt>
                <c:pt idx="84">
                  <c:v>0.67199999999999993</c:v>
                </c:pt>
                <c:pt idx="85">
                  <c:v>0.68</c:v>
                </c:pt>
                <c:pt idx="86">
                  <c:v>0.68799999999999994</c:v>
                </c:pt>
                <c:pt idx="87">
                  <c:v>0.69600000000000006</c:v>
                </c:pt>
                <c:pt idx="88">
                  <c:v>0.70399999999999996</c:v>
                </c:pt>
                <c:pt idx="89">
                  <c:v>0.71200000000000008</c:v>
                </c:pt>
                <c:pt idx="90">
                  <c:v>0.72</c:v>
                </c:pt>
                <c:pt idx="91">
                  <c:v>0.72799999999999998</c:v>
                </c:pt>
                <c:pt idx="92">
                  <c:v>0.7360000000000001</c:v>
                </c:pt>
                <c:pt idx="93">
                  <c:v>0.74400000000000011</c:v>
                </c:pt>
                <c:pt idx="94">
                  <c:v>0.752</c:v>
                </c:pt>
                <c:pt idx="95">
                  <c:v>0.76</c:v>
                </c:pt>
                <c:pt idx="96">
                  <c:v>0.76800000000000002</c:v>
                </c:pt>
                <c:pt idx="97">
                  <c:v>0.77599999999999991</c:v>
                </c:pt>
                <c:pt idx="98">
                  <c:v>0.78400000000000003</c:v>
                </c:pt>
                <c:pt idx="99">
                  <c:v>0.79200000000000004</c:v>
                </c:pt>
                <c:pt idx="100">
                  <c:v>0.8</c:v>
                </c:pt>
              </c:numCache>
            </c:numRef>
          </c:xVal>
          <c:yVal>
            <c:numRef>
              <c:f>'De-gassing'!$F$34:$F$134</c:f>
              <c:numCache>
                <c:formatCode>General</c:formatCode>
                <c:ptCount val="101"/>
                <c:pt idx="0">
                  <c:v>0.01</c:v>
                </c:pt>
                <c:pt idx="1">
                  <c:v>1.0006163636379834E-2</c:v>
                </c:pt>
                <c:pt idx="2">
                  <c:v>1.0012342497079085E-2</c:v>
                </c:pt>
                <c:pt idx="3">
                  <c:v>1.0018536648027619E-2</c:v>
                </c:pt>
                <c:pt idx="4">
                  <c:v>1.0024746155563931E-2</c:v>
                </c:pt>
                <c:pt idx="5">
                  <c:v>1.0030971086438453E-2</c:v>
                </c:pt>
                <c:pt idx="6">
                  <c:v>1.0037211507816888E-2</c:v>
                </c:pt>
                <c:pt idx="7">
                  <c:v>1.0043467487283559E-2</c:v>
                </c:pt>
                <c:pt idx="8">
                  <c:v>1.0049739092844821E-2</c:v>
                </c:pt>
                <c:pt idx="9">
                  <c:v>1.0056026392932486E-2</c:v>
                </c:pt>
                <c:pt idx="10">
                  <c:v>1.0062329456407304E-2</c:v>
                </c:pt>
                <c:pt idx="11">
                  <c:v>1.0068648352562442E-2</c:v>
                </c:pt>
                <c:pt idx="12">
                  <c:v>1.0074983151127035E-2</c:v>
                </c:pt>
                <c:pt idx="13">
                  <c:v>1.0081333922269762E-2</c:v>
                </c:pt>
                <c:pt idx="14">
                  <c:v>1.0087700736602444E-2</c:v>
                </c:pt>
                <c:pt idx="15">
                  <c:v>1.0094083665183695E-2</c:v>
                </c:pt>
                <c:pt idx="16">
                  <c:v>1.0100482779522604E-2</c:v>
                </c:pt>
                <c:pt idx="17">
                  <c:v>1.0106898151582451E-2</c:v>
                </c:pt>
                <c:pt idx="18">
                  <c:v>1.0113329853784474E-2</c:v>
                </c:pt>
                <c:pt idx="19">
                  <c:v>1.0119777959011651E-2</c:v>
                </c:pt>
                <c:pt idx="20">
                  <c:v>1.0126242540612545E-2</c:v>
                </c:pt>
                <c:pt idx="21">
                  <c:v>1.0132723672405173E-2</c:v>
                </c:pt>
                <c:pt idx="22">
                  <c:v>1.0139221428680923E-2</c:v>
                </c:pt>
                <c:pt idx="23">
                  <c:v>1.0145735884208503E-2</c:v>
                </c:pt>
                <c:pt idx="24">
                  <c:v>1.0152267114237942E-2</c:v>
                </c:pt>
                <c:pt idx="25">
                  <c:v>1.0158815194504619E-2</c:v>
                </c:pt>
                <c:pt idx="26">
                  <c:v>1.0165380201233342E-2</c:v>
                </c:pt>
                <c:pt idx="27">
                  <c:v>1.017196221114248E-2</c:v>
                </c:pt>
                <c:pt idx="28">
                  <c:v>1.0178561301448103E-2</c:v>
                </c:pt>
                <c:pt idx="29">
                  <c:v>1.0185177549868203E-2</c:v>
                </c:pt>
                <c:pt idx="30">
                  <c:v>1.0191811034626944E-2</c:v>
                </c:pt>
                <c:pt idx="31">
                  <c:v>1.0198461834458947E-2</c:v>
                </c:pt>
                <c:pt idx="32">
                  <c:v>1.0205130028613641E-2</c:v>
                </c:pt>
                <c:pt idx="33">
                  <c:v>1.0211815696859632E-2</c:v>
                </c:pt>
                <c:pt idx="34">
                  <c:v>1.0218518919489151E-2</c:v>
                </c:pt>
                <c:pt idx="35">
                  <c:v>1.0225239777322512E-2</c:v>
                </c:pt>
                <c:pt idx="36">
                  <c:v>1.023197835171266E-2</c:v>
                </c:pt>
                <c:pt idx="37">
                  <c:v>1.0238734724549716E-2</c:v>
                </c:pt>
                <c:pt idx="38">
                  <c:v>1.024550897826562E-2</c:v>
                </c:pt>
                <c:pt idx="39">
                  <c:v>1.025230119583879E-2</c:v>
                </c:pt>
                <c:pt idx="40">
                  <c:v>1.0259111460798833E-2</c:v>
                </c:pt>
                <c:pt idx="41">
                  <c:v>1.026593985723134E-2</c:v>
                </c:pt>
                <c:pt idx="42">
                  <c:v>1.0272786469782677E-2</c:v>
                </c:pt>
                <c:pt idx="43">
                  <c:v>1.0279651383664877E-2</c:v>
                </c:pt>
                <c:pt idx="44">
                  <c:v>1.0286534684660556E-2</c:v>
                </c:pt>
                <c:pt idx="45">
                  <c:v>1.0293436459127888E-2</c:v>
                </c:pt>
                <c:pt idx="46">
                  <c:v>1.0300356794005641E-2</c:v>
                </c:pt>
                <c:pt idx="47">
                  <c:v>1.0307295776818255E-2</c:v>
                </c:pt>
                <c:pt idx="48">
                  <c:v>1.0314253495680993E-2</c:v>
                </c:pt>
                <c:pt idx="49">
                  <c:v>1.0321230039305122E-2</c:v>
                </c:pt>
                <c:pt idx="50">
                  <c:v>1.0328225497003171E-2</c:v>
                </c:pt>
                <c:pt idx="51">
                  <c:v>1.0335239958694245E-2</c:v>
                </c:pt>
                <c:pt idx="52">
                  <c:v>1.0342273514909376E-2</c:v>
                </c:pt>
                <c:pt idx="53">
                  <c:v>1.0349326256796972E-2</c:v>
                </c:pt>
                <c:pt idx="54">
                  <c:v>1.0356398276128274E-2</c:v>
                </c:pt>
                <c:pt idx="55">
                  <c:v>1.0363489665302919E-2</c:v>
                </c:pt>
                <c:pt idx="56">
                  <c:v>1.037060051735454E-2</c:v>
                </c:pt>
                <c:pt idx="57">
                  <c:v>1.037773092595643E-2</c:v>
                </c:pt>
                <c:pt idx="58">
                  <c:v>1.0384880985427279E-2</c:v>
                </c:pt>
                <c:pt idx="59">
                  <c:v>1.0392050790736953E-2</c:v>
                </c:pt>
                <c:pt idx="60">
                  <c:v>1.0399240437512365E-2</c:v>
                </c:pt>
                <c:pt idx="61">
                  <c:v>1.0406450022043387E-2</c:v>
                </c:pt>
                <c:pt idx="62">
                  <c:v>1.0413679641288849E-2</c:v>
                </c:pt>
                <c:pt idx="63">
                  <c:v>1.0420929392882573E-2</c:v>
                </c:pt>
                <c:pt idx="64">
                  <c:v>1.0428199375139516E-2</c:v>
                </c:pt>
                <c:pt idx="65">
                  <c:v>1.0435489687061948E-2</c:v>
                </c:pt>
                <c:pt idx="66">
                  <c:v>1.0442800428345719E-2</c:v>
                </c:pt>
                <c:pt idx="67">
                  <c:v>1.0450131699386576E-2</c:v>
                </c:pt>
                <c:pt idx="68">
                  <c:v>1.0457483601286583E-2</c:v>
                </c:pt>
                <c:pt idx="69">
                  <c:v>1.0464856235860583E-2</c:v>
                </c:pt>
                <c:pt idx="70">
                  <c:v>1.0472249705642738E-2</c:v>
                </c:pt>
                <c:pt idx="71">
                  <c:v>1.0479664113893165E-2</c:v>
                </c:pt>
                <c:pt idx="72">
                  <c:v>1.0487099564604627E-2</c:v>
                </c:pt>
                <c:pt idx="73">
                  <c:v>1.0494556162509296E-2</c:v>
                </c:pt>
                <c:pt idx="74">
                  <c:v>1.0502034013085613E-2</c:v>
                </c:pt>
                <c:pt idx="75">
                  <c:v>1.0509533222565213E-2</c:v>
                </c:pt>
                <c:pt idx="76">
                  <c:v>1.0517053897939926E-2</c:v>
                </c:pt>
                <c:pt idx="77">
                  <c:v>1.052459614696887E-2</c:v>
                </c:pt>
                <c:pt idx="78">
                  <c:v>1.0532160078185623E-2</c:v>
                </c:pt>
                <c:pt idx="79">
                  <c:v>1.0539745800905467E-2</c:v>
                </c:pt>
                <c:pt idx="80">
                  <c:v>1.0547353425232725E-2</c:v>
                </c:pt>
                <c:pt idx="81">
                  <c:v>1.0554983062068183E-2</c:v>
                </c:pt>
                <c:pt idx="82">
                  <c:v>1.0562634823116592E-2</c:v>
                </c:pt>
                <c:pt idx="83">
                  <c:v>1.0570308820894271E-2</c:v>
                </c:pt>
                <c:pt idx="84">
                  <c:v>1.0578005168736779E-2</c:v>
                </c:pt>
                <c:pt idx="85">
                  <c:v>1.0585723980806689E-2</c:v>
                </c:pt>
                <c:pt idx="86">
                  <c:v>1.0593465372101452E-2</c:v>
                </c:pt>
                <c:pt idx="87">
                  <c:v>1.0601229458461347E-2</c:v>
                </c:pt>
                <c:pt idx="88">
                  <c:v>1.0609016356577539E-2</c:v>
                </c:pt>
                <c:pt idx="89">
                  <c:v>1.0616826184000212E-2</c:v>
                </c:pt>
                <c:pt idx="90">
                  <c:v>1.0624659059146812E-2</c:v>
                </c:pt>
                <c:pt idx="91">
                  <c:v>1.0632515101310384E-2</c:v>
                </c:pt>
                <c:pt idx="92">
                  <c:v>1.0640394430668006E-2</c:v>
                </c:pt>
                <c:pt idx="93">
                  <c:v>1.0648297168289324E-2</c:v>
                </c:pt>
                <c:pt idx="94">
                  <c:v>1.0656223436145194E-2</c:v>
                </c:pt>
                <c:pt idx="95">
                  <c:v>1.0664173357116414E-2</c:v>
                </c:pt>
                <c:pt idx="96">
                  <c:v>1.0672147055002577E-2</c:v>
                </c:pt>
                <c:pt idx="97">
                  <c:v>1.0680144654531017E-2</c:v>
                </c:pt>
                <c:pt idx="98">
                  <c:v>1.0688166281365865E-2</c:v>
                </c:pt>
                <c:pt idx="99">
                  <c:v>1.069621206211723E-2</c:v>
                </c:pt>
                <c:pt idx="100">
                  <c:v>1.0704282124350459E-2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0A-4495-9ED5-E9EC6B4C1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278688"/>
        <c:axId val="33275328"/>
      </c:scatterChart>
      <c:valAx>
        <c:axId val="33278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3275328"/>
        <c:crosses val="autoZero"/>
        <c:crossBetween val="midCat"/>
      </c:valAx>
      <c:valAx>
        <c:axId val="332753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3278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Terminal rising speed of bubbles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'Rising velocity'!$H$11</c:f>
              <c:strCache>
                <c:ptCount val="1"/>
                <c:pt idx="0">
                  <c:v>Aluminium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'Rising velocity'!$G$13:$G$112</c:f>
              <c:numCache>
                <c:formatCode>General</c:formatCode>
                <c:ptCount val="100"/>
                <c:pt idx="0">
                  <c:v>0.1</c:v>
                </c:pt>
                <c:pt idx="1">
                  <c:v>0.5</c:v>
                </c:pt>
                <c:pt idx="2">
                  <c:v>0.9</c:v>
                </c:pt>
                <c:pt idx="3">
                  <c:v>1.3</c:v>
                </c:pt>
                <c:pt idx="4">
                  <c:v>1.7</c:v>
                </c:pt>
                <c:pt idx="5">
                  <c:v>2.1</c:v>
                </c:pt>
                <c:pt idx="6">
                  <c:v>2.5</c:v>
                </c:pt>
                <c:pt idx="7">
                  <c:v>2.9</c:v>
                </c:pt>
                <c:pt idx="8">
                  <c:v>3.3</c:v>
                </c:pt>
                <c:pt idx="9">
                  <c:v>3.7</c:v>
                </c:pt>
                <c:pt idx="10">
                  <c:v>4.0999999999999996</c:v>
                </c:pt>
                <c:pt idx="11">
                  <c:v>4.5</c:v>
                </c:pt>
                <c:pt idx="12">
                  <c:v>4.9000000000000004</c:v>
                </c:pt>
                <c:pt idx="13">
                  <c:v>5.3</c:v>
                </c:pt>
                <c:pt idx="14">
                  <c:v>5.7</c:v>
                </c:pt>
                <c:pt idx="15">
                  <c:v>6.1</c:v>
                </c:pt>
                <c:pt idx="16">
                  <c:v>6.5</c:v>
                </c:pt>
                <c:pt idx="17">
                  <c:v>6.9</c:v>
                </c:pt>
                <c:pt idx="18">
                  <c:v>7.3</c:v>
                </c:pt>
                <c:pt idx="19">
                  <c:v>7.7</c:v>
                </c:pt>
                <c:pt idx="20">
                  <c:v>8.1</c:v>
                </c:pt>
                <c:pt idx="21">
                  <c:v>8.5</c:v>
                </c:pt>
                <c:pt idx="22">
                  <c:v>8.9</c:v>
                </c:pt>
                <c:pt idx="23">
                  <c:v>9.3000000000000007</c:v>
                </c:pt>
                <c:pt idx="24">
                  <c:v>9.6999999999999993</c:v>
                </c:pt>
                <c:pt idx="25">
                  <c:v>10.1</c:v>
                </c:pt>
                <c:pt idx="26">
                  <c:v>10.5</c:v>
                </c:pt>
                <c:pt idx="27">
                  <c:v>10.9</c:v>
                </c:pt>
                <c:pt idx="28">
                  <c:v>11.3</c:v>
                </c:pt>
                <c:pt idx="29">
                  <c:v>11.7</c:v>
                </c:pt>
                <c:pt idx="30">
                  <c:v>12.1</c:v>
                </c:pt>
                <c:pt idx="31">
                  <c:v>12.5</c:v>
                </c:pt>
                <c:pt idx="32">
                  <c:v>12.9</c:v>
                </c:pt>
                <c:pt idx="33">
                  <c:v>13.3</c:v>
                </c:pt>
                <c:pt idx="34">
                  <c:v>13.7</c:v>
                </c:pt>
                <c:pt idx="35">
                  <c:v>14.1</c:v>
                </c:pt>
                <c:pt idx="36">
                  <c:v>14.5</c:v>
                </c:pt>
                <c:pt idx="37">
                  <c:v>14.9</c:v>
                </c:pt>
                <c:pt idx="38">
                  <c:v>15.3</c:v>
                </c:pt>
                <c:pt idx="39">
                  <c:v>15.7</c:v>
                </c:pt>
                <c:pt idx="40">
                  <c:v>16.100000000000001</c:v>
                </c:pt>
                <c:pt idx="41">
                  <c:v>16.5</c:v>
                </c:pt>
                <c:pt idx="42">
                  <c:v>16.899999999999999</c:v>
                </c:pt>
                <c:pt idx="43">
                  <c:v>17.3</c:v>
                </c:pt>
                <c:pt idx="44">
                  <c:v>17.7</c:v>
                </c:pt>
                <c:pt idx="45">
                  <c:v>18.100000000000001</c:v>
                </c:pt>
                <c:pt idx="46">
                  <c:v>18.5</c:v>
                </c:pt>
                <c:pt idx="47">
                  <c:v>18.899999999999999</c:v>
                </c:pt>
                <c:pt idx="48">
                  <c:v>19.3</c:v>
                </c:pt>
                <c:pt idx="49">
                  <c:v>19.7</c:v>
                </c:pt>
                <c:pt idx="50">
                  <c:v>20.100000000000001</c:v>
                </c:pt>
                <c:pt idx="51">
                  <c:v>20.5</c:v>
                </c:pt>
                <c:pt idx="52">
                  <c:v>20.9</c:v>
                </c:pt>
                <c:pt idx="53">
                  <c:v>21.3</c:v>
                </c:pt>
                <c:pt idx="54">
                  <c:v>21.7</c:v>
                </c:pt>
                <c:pt idx="55">
                  <c:v>22.1</c:v>
                </c:pt>
                <c:pt idx="56">
                  <c:v>22.5</c:v>
                </c:pt>
                <c:pt idx="57">
                  <c:v>22.9</c:v>
                </c:pt>
                <c:pt idx="58">
                  <c:v>23.3</c:v>
                </c:pt>
                <c:pt idx="59">
                  <c:v>23.7</c:v>
                </c:pt>
                <c:pt idx="60">
                  <c:v>24.1</c:v>
                </c:pt>
                <c:pt idx="61">
                  <c:v>24.5</c:v>
                </c:pt>
                <c:pt idx="62">
                  <c:v>24.9</c:v>
                </c:pt>
                <c:pt idx="63">
                  <c:v>25.3</c:v>
                </c:pt>
                <c:pt idx="64">
                  <c:v>25.7</c:v>
                </c:pt>
                <c:pt idx="65">
                  <c:v>26.1</c:v>
                </c:pt>
                <c:pt idx="66">
                  <c:v>26.5</c:v>
                </c:pt>
                <c:pt idx="67">
                  <c:v>26.9</c:v>
                </c:pt>
                <c:pt idx="68">
                  <c:v>27.3</c:v>
                </c:pt>
                <c:pt idx="69">
                  <c:v>27.7</c:v>
                </c:pt>
                <c:pt idx="70">
                  <c:v>28.1</c:v>
                </c:pt>
                <c:pt idx="71">
                  <c:v>28.5</c:v>
                </c:pt>
                <c:pt idx="72">
                  <c:v>28.9</c:v>
                </c:pt>
                <c:pt idx="73">
                  <c:v>29.3</c:v>
                </c:pt>
                <c:pt idx="74">
                  <c:v>29.7</c:v>
                </c:pt>
                <c:pt idx="75">
                  <c:v>30.1</c:v>
                </c:pt>
                <c:pt idx="76">
                  <c:v>30.5</c:v>
                </c:pt>
                <c:pt idx="77">
                  <c:v>30.9</c:v>
                </c:pt>
                <c:pt idx="78">
                  <c:v>31.3</c:v>
                </c:pt>
                <c:pt idx="79">
                  <c:v>31.7</c:v>
                </c:pt>
                <c:pt idx="80">
                  <c:v>32.1</c:v>
                </c:pt>
                <c:pt idx="81">
                  <c:v>32.5</c:v>
                </c:pt>
                <c:pt idx="82">
                  <c:v>32.9</c:v>
                </c:pt>
                <c:pt idx="83">
                  <c:v>33.299999999999997</c:v>
                </c:pt>
                <c:pt idx="84">
                  <c:v>33.700000000000003</c:v>
                </c:pt>
                <c:pt idx="85">
                  <c:v>34.1</c:v>
                </c:pt>
                <c:pt idx="86">
                  <c:v>34.5</c:v>
                </c:pt>
                <c:pt idx="87">
                  <c:v>34.9</c:v>
                </c:pt>
                <c:pt idx="88">
                  <c:v>35.299999999999997</c:v>
                </c:pt>
                <c:pt idx="89">
                  <c:v>35.700000000000003</c:v>
                </c:pt>
                <c:pt idx="90">
                  <c:v>36.1</c:v>
                </c:pt>
                <c:pt idx="91">
                  <c:v>36.5</c:v>
                </c:pt>
                <c:pt idx="92">
                  <c:v>36.9</c:v>
                </c:pt>
                <c:pt idx="93">
                  <c:v>37.299999999999997</c:v>
                </c:pt>
                <c:pt idx="94">
                  <c:v>37.700000000000003</c:v>
                </c:pt>
                <c:pt idx="95">
                  <c:v>38.1</c:v>
                </c:pt>
                <c:pt idx="96">
                  <c:v>38.5</c:v>
                </c:pt>
                <c:pt idx="97">
                  <c:v>38.9</c:v>
                </c:pt>
                <c:pt idx="98">
                  <c:v>39.299999999999997</c:v>
                </c:pt>
                <c:pt idx="99">
                  <c:v>45</c:v>
                </c:pt>
              </c:numCache>
            </c:numRef>
          </c:xVal>
          <c:yVal>
            <c:numRef>
              <c:f>'Rising velocity'!$H$13:$H$112</c:f>
              <c:numCache>
                <c:formatCode>General</c:formatCode>
                <c:ptCount val="100"/>
                <c:pt idx="0">
                  <c:v>2.7676822375563828</c:v>
                </c:pt>
                <c:pt idx="1">
                  <c:v>1.2386958438684701</c:v>
                </c:pt>
                <c:pt idx="2">
                  <c:v>0.92492071540604714</c:v>
                </c:pt>
                <c:pt idx="3">
                  <c:v>0.77173475754727205</c:v>
                </c:pt>
                <c:pt idx="4">
                  <c:v>0.67742283989027585</c:v>
                </c:pt>
                <c:pt idx="5">
                  <c:v>0.61240684298706694</c:v>
                </c:pt>
                <c:pt idx="6">
                  <c:v>0.56448691634386383</c:v>
                </c:pt>
                <c:pt idx="7">
                  <c:v>0.52758672985602673</c:v>
                </c:pt>
                <c:pt idx="8">
                  <c:v>0.49829189960775022</c:v>
                </c:pt>
                <c:pt idx="9">
                  <c:v>0.47451451628423585</c:v>
                </c:pt>
                <c:pt idx="10">
                  <c:v>0.45489492134501835</c:v>
                </c:pt>
                <c:pt idx="11">
                  <c:v>0.43850343893457305</c:v>
                </c:pt>
                <c:pt idx="12">
                  <c:v>0.42467910978461271</c:v>
                </c:pt>
                <c:pt idx="13">
                  <c:v>0.41293676632474596</c:v>
                </c:pt>
                <c:pt idx="14">
                  <c:v>0.40291065937759651</c:v>
                </c:pt>
                <c:pt idx="15">
                  <c:v>0.3943187727699155</c:v>
                </c:pt>
                <c:pt idx="16">
                  <c:v>0.38693941024572487</c:v>
                </c:pt>
                <c:pt idx="17">
                  <c:v>0.3805953568088053</c:v>
                </c:pt>
                <c:pt idx="18">
                  <c:v>0.37514287630848259</c:v>
                </c:pt>
                <c:pt idx="19">
                  <c:v>0.37046388905265032</c:v>
                </c:pt>
                <c:pt idx="20">
                  <c:v>0.36646029492175153</c:v>
                </c:pt>
                <c:pt idx="21">
                  <c:v>0.36304977730471238</c:v>
                </c:pt>
                <c:pt idx="22">
                  <c:v>0.36016265002477194</c:v>
                </c:pt>
                <c:pt idx="23">
                  <c:v>0.35773945237541438</c:v>
                </c:pt>
                <c:pt idx="24">
                  <c:v>0.3557290896707645</c:v>
                </c:pt>
                <c:pt idx="25">
                  <c:v>0.35408737759363812</c:v>
                </c:pt>
                <c:pt idx="26">
                  <c:v>0.35277588957789791</c:v>
                </c:pt>
                <c:pt idx="27">
                  <c:v>0.3517610345039317</c:v>
                </c:pt>
                <c:pt idx="28">
                  <c:v>0.35101331150016329</c:v>
                </c:pt>
                <c:pt idx="29">
                  <c:v>0.35050670242546267</c:v>
                </c:pt>
                <c:pt idx="30">
                  <c:v>0.35021817247436188</c:v>
                </c:pt>
                <c:pt idx="31">
                  <c:v>0.35012725650066273</c:v>
                </c:pt>
                <c:pt idx="32">
                  <c:v>0.35021571390248274</c:v>
                </c:pt>
                <c:pt idx="33">
                  <c:v>0.35046723880317848</c:v>
                </c:pt>
                <c:pt idx="34">
                  <c:v>0.35086721517798236</c:v>
                </c:pt>
                <c:pt idx="35">
                  <c:v>0.35140250878146639</c:v>
                </c:pt>
                <c:pt idx="36">
                  <c:v>0.35206128941426551</c:v>
                </c:pt>
                <c:pt idx="37">
                  <c:v>0.35283287836348592</c:v>
                </c:pt>
                <c:pt idx="38">
                  <c:v>0.35370761685716984</c:v>
                </c:pt>
                <c:pt idx="39">
                  <c:v>0.35467675216009725</c:v>
                </c:pt>
                <c:pt idx="40">
                  <c:v>0.35573233855833347</c:v>
                </c:pt>
                <c:pt idx="41">
                  <c:v>0.35686715097209498</c:v>
                </c:pt>
                <c:pt idx="42">
                  <c:v>0.3580746093297561</c:v>
                </c:pt>
                <c:pt idx="43">
                  <c:v>0.35934871215206465</c:v>
                </c:pt>
                <c:pt idx="44">
                  <c:v>0.36068397805153435</c:v>
                </c:pt>
                <c:pt idx="45">
                  <c:v>0.36207539406026423</c:v>
                </c:pt>
                <c:pt idx="46">
                  <c:v>0.36351836986993175</c:v>
                </c:pt>
                <c:pt idx="47">
                  <c:v>0.3650086972080081</c:v>
                </c:pt>
                <c:pt idx="48">
                  <c:v>0.36654251369030832</c:v>
                </c:pt>
                <c:pt idx="49">
                  <c:v>0.36811627058645857</c:v>
                </c:pt>
                <c:pt idx="50">
                  <c:v>0.36972670401543212</c:v>
                </c:pt>
                <c:pt idx="51">
                  <c:v>0.37137080915588677</c:v>
                </c:pt>
                <c:pt idx="52">
                  <c:v>0.37304581711296397</c:v>
                </c:pt>
                <c:pt idx="53">
                  <c:v>0.37474917413136039</c:v>
                </c:pt>
                <c:pt idx="54">
                  <c:v>0.37647852288535738</c:v>
                </c:pt>
                <c:pt idx="55">
                  <c:v>0.3782316856113262</c:v>
                </c:pt>
                <c:pt idx="56">
                  <c:v>0.38000664887800234</c:v>
                </c:pt>
                <c:pt idx="57">
                  <c:v>0.38180154981537162</c:v>
                </c:pt>
                <c:pt idx="58">
                  <c:v>0.38361466364498553</c:v>
                </c:pt>
                <c:pt idx="59">
                  <c:v>0.38544439237349587</c:v>
                </c:pt>
                <c:pt idx="60">
                  <c:v>0.38728925452761059</c:v>
                </c:pt>
                <c:pt idx="61">
                  <c:v>0.38914787582291938</c:v>
                </c:pt>
                <c:pt idx="62">
                  <c:v>0.39101898067142687</c:v>
                </c:pt>
                <c:pt idx="63">
                  <c:v>0.39290138444343714</c:v>
                </c:pt>
                <c:pt idx="64">
                  <c:v>0.39479398640887542</c:v>
                </c:pt>
                <c:pt idx="65">
                  <c:v>0.3966957632914081</c:v>
                </c:pt>
                <c:pt idx="66">
                  <c:v>0.39860576337597975</c:v>
                </c:pt>
                <c:pt idx="67">
                  <c:v>0.40052310111677381</c:v>
                </c:pt>
                <c:pt idx="68">
                  <c:v>0.40244695219823085</c:v>
                </c:pt>
                <c:pt idx="69">
                  <c:v>0.40437654900672571</c:v>
                </c:pt>
                <c:pt idx="70">
                  <c:v>0.40631117647489928</c:v>
                </c:pt>
                <c:pt idx="71">
                  <c:v>0.40825016826453109</c:v>
                </c:pt>
                <c:pt idx="72">
                  <c:v>0.41019290325729363</c:v>
                </c:pt>
                <c:pt idx="73">
                  <c:v>0.4121388023257978</c:v>
                </c:pt>
                <c:pt idx="74">
                  <c:v>0.41408732536006893</c:v>
                </c:pt>
                <c:pt idx="75">
                  <c:v>0.41603796852702846</c:v>
                </c:pt>
                <c:pt idx="76">
                  <c:v>0.41799026174272824</c:v>
                </c:pt>
                <c:pt idx="77">
                  <c:v>0.41994376633902641</c:v>
                </c:pt>
                <c:pt idx="78">
                  <c:v>0.42189807290813097</c:v>
                </c:pt>
                <c:pt idx="79">
                  <c:v>0.42385279930999431</c:v>
                </c:pt>
                <c:pt idx="80">
                  <c:v>0.42580758882893927</c:v>
                </c:pt>
                <c:pt idx="81">
                  <c:v>0.42776210846715013</c:v>
                </c:pt>
                <c:pt idx="82">
                  <c:v>0.4297160473637921</c:v>
                </c:pt>
                <c:pt idx="83">
                  <c:v>0.4316691153295365</c:v>
                </c:pt>
                <c:pt idx="84">
                  <c:v>0.4336210414871845</c:v>
                </c:pt>
                <c:pt idx="85">
                  <c:v>0.43557157300990823</c:v>
                </c:pt>
                <c:pt idx="86">
                  <c:v>0.43752047394937349</c:v>
                </c:pt>
                <c:pt idx="87">
                  <c:v>0.43946752414668083</c:v>
                </c:pt>
                <c:pt idx="88">
                  <c:v>0.44141251821967431</c:v>
                </c:pt>
                <c:pt idx="89">
                  <c:v>0.44335526462071595</c:v>
                </c:pt>
                <c:pt idx="90">
                  <c:v>0.44529558475952796</c:v>
                </c:pt>
                <c:pt idx="91">
                  <c:v>0.4472333121861567</c:v>
                </c:pt>
                <c:pt idx="92">
                  <c:v>0.44916829182952628</c:v>
                </c:pt>
                <c:pt idx="93">
                  <c:v>0.45110037928742386</c:v>
                </c:pt>
                <c:pt idx="94">
                  <c:v>0.45302944016410035</c:v>
                </c:pt>
                <c:pt idx="95">
                  <c:v>0.45495534945198091</c:v>
                </c:pt>
                <c:pt idx="96">
                  <c:v>0.45687799095426218</c:v>
                </c:pt>
                <c:pt idx="97">
                  <c:v>0.45879725674543209</c:v>
                </c:pt>
                <c:pt idx="98">
                  <c:v>0.4607130466669826</c:v>
                </c:pt>
                <c:pt idx="99">
                  <c:v>0.48759232622729481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F7-4A8C-BD43-58FE1408F720}"/>
            </c:ext>
          </c:extLst>
        </c:ser>
        <c:ser>
          <c:idx val="2"/>
          <c:order val="1"/>
          <c:tx>
            <c:strRef>
              <c:f>'Rising velocity'!$I$11</c:f>
              <c:strCache>
                <c:ptCount val="1"/>
                <c:pt idx="0">
                  <c:v>Mercury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'Rising velocity'!$G$13:$G$112</c:f>
              <c:numCache>
                <c:formatCode>General</c:formatCode>
                <c:ptCount val="100"/>
                <c:pt idx="0">
                  <c:v>0.1</c:v>
                </c:pt>
                <c:pt idx="1">
                  <c:v>0.5</c:v>
                </c:pt>
                <c:pt idx="2">
                  <c:v>0.9</c:v>
                </c:pt>
                <c:pt idx="3">
                  <c:v>1.3</c:v>
                </c:pt>
                <c:pt idx="4">
                  <c:v>1.7</c:v>
                </c:pt>
                <c:pt idx="5">
                  <c:v>2.1</c:v>
                </c:pt>
                <c:pt idx="6">
                  <c:v>2.5</c:v>
                </c:pt>
                <c:pt idx="7">
                  <c:v>2.9</c:v>
                </c:pt>
                <c:pt idx="8">
                  <c:v>3.3</c:v>
                </c:pt>
                <c:pt idx="9">
                  <c:v>3.7</c:v>
                </c:pt>
                <c:pt idx="10">
                  <c:v>4.0999999999999996</c:v>
                </c:pt>
                <c:pt idx="11">
                  <c:v>4.5</c:v>
                </c:pt>
                <c:pt idx="12">
                  <c:v>4.9000000000000004</c:v>
                </c:pt>
                <c:pt idx="13">
                  <c:v>5.3</c:v>
                </c:pt>
                <c:pt idx="14">
                  <c:v>5.7</c:v>
                </c:pt>
                <c:pt idx="15">
                  <c:v>6.1</c:v>
                </c:pt>
                <c:pt idx="16">
                  <c:v>6.5</c:v>
                </c:pt>
                <c:pt idx="17">
                  <c:v>6.9</c:v>
                </c:pt>
                <c:pt idx="18">
                  <c:v>7.3</c:v>
                </c:pt>
                <c:pt idx="19">
                  <c:v>7.7</c:v>
                </c:pt>
                <c:pt idx="20">
                  <c:v>8.1</c:v>
                </c:pt>
                <c:pt idx="21">
                  <c:v>8.5</c:v>
                </c:pt>
                <c:pt idx="22">
                  <c:v>8.9</c:v>
                </c:pt>
                <c:pt idx="23">
                  <c:v>9.3000000000000007</c:v>
                </c:pt>
                <c:pt idx="24">
                  <c:v>9.6999999999999993</c:v>
                </c:pt>
                <c:pt idx="25">
                  <c:v>10.1</c:v>
                </c:pt>
                <c:pt idx="26">
                  <c:v>10.5</c:v>
                </c:pt>
                <c:pt idx="27">
                  <c:v>10.9</c:v>
                </c:pt>
                <c:pt idx="28">
                  <c:v>11.3</c:v>
                </c:pt>
                <c:pt idx="29">
                  <c:v>11.7</c:v>
                </c:pt>
                <c:pt idx="30">
                  <c:v>12.1</c:v>
                </c:pt>
                <c:pt idx="31">
                  <c:v>12.5</c:v>
                </c:pt>
                <c:pt idx="32">
                  <c:v>12.9</c:v>
                </c:pt>
                <c:pt idx="33">
                  <c:v>13.3</c:v>
                </c:pt>
                <c:pt idx="34">
                  <c:v>13.7</c:v>
                </c:pt>
                <c:pt idx="35">
                  <c:v>14.1</c:v>
                </c:pt>
                <c:pt idx="36">
                  <c:v>14.5</c:v>
                </c:pt>
                <c:pt idx="37">
                  <c:v>14.9</c:v>
                </c:pt>
                <c:pt idx="38">
                  <c:v>15.3</c:v>
                </c:pt>
                <c:pt idx="39">
                  <c:v>15.7</c:v>
                </c:pt>
                <c:pt idx="40">
                  <c:v>16.100000000000001</c:v>
                </c:pt>
                <c:pt idx="41">
                  <c:v>16.5</c:v>
                </c:pt>
                <c:pt idx="42">
                  <c:v>16.899999999999999</c:v>
                </c:pt>
                <c:pt idx="43">
                  <c:v>17.3</c:v>
                </c:pt>
                <c:pt idx="44">
                  <c:v>17.7</c:v>
                </c:pt>
                <c:pt idx="45">
                  <c:v>18.100000000000001</c:v>
                </c:pt>
                <c:pt idx="46">
                  <c:v>18.5</c:v>
                </c:pt>
                <c:pt idx="47">
                  <c:v>18.899999999999999</c:v>
                </c:pt>
                <c:pt idx="48">
                  <c:v>19.3</c:v>
                </c:pt>
                <c:pt idx="49">
                  <c:v>19.7</c:v>
                </c:pt>
                <c:pt idx="50">
                  <c:v>20.100000000000001</c:v>
                </c:pt>
                <c:pt idx="51">
                  <c:v>20.5</c:v>
                </c:pt>
                <c:pt idx="52">
                  <c:v>20.9</c:v>
                </c:pt>
                <c:pt idx="53">
                  <c:v>21.3</c:v>
                </c:pt>
                <c:pt idx="54">
                  <c:v>21.7</c:v>
                </c:pt>
                <c:pt idx="55">
                  <c:v>22.1</c:v>
                </c:pt>
                <c:pt idx="56">
                  <c:v>22.5</c:v>
                </c:pt>
                <c:pt idx="57">
                  <c:v>22.9</c:v>
                </c:pt>
                <c:pt idx="58">
                  <c:v>23.3</c:v>
                </c:pt>
                <c:pt idx="59">
                  <c:v>23.7</c:v>
                </c:pt>
                <c:pt idx="60">
                  <c:v>24.1</c:v>
                </c:pt>
                <c:pt idx="61">
                  <c:v>24.5</c:v>
                </c:pt>
                <c:pt idx="62">
                  <c:v>24.9</c:v>
                </c:pt>
                <c:pt idx="63">
                  <c:v>25.3</c:v>
                </c:pt>
                <c:pt idx="64">
                  <c:v>25.7</c:v>
                </c:pt>
                <c:pt idx="65">
                  <c:v>26.1</c:v>
                </c:pt>
                <c:pt idx="66">
                  <c:v>26.5</c:v>
                </c:pt>
                <c:pt idx="67">
                  <c:v>26.9</c:v>
                </c:pt>
                <c:pt idx="68">
                  <c:v>27.3</c:v>
                </c:pt>
                <c:pt idx="69">
                  <c:v>27.7</c:v>
                </c:pt>
                <c:pt idx="70">
                  <c:v>28.1</c:v>
                </c:pt>
                <c:pt idx="71">
                  <c:v>28.5</c:v>
                </c:pt>
                <c:pt idx="72">
                  <c:v>28.9</c:v>
                </c:pt>
                <c:pt idx="73">
                  <c:v>29.3</c:v>
                </c:pt>
                <c:pt idx="74">
                  <c:v>29.7</c:v>
                </c:pt>
                <c:pt idx="75">
                  <c:v>30.1</c:v>
                </c:pt>
                <c:pt idx="76">
                  <c:v>30.5</c:v>
                </c:pt>
                <c:pt idx="77">
                  <c:v>30.9</c:v>
                </c:pt>
                <c:pt idx="78">
                  <c:v>31.3</c:v>
                </c:pt>
                <c:pt idx="79">
                  <c:v>31.7</c:v>
                </c:pt>
                <c:pt idx="80">
                  <c:v>32.1</c:v>
                </c:pt>
                <c:pt idx="81">
                  <c:v>32.5</c:v>
                </c:pt>
                <c:pt idx="82">
                  <c:v>32.9</c:v>
                </c:pt>
                <c:pt idx="83">
                  <c:v>33.299999999999997</c:v>
                </c:pt>
                <c:pt idx="84">
                  <c:v>33.700000000000003</c:v>
                </c:pt>
                <c:pt idx="85">
                  <c:v>34.1</c:v>
                </c:pt>
                <c:pt idx="86">
                  <c:v>34.5</c:v>
                </c:pt>
                <c:pt idx="87">
                  <c:v>34.9</c:v>
                </c:pt>
                <c:pt idx="88">
                  <c:v>35.299999999999997</c:v>
                </c:pt>
                <c:pt idx="89">
                  <c:v>35.700000000000003</c:v>
                </c:pt>
                <c:pt idx="90">
                  <c:v>36.1</c:v>
                </c:pt>
                <c:pt idx="91">
                  <c:v>36.5</c:v>
                </c:pt>
                <c:pt idx="92">
                  <c:v>36.9</c:v>
                </c:pt>
                <c:pt idx="93">
                  <c:v>37.299999999999997</c:v>
                </c:pt>
                <c:pt idx="94">
                  <c:v>37.700000000000003</c:v>
                </c:pt>
                <c:pt idx="95">
                  <c:v>38.1</c:v>
                </c:pt>
                <c:pt idx="96">
                  <c:v>38.5</c:v>
                </c:pt>
                <c:pt idx="97">
                  <c:v>38.9</c:v>
                </c:pt>
                <c:pt idx="98">
                  <c:v>39.299999999999997</c:v>
                </c:pt>
                <c:pt idx="99">
                  <c:v>45</c:v>
                </c:pt>
              </c:numCache>
            </c:numRef>
          </c:xVal>
          <c:yVal>
            <c:numRef>
              <c:f>'Rising velocity'!$I$13:$I$112</c:f>
              <c:numCache>
                <c:formatCode>General</c:formatCode>
                <c:ptCount val="100"/>
                <c:pt idx="0">
                  <c:v>0.8063056303907854</c:v>
                </c:pt>
                <c:pt idx="1">
                  <c:v>0.36384083597086292</c:v>
                </c:pt>
                <c:pt idx="2">
                  <c:v>0.27676078110083163</c:v>
                </c:pt>
                <c:pt idx="3">
                  <c:v>0.23737875765241992</c:v>
                </c:pt>
                <c:pt idx="4">
                  <c:v>0.21576032039931853</c:v>
                </c:pt>
                <c:pt idx="5">
                  <c:v>0.20306564380818454</c:v>
                </c:pt>
                <c:pt idx="6">
                  <c:v>0.1955710376921779</c:v>
                </c:pt>
                <c:pt idx="7">
                  <c:v>0.19137873351387619</c:v>
                </c:pt>
                <c:pt idx="8">
                  <c:v>0.18940039115506968</c:v>
                </c:pt>
                <c:pt idx="9">
                  <c:v>0.18896108348087728</c:v>
                </c:pt>
                <c:pt idx="10">
                  <c:v>0.18961892269470249</c:v>
                </c:pt>
                <c:pt idx="11">
                  <c:v>0.19107303836781497</c:v>
                </c:pt>
                <c:pt idx="12">
                  <c:v>0.19311246430353829</c:v>
                </c:pt>
                <c:pt idx="13">
                  <c:v>0.19558585286647706</c:v>
                </c:pt>
                <c:pt idx="14">
                  <c:v>0.19838261673987298</c:v>
                </c:pt>
                <c:pt idx="15">
                  <c:v>0.20142072311050499</c:v>
                </c:pt>
                <c:pt idx="16">
                  <c:v>0.20463854699670164</c:v>
                </c:pt>
                <c:pt idx="17">
                  <c:v>0.20798929632436747</c:v>
                </c:pt>
                <c:pt idx="18">
                  <c:v>0.21143711684110852</c:v>
                </c:pt>
                <c:pt idx="19">
                  <c:v>0.21495432222719857</c:v>
                </c:pt>
                <c:pt idx="20">
                  <c:v>0.21851939399196546</c:v>
                </c:pt>
                <c:pt idx="21">
                  <c:v>0.22211551762937079</c:v>
                </c:pt>
                <c:pt idx="22">
                  <c:v>0.22572949829386205</c:v>
                </c:pt>
                <c:pt idx="23">
                  <c:v>0.22935094884833843</c:v>
                </c:pt>
                <c:pt idx="24">
                  <c:v>0.2329716758502037</c:v>
                </c:pt>
                <c:pt idx="25">
                  <c:v>0.23658521102394875</c:v>
                </c:pt>
                <c:pt idx="26">
                  <c:v>0.24018645078156781</c:v>
                </c:pt>
                <c:pt idx="27">
                  <c:v>0.24377137675446961</c:v>
                </c:pt>
                <c:pt idx="28">
                  <c:v>0.2473368376028876</c:v>
                </c:pt>
                <c:pt idx="29">
                  <c:v>0.2508803775561852</c:v>
                </c:pt>
                <c:pt idx="30">
                  <c:v>0.25440010086280879</c:v>
                </c:pt>
                <c:pt idx="31">
                  <c:v>0.25789456403111538</c:v>
                </c:pt>
                <c:pt idx="32">
                  <c:v>0.26136268972118737</c:v>
                </c:pt>
                <c:pt idx="33">
                  <c:v>0.264803697609509</c:v>
                </c:pt>
                <c:pt idx="34">
                  <c:v>0.26821704863703422</c:v>
                </c:pt>
                <c:pt idx="35">
                  <c:v>0.27160239986823304</c:v>
                </c:pt>
                <c:pt idx="36">
                  <c:v>0.27495956780638686</c:v>
                </c:pt>
                <c:pt idx="37">
                  <c:v>0.27828849848058113</c:v>
                </c:pt>
                <c:pt idx="38">
                  <c:v>0.28158924298007326</c:v>
                </c:pt>
                <c:pt idx="39">
                  <c:v>0.28486193738940913</c:v>
                </c:pt>
                <c:pt idx="40">
                  <c:v>0.28810678629298858</c:v>
                </c:pt>
                <c:pt idx="41">
                  <c:v>0.29132404918567689</c:v>
                </c:pt>
                <c:pt idx="42">
                  <c:v>0.29451402925766557</c:v>
                </c:pt>
                <c:pt idx="43">
                  <c:v>0.29767706412546752</c:v>
                </c:pt>
                <c:pt idx="44">
                  <c:v>0.30081351816300389</c:v>
                </c:pt>
                <c:pt idx="45">
                  <c:v>0.30392377615200922</c:v>
                </c:pt>
                <c:pt idx="46">
                  <c:v>0.30700823802310812</c:v>
                </c:pt>
                <c:pt idx="47">
                  <c:v>0.31006731450072661</c:v>
                </c:pt>
                <c:pt idx="48">
                  <c:v>0.31310142349866538</c:v>
                </c:pt>
                <c:pt idx="49">
                  <c:v>0.316110987140375</c:v>
                </c:pt>
                <c:pt idx="50">
                  <c:v>0.31909642930004595</c:v>
                </c:pt>
                <c:pt idx="51">
                  <c:v>0.32205817357859423</c:v>
                </c:pt>
                <c:pt idx="52">
                  <c:v>0.32499664164330261</c:v>
                </c:pt>
                <c:pt idx="53">
                  <c:v>0.32791225187189782</c:v>
                </c:pt>
                <c:pt idx="54">
                  <c:v>0.33080541825172682</c:v>
                </c:pt>
                <c:pt idx="55">
                  <c:v>0.33367654949283959</c:v>
                </c:pt>
                <c:pt idx="56">
                  <c:v>0.33652604832051514</c:v>
                </c:pt>
                <c:pt idx="57">
                  <c:v>0.33935431091834406</c:v>
                </c:pt>
                <c:pt idx="58">
                  <c:v>0.34216172649761373</c:v>
                </c:pt>
                <c:pt idx="59">
                  <c:v>0.34494867697260007</c:v>
                </c:pt>
                <c:pt idx="60">
                  <c:v>0.34771553672458694</c:v>
                </c:pt>
                <c:pt idx="61">
                  <c:v>0.35046267244012891</c:v>
                </c:pt>
                <c:pt idx="62">
                  <c:v>0.35319044301132735</c:v>
                </c:pt>
                <c:pt idx="63">
                  <c:v>0.35589919948778609</c:v>
                </c:pt>
                <c:pt idx="64">
                  <c:v>0.35858928507150484</c:v>
                </c:pt>
                <c:pt idx="65">
                  <c:v>0.36126103514731334</c:v>
                </c:pt>
                <c:pt idx="66">
                  <c:v>0.36391477734258254</c:v>
                </c:pt>
                <c:pt idx="67">
                  <c:v>0.36655083161090551</c:v>
                </c:pt>
                <c:pt idx="68">
                  <c:v>0.36916951033525469</c:v>
                </c:pt>
                <c:pt idx="69">
                  <c:v>0.37177111844680849</c:v>
                </c:pt>
                <c:pt idx="70">
                  <c:v>0.37435595355622286</c:v>
                </c:pt>
                <c:pt idx="71">
                  <c:v>0.37692430609462146</c:v>
                </c:pt>
                <c:pt idx="72">
                  <c:v>0.37947645946199715</c:v>
                </c:pt>
                <c:pt idx="73">
                  <c:v>0.38201269018107925</c:v>
                </c:pt>
                <c:pt idx="74">
                  <c:v>0.38453326805502414</c:v>
                </c:pt>
                <c:pt idx="75">
                  <c:v>0.38703845632754835</c:v>
                </c:pt>
                <c:pt idx="76">
                  <c:v>0.38952851184434722</c:v>
                </c:pt>
                <c:pt idx="77">
                  <c:v>0.39200368521482815</c:v>
                </c:pt>
                <c:pt idx="78">
                  <c:v>0.39446422097335349</c:v>
                </c:pt>
                <c:pt idx="79">
                  <c:v>0.39691035773932221</c:v>
                </c:pt>
                <c:pt idx="80">
                  <c:v>0.39934232837554096</c:v>
                </c:pt>
                <c:pt idx="81">
                  <c:v>0.40176036014443267</c:v>
                </c:pt>
                <c:pt idx="82">
                  <c:v>0.40416467486171853</c:v>
                </c:pt>
                <c:pt idx="83">
                  <c:v>0.40655548904728134</c:v>
                </c:pt>
                <c:pt idx="84">
                  <c:v>0.40893301407298083</c:v>
                </c:pt>
                <c:pt idx="85">
                  <c:v>0.41129745630724368</c:v>
                </c:pt>
                <c:pt idx="86">
                  <c:v>0.41364901725629799</c:v>
                </c:pt>
                <c:pt idx="87">
                  <c:v>0.4159878937019561</c:v>
                </c:pt>
                <c:pt idx="88">
                  <c:v>0.41831427783588676</c:v>
                </c:pt>
                <c:pt idx="89">
                  <c:v>0.42062835739034055</c:v>
                </c:pt>
                <c:pt idx="90">
                  <c:v>0.42293031576531787</c:v>
                </c:pt>
                <c:pt idx="91">
                  <c:v>0.42522033215218685</c:v>
                </c:pt>
                <c:pt idx="92">
                  <c:v>0.42749858165377441</c:v>
                </c:pt>
                <c:pt idx="93">
                  <c:v>0.42976523540096756</c:v>
                </c:pt>
                <c:pt idx="94">
                  <c:v>0.43202046066587169</c:v>
                </c:pt>
                <c:pt idx="95">
                  <c:v>0.43426442097158324</c:v>
                </c:pt>
                <c:pt idx="96">
                  <c:v>0.43649727619863887</c:v>
                </c:pt>
                <c:pt idx="97">
                  <c:v>0.43871918268821058</c:v>
                </c:pt>
                <c:pt idx="98">
                  <c:v>0.44093029334212014</c:v>
                </c:pt>
                <c:pt idx="99">
                  <c:v>0.47134768547125683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8F7-4A8C-BD43-58FE1408F720}"/>
            </c:ext>
          </c:extLst>
        </c:ser>
        <c:ser>
          <c:idx val="3"/>
          <c:order val="2"/>
          <c:tx>
            <c:strRef>
              <c:f>'Rising velocity'!$J$11</c:f>
              <c:strCache>
                <c:ptCount val="1"/>
                <c:pt idx="0">
                  <c:v>Water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'Rising velocity'!$G$13:$G$112</c:f>
              <c:numCache>
                <c:formatCode>General</c:formatCode>
                <c:ptCount val="100"/>
                <c:pt idx="0">
                  <c:v>0.1</c:v>
                </c:pt>
                <c:pt idx="1">
                  <c:v>0.5</c:v>
                </c:pt>
                <c:pt idx="2">
                  <c:v>0.9</c:v>
                </c:pt>
                <c:pt idx="3">
                  <c:v>1.3</c:v>
                </c:pt>
                <c:pt idx="4">
                  <c:v>1.7</c:v>
                </c:pt>
                <c:pt idx="5">
                  <c:v>2.1</c:v>
                </c:pt>
                <c:pt idx="6">
                  <c:v>2.5</c:v>
                </c:pt>
                <c:pt idx="7">
                  <c:v>2.9</c:v>
                </c:pt>
                <c:pt idx="8">
                  <c:v>3.3</c:v>
                </c:pt>
                <c:pt idx="9">
                  <c:v>3.7</c:v>
                </c:pt>
                <c:pt idx="10">
                  <c:v>4.0999999999999996</c:v>
                </c:pt>
                <c:pt idx="11">
                  <c:v>4.5</c:v>
                </c:pt>
                <c:pt idx="12">
                  <c:v>4.9000000000000004</c:v>
                </c:pt>
                <c:pt idx="13">
                  <c:v>5.3</c:v>
                </c:pt>
                <c:pt idx="14">
                  <c:v>5.7</c:v>
                </c:pt>
                <c:pt idx="15">
                  <c:v>6.1</c:v>
                </c:pt>
                <c:pt idx="16">
                  <c:v>6.5</c:v>
                </c:pt>
                <c:pt idx="17">
                  <c:v>6.9</c:v>
                </c:pt>
                <c:pt idx="18">
                  <c:v>7.3</c:v>
                </c:pt>
                <c:pt idx="19">
                  <c:v>7.7</c:v>
                </c:pt>
                <c:pt idx="20">
                  <c:v>8.1</c:v>
                </c:pt>
                <c:pt idx="21">
                  <c:v>8.5</c:v>
                </c:pt>
                <c:pt idx="22">
                  <c:v>8.9</c:v>
                </c:pt>
                <c:pt idx="23">
                  <c:v>9.3000000000000007</c:v>
                </c:pt>
                <c:pt idx="24">
                  <c:v>9.6999999999999993</c:v>
                </c:pt>
                <c:pt idx="25">
                  <c:v>10.1</c:v>
                </c:pt>
                <c:pt idx="26">
                  <c:v>10.5</c:v>
                </c:pt>
                <c:pt idx="27">
                  <c:v>10.9</c:v>
                </c:pt>
                <c:pt idx="28">
                  <c:v>11.3</c:v>
                </c:pt>
                <c:pt idx="29">
                  <c:v>11.7</c:v>
                </c:pt>
                <c:pt idx="30">
                  <c:v>12.1</c:v>
                </c:pt>
                <c:pt idx="31">
                  <c:v>12.5</c:v>
                </c:pt>
                <c:pt idx="32">
                  <c:v>12.9</c:v>
                </c:pt>
                <c:pt idx="33">
                  <c:v>13.3</c:v>
                </c:pt>
                <c:pt idx="34">
                  <c:v>13.7</c:v>
                </c:pt>
                <c:pt idx="35">
                  <c:v>14.1</c:v>
                </c:pt>
                <c:pt idx="36">
                  <c:v>14.5</c:v>
                </c:pt>
                <c:pt idx="37">
                  <c:v>14.9</c:v>
                </c:pt>
                <c:pt idx="38">
                  <c:v>15.3</c:v>
                </c:pt>
                <c:pt idx="39">
                  <c:v>15.7</c:v>
                </c:pt>
                <c:pt idx="40">
                  <c:v>16.100000000000001</c:v>
                </c:pt>
                <c:pt idx="41">
                  <c:v>16.5</c:v>
                </c:pt>
                <c:pt idx="42">
                  <c:v>16.899999999999999</c:v>
                </c:pt>
                <c:pt idx="43">
                  <c:v>17.3</c:v>
                </c:pt>
                <c:pt idx="44">
                  <c:v>17.7</c:v>
                </c:pt>
                <c:pt idx="45">
                  <c:v>18.100000000000001</c:v>
                </c:pt>
                <c:pt idx="46">
                  <c:v>18.5</c:v>
                </c:pt>
                <c:pt idx="47">
                  <c:v>18.899999999999999</c:v>
                </c:pt>
                <c:pt idx="48">
                  <c:v>19.3</c:v>
                </c:pt>
                <c:pt idx="49">
                  <c:v>19.7</c:v>
                </c:pt>
                <c:pt idx="50">
                  <c:v>20.100000000000001</c:v>
                </c:pt>
                <c:pt idx="51">
                  <c:v>20.5</c:v>
                </c:pt>
                <c:pt idx="52">
                  <c:v>20.9</c:v>
                </c:pt>
                <c:pt idx="53">
                  <c:v>21.3</c:v>
                </c:pt>
                <c:pt idx="54">
                  <c:v>21.7</c:v>
                </c:pt>
                <c:pt idx="55">
                  <c:v>22.1</c:v>
                </c:pt>
                <c:pt idx="56">
                  <c:v>22.5</c:v>
                </c:pt>
                <c:pt idx="57">
                  <c:v>22.9</c:v>
                </c:pt>
                <c:pt idx="58">
                  <c:v>23.3</c:v>
                </c:pt>
                <c:pt idx="59">
                  <c:v>23.7</c:v>
                </c:pt>
                <c:pt idx="60">
                  <c:v>24.1</c:v>
                </c:pt>
                <c:pt idx="61">
                  <c:v>24.5</c:v>
                </c:pt>
                <c:pt idx="62">
                  <c:v>24.9</c:v>
                </c:pt>
                <c:pt idx="63">
                  <c:v>25.3</c:v>
                </c:pt>
                <c:pt idx="64">
                  <c:v>25.7</c:v>
                </c:pt>
                <c:pt idx="65">
                  <c:v>26.1</c:v>
                </c:pt>
                <c:pt idx="66">
                  <c:v>26.5</c:v>
                </c:pt>
                <c:pt idx="67">
                  <c:v>26.9</c:v>
                </c:pt>
                <c:pt idx="68">
                  <c:v>27.3</c:v>
                </c:pt>
                <c:pt idx="69">
                  <c:v>27.7</c:v>
                </c:pt>
                <c:pt idx="70">
                  <c:v>28.1</c:v>
                </c:pt>
                <c:pt idx="71">
                  <c:v>28.5</c:v>
                </c:pt>
                <c:pt idx="72">
                  <c:v>28.9</c:v>
                </c:pt>
                <c:pt idx="73">
                  <c:v>29.3</c:v>
                </c:pt>
                <c:pt idx="74">
                  <c:v>29.7</c:v>
                </c:pt>
                <c:pt idx="75">
                  <c:v>30.1</c:v>
                </c:pt>
                <c:pt idx="76">
                  <c:v>30.5</c:v>
                </c:pt>
                <c:pt idx="77">
                  <c:v>30.9</c:v>
                </c:pt>
                <c:pt idx="78">
                  <c:v>31.3</c:v>
                </c:pt>
                <c:pt idx="79">
                  <c:v>31.7</c:v>
                </c:pt>
                <c:pt idx="80">
                  <c:v>32.1</c:v>
                </c:pt>
                <c:pt idx="81">
                  <c:v>32.5</c:v>
                </c:pt>
                <c:pt idx="82">
                  <c:v>32.9</c:v>
                </c:pt>
                <c:pt idx="83">
                  <c:v>33.299999999999997</c:v>
                </c:pt>
                <c:pt idx="84">
                  <c:v>33.700000000000003</c:v>
                </c:pt>
                <c:pt idx="85">
                  <c:v>34.1</c:v>
                </c:pt>
                <c:pt idx="86">
                  <c:v>34.5</c:v>
                </c:pt>
                <c:pt idx="87">
                  <c:v>34.9</c:v>
                </c:pt>
                <c:pt idx="88">
                  <c:v>35.299999999999997</c:v>
                </c:pt>
                <c:pt idx="89">
                  <c:v>35.700000000000003</c:v>
                </c:pt>
                <c:pt idx="90">
                  <c:v>36.1</c:v>
                </c:pt>
                <c:pt idx="91">
                  <c:v>36.5</c:v>
                </c:pt>
                <c:pt idx="92">
                  <c:v>36.9</c:v>
                </c:pt>
                <c:pt idx="93">
                  <c:v>37.299999999999997</c:v>
                </c:pt>
                <c:pt idx="94">
                  <c:v>37.700000000000003</c:v>
                </c:pt>
                <c:pt idx="95">
                  <c:v>38.1</c:v>
                </c:pt>
                <c:pt idx="96">
                  <c:v>38.5</c:v>
                </c:pt>
                <c:pt idx="97">
                  <c:v>38.9</c:v>
                </c:pt>
                <c:pt idx="98">
                  <c:v>39.299999999999997</c:v>
                </c:pt>
                <c:pt idx="99">
                  <c:v>45</c:v>
                </c:pt>
              </c:numCache>
            </c:numRef>
          </c:xVal>
          <c:yVal>
            <c:numRef>
              <c:f>'Rising velocity'!$J$13:$J$112</c:f>
              <c:numCache>
                <c:formatCode>General</c:formatCode>
                <c:ptCount val="100"/>
                <c:pt idx="0">
                  <c:v>1.2068514821634018</c:v>
                </c:pt>
                <c:pt idx="1">
                  <c:v>0.54189713045927823</c:v>
                </c:pt>
                <c:pt idx="2">
                  <c:v>0.4076668710819874</c:v>
                </c:pt>
                <c:pt idx="3">
                  <c:v>0.34405886124324714</c:v>
                </c:pt>
                <c:pt idx="4">
                  <c:v>0.30657064246846832</c:v>
                </c:pt>
                <c:pt idx="5">
                  <c:v>0.2821946727586</c:v>
                </c:pt>
                <c:pt idx="6">
                  <c:v>0.26552306867765746</c:v>
                </c:pt>
                <c:pt idx="7">
                  <c:v>0.25383340314411762</c:v>
                </c:pt>
                <c:pt idx="8">
                  <c:v>0.24557628574683696</c:v>
                </c:pt>
                <c:pt idx="9">
                  <c:v>0.23979126621157693</c:v>
                </c:pt>
                <c:pt idx="10">
                  <c:v>0.23584464191910579</c:v>
                </c:pt>
                <c:pt idx="11">
                  <c:v>0.23329821164242889</c:v>
                </c:pt>
                <c:pt idx="12">
                  <c:v>0.23183784357668125</c:v>
                </c:pt>
                <c:pt idx="13">
                  <c:v>0.23123191413212743</c:v>
                </c:pt>
                <c:pt idx="14">
                  <c:v>0.23130577089455165</c:v>
                </c:pt>
                <c:pt idx="15">
                  <c:v>0.23192531655474008</c:v>
                </c:pt>
                <c:pt idx="16">
                  <c:v>0.23298605108460893</c:v>
                </c:pt>
                <c:pt idx="17">
                  <c:v>0.23440552313322807</c:v>
                </c:pt>
                <c:pt idx="18">
                  <c:v>0.23611799058829053</c:v>
                </c:pt>
                <c:pt idx="19">
                  <c:v>0.23807055867765531</c:v>
                </c:pt>
                <c:pt idx="20">
                  <c:v>0.24022033353147962</c:v>
                </c:pt>
                <c:pt idx="21">
                  <c:v>0.24253229014856123</c:v>
                </c:pt>
                <c:pt idx="22">
                  <c:v>0.2449776531886077</c:v>
                </c:pt>
                <c:pt idx="23">
                  <c:v>0.24753265234811878</c:v>
                </c:pt>
                <c:pt idx="24">
                  <c:v>0.25017755550478649</c:v>
                </c:pt>
                <c:pt idx="25">
                  <c:v>0.2528959105722321</c:v>
                </c:pt>
                <c:pt idx="26">
                  <c:v>0.25567394600675813</c:v>
                </c:pt>
                <c:pt idx="27">
                  <c:v>0.25850009316272521</c:v>
                </c:pt>
                <c:pt idx="28">
                  <c:v>0.26136460309730619</c:v>
                </c:pt>
                <c:pt idx="29">
                  <c:v>0.26425923719795386</c:v>
                </c:pt>
                <c:pt idx="30">
                  <c:v>0.26717701594867715</c:v>
                </c:pt>
                <c:pt idx="31">
                  <c:v>0.27011201380168193</c:v>
                </c:pt>
                <c:pt idx="32">
                  <c:v>0.27305919084591596</c:v>
                </c:pt>
                <c:pt idx="33">
                  <c:v>0.27601425401789059</c:v>
                </c:pt>
                <c:pt idx="34">
                  <c:v>0.27897354216175657</c:v>
                </c:pt>
                <c:pt idx="35">
                  <c:v>0.28193393044249176</c:v>
                </c:pt>
                <c:pt idx="36">
                  <c:v>0.28489275054017227</c:v>
                </c:pt>
                <c:pt idx="37">
                  <c:v>0.28784772377167916</c:v>
                </c:pt>
                <c:pt idx="38">
                  <c:v>0.29079690484817933</c:v>
                </c:pt>
                <c:pt idx="39">
                  <c:v>0.29373863441896519</c:v>
                </c:pt>
                <c:pt idx="40">
                  <c:v>0.29667149890218569</c:v>
                </c:pt>
                <c:pt idx="41">
                  <c:v>0.29959429638136043</c:v>
                </c:pt>
                <c:pt idx="42">
                  <c:v>0.30250600756908053</c:v>
                </c:pt>
                <c:pt idx="43">
                  <c:v>0.30540577101799871</c:v>
                </c:pt>
                <c:pt idx="44">
                  <c:v>0.30829286190336125</c:v>
                </c:pt>
                <c:pt idx="45">
                  <c:v>0.31116667381811253</c:v>
                </c:pt>
                <c:pt idx="46">
                  <c:v>0.31402670311658254</c:v>
                </c:pt>
                <c:pt idx="47">
                  <c:v>0.31687253542032279</c:v>
                </c:pt>
                <c:pt idx="48">
                  <c:v>0.31970383396321228</c:v>
                </c:pt>
                <c:pt idx="49">
                  <c:v>0.32252032950523046</c:v>
                </c:pt>
                <c:pt idx="50">
                  <c:v>0.32532181158743007</c:v>
                </c:pt>
                <c:pt idx="51">
                  <c:v>0.32810812093636182</c:v>
                </c:pt>
                <c:pt idx="52">
                  <c:v>0.33087914285586739</c:v>
                </c:pt>
                <c:pt idx="53">
                  <c:v>0.33363480146887209</c:v>
                </c:pt>
                <c:pt idx="54">
                  <c:v>0.3363750546924591</c:v>
                </c:pt>
                <c:pt idx="55">
                  <c:v>0.3390998898468085</c:v>
                </c:pt>
                <c:pt idx="56">
                  <c:v>0.3418093198131249</c:v>
                </c:pt>
                <c:pt idx="57">
                  <c:v>0.34450337966792155</c:v>
                </c:pt>
                <c:pt idx="58">
                  <c:v>0.3471821237313733</c:v>
                </c:pt>
                <c:pt idx="59">
                  <c:v>0.34984562297620908</c:v>
                </c:pt>
                <c:pt idx="60">
                  <c:v>0.35249396275104289</c:v>
                </c:pt>
                <c:pt idx="61">
                  <c:v>0.35512724077836827</c:v>
                </c:pt>
                <c:pt idx="62">
                  <c:v>0.35774556539282626</c:v>
                </c:pt>
                <c:pt idx="63">
                  <c:v>0.36034905398996464</c:v>
                </c:pt>
                <c:pt idx="64">
                  <c:v>0.36293783165964588</c:v>
                </c:pt>
                <c:pt idx="65">
                  <c:v>0.36551202998164461</c:v>
                </c:pt>
                <c:pt idx="66">
                  <c:v>0.36807178596388168</c:v>
                </c:pt>
                <c:pt idx="67">
                  <c:v>0.37061724110624489</c:v>
                </c:pt>
                <c:pt idx="68">
                  <c:v>0.37314854057510843</c:v>
                </c:pt>
                <c:pt idx="69">
                  <c:v>0.37566583247552698</c:v>
                </c:pt>
                <c:pt idx="70">
                  <c:v>0.37816926720970029</c:v>
                </c:pt>
                <c:pt idx="71">
                  <c:v>0.38065899691170385</c:v>
                </c:pt>
                <c:pt idx="72">
                  <c:v>0.38313517494969973</c:v>
                </c:pt>
                <c:pt idx="73">
                  <c:v>0.3855979554879026</c:v>
                </c:pt>
                <c:pt idx="74">
                  <c:v>0.38804749310149772</c:v>
                </c:pt>
                <c:pt idx="75">
                  <c:v>0.39048394243851514</c:v>
                </c:pt>
                <c:pt idx="76">
                  <c:v>0.39290745792336812</c:v>
                </c:pt>
                <c:pt idx="77">
                  <c:v>0.39531819349738045</c:v>
                </c:pt>
                <c:pt idx="78">
                  <c:v>0.39771630239216799</c:v>
                </c:pt>
                <c:pt idx="79">
                  <c:v>0.40010193693221296</c:v>
                </c:pt>
                <c:pt idx="80">
                  <c:v>0.40247524836338866</c:v>
                </c:pt>
                <c:pt idx="81">
                  <c:v>0.40483638670455502</c:v>
                </c:pt>
                <c:pt idx="82">
                  <c:v>0.4071855006196729</c:v>
                </c:pt>
                <c:pt idx="83">
                  <c:v>0.40952273730816507</c:v>
                </c:pt>
                <c:pt idx="84">
                  <c:v>0.4118482424115078</c:v>
                </c:pt>
                <c:pt idx="85">
                  <c:v>0.41416215993425526</c:v>
                </c:pt>
                <c:pt idx="86">
                  <c:v>0.41646463217789875</c:v>
                </c:pt>
                <c:pt idx="87">
                  <c:v>0.41875579968613408</c:v>
                </c:pt>
                <c:pt idx="88">
                  <c:v>0.42103580120026762</c:v>
                </c:pt>
                <c:pt idx="89">
                  <c:v>0.42330477362362573</c:v>
                </c:pt>
                <c:pt idx="90">
                  <c:v>0.42556285199395627</c:v>
                </c:pt>
                <c:pt idx="91">
                  <c:v>0.42781016946291778</c:v>
                </c:pt>
                <c:pt idx="92">
                  <c:v>0.43004685728184849</c:v>
                </c:pt>
                <c:pt idx="93">
                  <c:v>0.43227304479309336</c:v>
                </c:pt>
                <c:pt idx="94">
                  <c:v>0.43448885942624271</c:v>
                </c:pt>
                <c:pt idx="95">
                  <c:v>0.43669442669870578</c:v>
                </c:pt>
                <c:pt idx="96">
                  <c:v>0.43888987022010223</c:v>
                </c:pt>
                <c:pt idx="97">
                  <c:v>0.44107531170000847</c:v>
                </c:pt>
                <c:pt idx="98">
                  <c:v>0.44325087095864568</c:v>
                </c:pt>
                <c:pt idx="99">
                  <c:v>0.47324471001328217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8F7-4A8C-BD43-58FE1408F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571391"/>
        <c:axId val="427572351"/>
      </c:scatterChart>
      <c:valAx>
        <c:axId val="427571391"/>
        <c:scaling>
          <c:logBase val="2"/>
          <c:orientation val="minMax"/>
          <c:max val="45"/>
          <c:min val="0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Bubble diameter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27572351"/>
        <c:crossesAt val="1.0000000000000002E-2"/>
        <c:crossBetween val="midCat"/>
      </c:valAx>
      <c:valAx>
        <c:axId val="427572351"/>
        <c:scaling>
          <c:logBase val="2"/>
          <c:orientation val="minMax"/>
          <c:max val="0.70000000000000007"/>
          <c:min val="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Terminal velocity speed (m/s)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27571391"/>
        <c:crossesAt val="0.2"/>
        <c:crossBetween val="midCat"/>
      </c:valAx>
      <c:spPr>
        <a:noFill/>
        <a:ln>
          <a:solidFill>
            <a:schemeClr val="accent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tx>
            <c:strRef>
              <c:f>'Rising velocity'!$J$11</c:f>
              <c:strCache>
                <c:ptCount val="1"/>
                <c:pt idx="0">
                  <c:v>Water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'Rising velocity'!$G$13:$G$112</c:f>
              <c:numCache>
                <c:formatCode>General</c:formatCode>
                <c:ptCount val="100"/>
                <c:pt idx="0">
                  <c:v>0.1</c:v>
                </c:pt>
                <c:pt idx="1">
                  <c:v>0.5</c:v>
                </c:pt>
                <c:pt idx="2">
                  <c:v>0.9</c:v>
                </c:pt>
                <c:pt idx="3">
                  <c:v>1.3</c:v>
                </c:pt>
                <c:pt idx="4">
                  <c:v>1.7</c:v>
                </c:pt>
                <c:pt idx="5">
                  <c:v>2.1</c:v>
                </c:pt>
                <c:pt idx="6">
                  <c:v>2.5</c:v>
                </c:pt>
                <c:pt idx="7">
                  <c:v>2.9</c:v>
                </c:pt>
                <c:pt idx="8">
                  <c:v>3.3</c:v>
                </c:pt>
                <c:pt idx="9">
                  <c:v>3.7</c:v>
                </c:pt>
                <c:pt idx="10">
                  <c:v>4.0999999999999996</c:v>
                </c:pt>
                <c:pt idx="11">
                  <c:v>4.5</c:v>
                </c:pt>
                <c:pt idx="12">
                  <c:v>4.9000000000000004</c:v>
                </c:pt>
                <c:pt idx="13">
                  <c:v>5.3</c:v>
                </c:pt>
                <c:pt idx="14">
                  <c:v>5.7</c:v>
                </c:pt>
                <c:pt idx="15">
                  <c:v>6.1</c:v>
                </c:pt>
                <c:pt idx="16">
                  <c:v>6.5</c:v>
                </c:pt>
                <c:pt idx="17">
                  <c:v>6.9</c:v>
                </c:pt>
                <c:pt idx="18">
                  <c:v>7.3</c:v>
                </c:pt>
                <c:pt idx="19">
                  <c:v>7.7</c:v>
                </c:pt>
                <c:pt idx="20">
                  <c:v>8.1</c:v>
                </c:pt>
                <c:pt idx="21">
                  <c:v>8.5</c:v>
                </c:pt>
                <c:pt idx="22">
                  <c:v>8.9</c:v>
                </c:pt>
                <c:pt idx="23">
                  <c:v>9.3000000000000007</c:v>
                </c:pt>
                <c:pt idx="24">
                  <c:v>9.6999999999999993</c:v>
                </c:pt>
                <c:pt idx="25">
                  <c:v>10.1</c:v>
                </c:pt>
                <c:pt idx="26">
                  <c:v>10.5</c:v>
                </c:pt>
                <c:pt idx="27">
                  <c:v>10.9</c:v>
                </c:pt>
                <c:pt idx="28">
                  <c:v>11.3</c:v>
                </c:pt>
                <c:pt idx="29">
                  <c:v>11.7</c:v>
                </c:pt>
                <c:pt idx="30">
                  <c:v>12.1</c:v>
                </c:pt>
                <c:pt idx="31">
                  <c:v>12.5</c:v>
                </c:pt>
                <c:pt idx="32">
                  <c:v>12.9</c:v>
                </c:pt>
                <c:pt idx="33">
                  <c:v>13.3</c:v>
                </c:pt>
                <c:pt idx="34">
                  <c:v>13.7</c:v>
                </c:pt>
                <c:pt idx="35">
                  <c:v>14.1</c:v>
                </c:pt>
                <c:pt idx="36">
                  <c:v>14.5</c:v>
                </c:pt>
                <c:pt idx="37">
                  <c:v>14.9</c:v>
                </c:pt>
                <c:pt idx="38">
                  <c:v>15.3</c:v>
                </c:pt>
                <c:pt idx="39">
                  <c:v>15.7</c:v>
                </c:pt>
                <c:pt idx="40">
                  <c:v>16.100000000000001</c:v>
                </c:pt>
                <c:pt idx="41">
                  <c:v>16.5</c:v>
                </c:pt>
                <c:pt idx="42">
                  <c:v>16.899999999999999</c:v>
                </c:pt>
                <c:pt idx="43">
                  <c:v>17.3</c:v>
                </c:pt>
                <c:pt idx="44">
                  <c:v>17.7</c:v>
                </c:pt>
                <c:pt idx="45">
                  <c:v>18.100000000000001</c:v>
                </c:pt>
                <c:pt idx="46">
                  <c:v>18.5</c:v>
                </c:pt>
                <c:pt idx="47">
                  <c:v>18.899999999999999</c:v>
                </c:pt>
                <c:pt idx="48">
                  <c:v>19.3</c:v>
                </c:pt>
                <c:pt idx="49">
                  <c:v>19.7</c:v>
                </c:pt>
                <c:pt idx="50">
                  <c:v>20.100000000000001</c:v>
                </c:pt>
                <c:pt idx="51">
                  <c:v>20.5</c:v>
                </c:pt>
                <c:pt idx="52">
                  <c:v>20.9</c:v>
                </c:pt>
                <c:pt idx="53">
                  <c:v>21.3</c:v>
                </c:pt>
                <c:pt idx="54">
                  <c:v>21.7</c:v>
                </c:pt>
                <c:pt idx="55">
                  <c:v>22.1</c:v>
                </c:pt>
                <c:pt idx="56">
                  <c:v>22.5</c:v>
                </c:pt>
                <c:pt idx="57">
                  <c:v>22.9</c:v>
                </c:pt>
                <c:pt idx="58">
                  <c:v>23.3</c:v>
                </c:pt>
                <c:pt idx="59">
                  <c:v>23.7</c:v>
                </c:pt>
                <c:pt idx="60">
                  <c:v>24.1</c:v>
                </c:pt>
                <c:pt idx="61">
                  <c:v>24.5</c:v>
                </c:pt>
                <c:pt idx="62">
                  <c:v>24.9</c:v>
                </c:pt>
                <c:pt idx="63">
                  <c:v>25.3</c:v>
                </c:pt>
                <c:pt idx="64">
                  <c:v>25.7</c:v>
                </c:pt>
                <c:pt idx="65">
                  <c:v>26.1</c:v>
                </c:pt>
                <c:pt idx="66">
                  <c:v>26.5</c:v>
                </c:pt>
                <c:pt idx="67">
                  <c:v>26.9</c:v>
                </c:pt>
                <c:pt idx="68">
                  <c:v>27.3</c:v>
                </c:pt>
                <c:pt idx="69">
                  <c:v>27.7</c:v>
                </c:pt>
                <c:pt idx="70">
                  <c:v>28.1</c:v>
                </c:pt>
                <c:pt idx="71">
                  <c:v>28.5</c:v>
                </c:pt>
                <c:pt idx="72">
                  <c:v>28.9</c:v>
                </c:pt>
                <c:pt idx="73">
                  <c:v>29.3</c:v>
                </c:pt>
                <c:pt idx="74">
                  <c:v>29.7</c:v>
                </c:pt>
                <c:pt idx="75">
                  <c:v>30.1</c:v>
                </c:pt>
                <c:pt idx="76">
                  <c:v>30.5</c:v>
                </c:pt>
                <c:pt idx="77">
                  <c:v>30.9</c:v>
                </c:pt>
                <c:pt idx="78">
                  <c:v>31.3</c:v>
                </c:pt>
                <c:pt idx="79">
                  <c:v>31.7</c:v>
                </c:pt>
                <c:pt idx="80">
                  <c:v>32.1</c:v>
                </c:pt>
                <c:pt idx="81">
                  <c:v>32.5</c:v>
                </c:pt>
                <c:pt idx="82">
                  <c:v>32.9</c:v>
                </c:pt>
                <c:pt idx="83">
                  <c:v>33.299999999999997</c:v>
                </c:pt>
                <c:pt idx="84">
                  <c:v>33.700000000000003</c:v>
                </c:pt>
                <c:pt idx="85">
                  <c:v>34.1</c:v>
                </c:pt>
                <c:pt idx="86">
                  <c:v>34.5</c:v>
                </c:pt>
                <c:pt idx="87">
                  <c:v>34.9</c:v>
                </c:pt>
                <c:pt idx="88">
                  <c:v>35.299999999999997</c:v>
                </c:pt>
                <c:pt idx="89">
                  <c:v>35.700000000000003</c:v>
                </c:pt>
                <c:pt idx="90">
                  <c:v>36.1</c:v>
                </c:pt>
                <c:pt idx="91">
                  <c:v>36.5</c:v>
                </c:pt>
                <c:pt idx="92">
                  <c:v>36.9</c:v>
                </c:pt>
                <c:pt idx="93">
                  <c:v>37.299999999999997</c:v>
                </c:pt>
                <c:pt idx="94">
                  <c:v>37.700000000000003</c:v>
                </c:pt>
                <c:pt idx="95">
                  <c:v>38.1</c:v>
                </c:pt>
                <c:pt idx="96">
                  <c:v>38.5</c:v>
                </c:pt>
                <c:pt idx="97">
                  <c:v>38.9</c:v>
                </c:pt>
                <c:pt idx="98">
                  <c:v>39.299999999999997</c:v>
                </c:pt>
                <c:pt idx="99">
                  <c:v>45</c:v>
                </c:pt>
              </c:numCache>
            </c:numRef>
          </c:xVal>
          <c:yVal>
            <c:numRef>
              <c:f>'Rising velocity'!$J$13:$J$112</c:f>
              <c:numCache>
                <c:formatCode>General</c:formatCode>
                <c:ptCount val="100"/>
                <c:pt idx="0">
                  <c:v>1.2068514821634018</c:v>
                </c:pt>
                <c:pt idx="1">
                  <c:v>0.54189713045927823</c:v>
                </c:pt>
                <c:pt idx="2">
                  <c:v>0.4076668710819874</c:v>
                </c:pt>
                <c:pt idx="3">
                  <c:v>0.34405886124324714</c:v>
                </c:pt>
                <c:pt idx="4">
                  <c:v>0.30657064246846832</c:v>
                </c:pt>
                <c:pt idx="5">
                  <c:v>0.2821946727586</c:v>
                </c:pt>
                <c:pt idx="6">
                  <c:v>0.26552306867765746</c:v>
                </c:pt>
                <c:pt idx="7">
                  <c:v>0.25383340314411762</c:v>
                </c:pt>
                <c:pt idx="8">
                  <c:v>0.24557628574683696</c:v>
                </c:pt>
                <c:pt idx="9">
                  <c:v>0.23979126621157693</c:v>
                </c:pt>
                <c:pt idx="10">
                  <c:v>0.23584464191910579</c:v>
                </c:pt>
                <c:pt idx="11">
                  <c:v>0.23329821164242889</c:v>
                </c:pt>
                <c:pt idx="12">
                  <c:v>0.23183784357668125</c:v>
                </c:pt>
                <c:pt idx="13">
                  <c:v>0.23123191413212743</c:v>
                </c:pt>
                <c:pt idx="14">
                  <c:v>0.23130577089455165</c:v>
                </c:pt>
                <c:pt idx="15">
                  <c:v>0.23192531655474008</c:v>
                </c:pt>
                <c:pt idx="16">
                  <c:v>0.23298605108460893</c:v>
                </c:pt>
                <c:pt idx="17">
                  <c:v>0.23440552313322807</c:v>
                </c:pt>
                <c:pt idx="18">
                  <c:v>0.23611799058829053</c:v>
                </c:pt>
                <c:pt idx="19">
                  <c:v>0.23807055867765531</c:v>
                </c:pt>
                <c:pt idx="20">
                  <c:v>0.24022033353147962</c:v>
                </c:pt>
                <c:pt idx="21">
                  <c:v>0.24253229014856123</c:v>
                </c:pt>
                <c:pt idx="22">
                  <c:v>0.2449776531886077</c:v>
                </c:pt>
                <c:pt idx="23">
                  <c:v>0.24753265234811878</c:v>
                </c:pt>
                <c:pt idx="24">
                  <c:v>0.25017755550478649</c:v>
                </c:pt>
                <c:pt idx="25">
                  <c:v>0.2528959105722321</c:v>
                </c:pt>
                <c:pt idx="26">
                  <c:v>0.25567394600675813</c:v>
                </c:pt>
                <c:pt idx="27">
                  <c:v>0.25850009316272521</c:v>
                </c:pt>
                <c:pt idx="28">
                  <c:v>0.26136460309730619</c:v>
                </c:pt>
                <c:pt idx="29">
                  <c:v>0.26425923719795386</c:v>
                </c:pt>
                <c:pt idx="30">
                  <c:v>0.26717701594867715</c:v>
                </c:pt>
                <c:pt idx="31">
                  <c:v>0.27011201380168193</c:v>
                </c:pt>
                <c:pt idx="32">
                  <c:v>0.27305919084591596</c:v>
                </c:pt>
                <c:pt idx="33">
                  <c:v>0.27601425401789059</c:v>
                </c:pt>
                <c:pt idx="34">
                  <c:v>0.27897354216175657</c:v>
                </c:pt>
                <c:pt idx="35">
                  <c:v>0.28193393044249176</c:v>
                </c:pt>
                <c:pt idx="36">
                  <c:v>0.28489275054017227</c:v>
                </c:pt>
                <c:pt idx="37">
                  <c:v>0.28784772377167916</c:v>
                </c:pt>
                <c:pt idx="38">
                  <c:v>0.29079690484817933</c:v>
                </c:pt>
                <c:pt idx="39">
                  <c:v>0.29373863441896519</c:v>
                </c:pt>
                <c:pt idx="40">
                  <c:v>0.29667149890218569</c:v>
                </c:pt>
                <c:pt idx="41">
                  <c:v>0.29959429638136043</c:v>
                </c:pt>
                <c:pt idx="42">
                  <c:v>0.30250600756908053</c:v>
                </c:pt>
                <c:pt idx="43">
                  <c:v>0.30540577101799871</c:v>
                </c:pt>
                <c:pt idx="44">
                  <c:v>0.30829286190336125</c:v>
                </c:pt>
                <c:pt idx="45">
                  <c:v>0.31116667381811253</c:v>
                </c:pt>
                <c:pt idx="46">
                  <c:v>0.31402670311658254</c:v>
                </c:pt>
                <c:pt idx="47">
                  <c:v>0.31687253542032279</c:v>
                </c:pt>
                <c:pt idx="48">
                  <c:v>0.31970383396321228</c:v>
                </c:pt>
                <c:pt idx="49">
                  <c:v>0.32252032950523046</c:v>
                </c:pt>
                <c:pt idx="50">
                  <c:v>0.32532181158743007</c:v>
                </c:pt>
                <c:pt idx="51">
                  <c:v>0.32810812093636182</c:v>
                </c:pt>
                <c:pt idx="52">
                  <c:v>0.33087914285586739</c:v>
                </c:pt>
                <c:pt idx="53">
                  <c:v>0.33363480146887209</c:v>
                </c:pt>
                <c:pt idx="54">
                  <c:v>0.3363750546924591</c:v>
                </c:pt>
                <c:pt idx="55">
                  <c:v>0.3390998898468085</c:v>
                </c:pt>
                <c:pt idx="56">
                  <c:v>0.3418093198131249</c:v>
                </c:pt>
                <c:pt idx="57">
                  <c:v>0.34450337966792155</c:v>
                </c:pt>
                <c:pt idx="58">
                  <c:v>0.3471821237313733</c:v>
                </c:pt>
                <c:pt idx="59">
                  <c:v>0.34984562297620908</c:v>
                </c:pt>
                <c:pt idx="60">
                  <c:v>0.35249396275104289</c:v>
                </c:pt>
                <c:pt idx="61">
                  <c:v>0.35512724077836827</c:v>
                </c:pt>
                <c:pt idx="62">
                  <c:v>0.35774556539282626</c:v>
                </c:pt>
                <c:pt idx="63">
                  <c:v>0.36034905398996464</c:v>
                </c:pt>
                <c:pt idx="64">
                  <c:v>0.36293783165964588</c:v>
                </c:pt>
                <c:pt idx="65">
                  <c:v>0.36551202998164461</c:v>
                </c:pt>
                <c:pt idx="66">
                  <c:v>0.36807178596388168</c:v>
                </c:pt>
                <c:pt idx="67">
                  <c:v>0.37061724110624489</c:v>
                </c:pt>
                <c:pt idx="68">
                  <c:v>0.37314854057510843</c:v>
                </c:pt>
                <c:pt idx="69">
                  <c:v>0.37566583247552698</c:v>
                </c:pt>
                <c:pt idx="70">
                  <c:v>0.37816926720970029</c:v>
                </c:pt>
                <c:pt idx="71">
                  <c:v>0.38065899691170385</c:v>
                </c:pt>
                <c:pt idx="72">
                  <c:v>0.38313517494969973</c:v>
                </c:pt>
                <c:pt idx="73">
                  <c:v>0.3855979554879026</c:v>
                </c:pt>
                <c:pt idx="74">
                  <c:v>0.38804749310149772</c:v>
                </c:pt>
                <c:pt idx="75">
                  <c:v>0.39048394243851514</c:v>
                </c:pt>
                <c:pt idx="76">
                  <c:v>0.39290745792336812</c:v>
                </c:pt>
                <c:pt idx="77">
                  <c:v>0.39531819349738045</c:v>
                </c:pt>
                <c:pt idx="78">
                  <c:v>0.39771630239216799</c:v>
                </c:pt>
                <c:pt idx="79">
                  <c:v>0.40010193693221296</c:v>
                </c:pt>
                <c:pt idx="80">
                  <c:v>0.40247524836338866</c:v>
                </c:pt>
                <c:pt idx="81">
                  <c:v>0.40483638670455502</c:v>
                </c:pt>
                <c:pt idx="82">
                  <c:v>0.4071855006196729</c:v>
                </c:pt>
                <c:pt idx="83">
                  <c:v>0.40952273730816507</c:v>
                </c:pt>
                <c:pt idx="84">
                  <c:v>0.4118482424115078</c:v>
                </c:pt>
                <c:pt idx="85">
                  <c:v>0.41416215993425526</c:v>
                </c:pt>
                <c:pt idx="86">
                  <c:v>0.41646463217789875</c:v>
                </c:pt>
                <c:pt idx="87">
                  <c:v>0.41875579968613408</c:v>
                </c:pt>
                <c:pt idx="88">
                  <c:v>0.42103580120026762</c:v>
                </c:pt>
                <c:pt idx="89">
                  <c:v>0.42330477362362573</c:v>
                </c:pt>
                <c:pt idx="90">
                  <c:v>0.42556285199395627</c:v>
                </c:pt>
                <c:pt idx="91">
                  <c:v>0.42781016946291778</c:v>
                </c:pt>
                <c:pt idx="92">
                  <c:v>0.43004685728184849</c:v>
                </c:pt>
                <c:pt idx="93">
                  <c:v>0.43227304479309336</c:v>
                </c:pt>
                <c:pt idx="94">
                  <c:v>0.43448885942624271</c:v>
                </c:pt>
                <c:pt idx="95">
                  <c:v>0.43669442669870578</c:v>
                </c:pt>
                <c:pt idx="96">
                  <c:v>0.43888987022010223</c:v>
                </c:pt>
                <c:pt idx="97">
                  <c:v>0.44107531170000847</c:v>
                </c:pt>
                <c:pt idx="98">
                  <c:v>0.44325087095864568</c:v>
                </c:pt>
                <c:pt idx="99">
                  <c:v>0.47324471001328217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8F7-4A8C-BD43-58FE1408F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571391"/>
        <c:axId val="427572351"/>
      </c:scatterChart>
      <c:valAx>
        <c:axId val="427571391"/>
        <c:scaling>
          <c:logBase val="2"/>
          <c:orientation val="minMax"/>
          <c:max val="45"/>
          <c:min val="0.2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27572351"/>
        <c:crossesAt val="1.0000000000000002E-2"/>
        <c:crossBetween val="midCat"/>
      </c:valAx>
      <c:valAx>
        <c:axId val="427572351"/>
        <c:scaling>
          <c:logBase val="2"/>
          <c:orientation val="minMax"/>
          <c:max val="0.70000000000000007"/>
          <c:min val="2.0000000000000004E-2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27571391"/>
        <c:crossesAt val="0.2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strRef>
              <c:f>'Rising velocity'!$I$11</c:f>
              <c:strCache>
                <c:ptCount val="1"/>
                <c:pt idx="0">
                  <c:v>Mercury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'Rising velocity'!$G$13:$G$112</c:f>
              <c:numCache>
                <c:formatCode>General</c:formatCode>
                <c:ptCount val="100"/>
                <c:pt idx="0">
                  <c:v>0.1</c:v>
                </c:pt>
                <c:pt idx="1">
                  <c:v>0.5</c:v>
                </c:pt>
                <c:pt idx="2">
                  <c:v>0.9</c:v>
                </c:pt>
                <c:pt idx="3">
                  <c:v>1.3</c:v>
                </c:pt>
                <c:pt idx="4">
                  <c:v>1.7</c:v>
                </c:pt>
                <c:pt idx="5">
                  <c:v>2.1</c:v>
                </c:pt>
                <c:pt idx="6">
                  <c:v>2.5</c:v>
                </c:pt>
                <c:pt idx="7">
                  <c:v>2.9</c:v>
                </c:pt>
                <c:pt idx="8">
                  <c:v>3.3</c:v>
                </c:pt>
                <c:pt idx="9">
                  <c:v>3.7</c:v>
                </c:pt>
                <c:pt idx="10">
                  <c:v>4.0999999999999996</c:v>
                </c:pt>
                <c:pt idx="11">
                  <c:v>4.5</c:v>
                </c:pt>
                <c:pt idx="12">
                  <c:v>4.9000000000000004</c:v>
                </c:pt>
                <c:pt idx="13">
                  <c:v>5.3</c:v>
                </c:pt>
                <c:pt idx="14">
                  <c:v>5.7</c:v>
                </c:pt>
                <c:pt idx="15">
                  <c:v>6.1</c:v>
                </c:pt>
                <c:pt idx="16">
                  <c:v>6.5</c:v>
                </c:pt>
                <c:pt idx="17">
                  <c:v>6.9</c:v>
                </c:pt>
                <c:pt idx="18">
                  <c:v>7.3</c:v>
                </c:pt>
                <c:pt idx="19">
                  <c:v>7.7</c:v>
                </c:pt>
                <c:pt idx="20">
                  <c:v>8.1</c:v>
                </c:pt>
                <c:pt idx="21">
                  <c:v>8.5</c:v>
                </c:pt>
                <c:pt idx="22">
                  <c:v>8.9</c:v>
                </c:pt>
                <c:pt idx="23">
                  <c:v>9.3000000000000007</c:v>
                </c:pt>
                <c:pt idx="24">
                  <c:v>9.6999999999999993</c:v>
                </c:pt>
                <c:pt idx="25">
                  <c:v>10.1</c:v>
                </c:pt>
                <c:pt idx="26">
                  <c:v>10.5</c:v>
                </c:pt>
                <c:pt idx="27">
                  <c:v>10.9</c:v>
                </c:pt>
                <c:pt idx="28">
                  <c:v>11.3</c:v>
                </c:pt>
                <c:pt idx="29">
                  <c:v>11.7</c:v>
                </c:pt>
                <c:pt idx="30">
                  <c:v>12.1</c:v>
                </c:pt>
                <c:pt idx="31">
                  <c:v>12.5</c:v>
                </c:pt>
                <c:pt idx="32">
                  <c:v>12.9</c:v>
                </c:pt>
                <c:pt idx="33">
                  <c:v>13.3</c:v>
                </c:pt>
                <c:pt idx="34">
                  <c:v>13.7</c:v>
                </c:pt>
                <c:pt idx="35">
                  <c:v>14.1</c:v>
                </c:pt>
                <c:pt idx="36">
                  <c:v>14.5</c:v>
                </c:pt>
                <c:pt idx="37">
                  <c:v>14.9</c:v>
                </c:pt>
                <c:pt idx="38">
                  <c:v>15.3</c:v>
                </c:pt>
                <c:pt idx="39">
                  <c:v>15.7</c:v>
                </c:pt>
                <c:pt idx="40">
                  <c:v>16.100000000000001</c:v>
                </c:pt>
                <c:pt idx="41">
                  <c:v>16.5</c:v>
                </c:pt>
                <c:pt idx="42">
                  <c:v>16.899999999999999</c:v>
                </c:pt>
                <c:pt idx="43">
                  <c:v>17.3</c:v>
                </c:pt>
                <c:pt idx="44">
                  <c:v>17.7</c:v>
                </c:pt>
                <c:pt idx="45">
                  <c:v>18.100000000000001</c:v>
                </c:pt>
                <c:pt idx="46">
                  <c:v>18.5</c:v>
                </c:pt>
                <c:pt idx="47">
                  <c:v>18.899999999999999</c:v>
                </c:pt>
                <c:pt idx="48">
                  <c:v>19.3</c:v>
                </c:pt>
                <c:pt idx="49">
                  <c:v>19.7</c:v>
                </c:pt>
                <c:pt idx="50">
                  <c:v>20.100000000000001</c:v>
                </c:pt>
                <c:pt idx="51">
                  <c:v>20.5</c:v>
                </c:pt>
                <c:pt idx="52">
                  <c:v>20.9</c:v>
                </c:pt>
                <c:pt idx="53">
                  <c:v>21.3</c:v>
                </c:pt>
                <c:pt idx="54">
                  <c:v>21.7</c:v>
                </c:pt>
                <c:pt idx="55">
                  <c:v>22.1</c:v>
                </c:pt>
                <c:pt idx="56">
                  <c:v>22.5</c:v>
                </c:pt>
                <c:pt idx="57">
                  <c:v>22.9</c:v>
                </c:pt>
                <c:pt idx="58">
                  <c:v>23.3</c:v>
                </c:pt>
                <c:pt idx="59">
                  <c:v>23.7</c:v>
                </c:pt>
                <c:pt idx="60">
                  <c:v>24.1</c:v>
                </c:pt>
                <c:pt idx="61">
                  <c:v>24.5</c:v>
                </c:pt>
                <c:pt idx="62">
                  <c:v>24.9</c:v>
                </c:pt>
                <c:pt idx="63">
                  <c:v>25.3</c:v>
                </c:pt>
                <c:pt idx="64">
                  <c:v>25.7</c:v>
                </c:pt>
                <c:pt idx="65">
                  <c:v>26.1</c:v>
                </c:pt>
                <c:pt idx="66">
                  <c:v>26.5</c:v>
                </c:pt>
                <c:pt idx="67">
                  <c:v>26.9</c:v>
                </c:pt>
                <c:pt idx="68">
                  <c:v>27.3</c:v>
                </c:pt>
                <c:pt idx="69">
                  <c:v>27.7</c:v>
                </c:pt>
                <c:pt idx="70">
                  <c:v>28.1</c:v>
                </c:pt>
                <c:pt idx="71">
                  <c:v>28.5</c:v>
                </c:pt>
                <c:pt idx="72">
                  <c:v>28.9</c:v>
                </c:pt>
                <c:pt idx="73">
                  <c:v>29.3</c:v>
                </c:pt>
                <c:pt idx="74">
                  <c:v>29.7</c:v>
                </c:pt>
                <c:pt idx="75">
                  <c:v>30.1</c:v>
                </c:pt>
                <c:pt idx="76">
                  <c:v>30.5</c:v>
                </c:pt>
                <c:pt idx="77">
                  <c:v>30.9</c:v>
                </c:pt>
                <c:pt idx="78">
                  <c:v>31.3</c:v>
                </c:pt>
                <c:pt idx="79">
                  <c:v>31.7</c:v>
                </c:pt>
                <c:pt idx="80">
                  <c:v>32.1</c:v>
                </c:pt>
                <c:pt idx="81">
                  <c:v>32.5</c:v>
                </c:pt>
                <c:pt idx="82">
                  <c:v>32.9</c:v>
                </c:pt>
                <c:pt idx="83">
                  <c:v>33.299999999999997</c:v>
                </c:pt>
                <c:pt idx="84">
                  <c:v>33.700000000000003</c:v>
                </c:pt>
                <c:pt idx="85">
                  <c:v>34.1</c:v>
                </c:pt>
                <c:pt idx="86">
                  <c:v>34.5</c:v>
                </c:pt>
                <c:pt idx="87">
                  <c:v>34.9</c:v>
                </c:pt>
                <c:pt idx="88">
                  <c:v>35.299999999999997</c:v>
                </c:pt>
                <c:pt idx="89">
                  <c:v>35.700000000000003</c:v>
                </c:pt>
                <c:pt idx="90">
                  <c:v>36.1</c:v>
                </c:pt>
                <c:pt idx="91">
                  <c:v>36.5</c:v>
                </c:pt>
                <c:pt idx="92">
                  <c:v>36.9</c:v>
                </c:pt>
                <c:pt idx="93">
                  <c:v>37.299999999999997</c:v>
                </c:pt>
                <c:pt idx="94">
                  <c:v>37.700000000000003</c:v>
                </c:pt>
                <c:pt idx="95">
                  <c:v>38.1</c:v>
                </c:pt>
                <c:pt idx="96">
                  <c:v>38.5</c:v>
                </c:pt>
                <c:pt idx="97">
                  <c:v>38.9</c:v>
                </c:pt>
                <c:pt idx="98">
                  <c:v>39.299999999999997</c:v>
                </c:pt>
                <c:pt idx="99">
                  <c:v>45</c:v>
                </c:pt>
              </c:numCache>
            </c:numRef>
          </c:xVal>
          <c:yVal>
            <c:numRef>
              <c:f>'Rising velocity'!$I$13:$I$112</c:f>
              <c:numCache>
                <c:formatCode>General</c:formatCode>
                <c:ptCount val="100"/>
                <c:pt idx="0">
                  <c:v>0.8063056303907854</c:v>
                </c:pt>
                <c:pt idx="1">
                  <c:v>0.36384083597086292</c:v>
                </c:pt>
                <c:pt idx="2">
                  <c:v>0.27676078110083163</c:v>
                </c:pt>
                <c:pt idx="3">
                  <c:v>0.23737875765241992</c:v>
                </c:pt>
                <c:pt idx="4">
                  <c:v>0.21576032039931853</c:v>
                </c:pt>
                <c:pt idx="5">
                  <c:v>0.20306564380818454</c:v>
                </c:pt>
                <c:pt idx="6">
                  <c:v>0.1955710376921779</c:v>
                </c:pt>
                <c:pt idx="7">
                  <c:v>0.19137873351387619</c:v>
                </c:pt>
                <c:pt idx="8">
                  <c:v>0.18940039115506968</c:v>
                </c:pt>
                <c:pt idx="9">
                  <c:v>0.18896108348087728</c:v>
                </c:pt>
                <c:pt idx="10">
                  <c:v>0.18961892269470249</c:v>
                </c:pt>
                <c:pt idx="11">
                  <c:v>0.19107303836781497</c:v>
                </c:pt>
                <c:pt idx="12">
                  <c:v>0.19311246430353829</c:v>
                </c:pt>
                <c:pt idx="13">
                  <c:v>0.19558585286647706</c:v>
                </c:pt>
                <c:pt idx="14">
                  <c:v>0.19838261673987298</c:v>
                </c:pt>
                <c:pt idx="15">
                  <c:v>0.20142072311050499</c:v>
                </c:pt>
                <c:pt idx="16">
                  <c:v>0.20463854699670164</c:v>
                </c:pt>
                <c:pt idx="17">
                  <c:v>0.20798929632436747</c:v>
                </c:pt>
                <c:pt idx="18">
                  <c:v>0.21143711684110852</c:v>
                </c:pt>
                <c:pt idx="19">
                  <c:v>0.21495432222719857</c:v>
                </c:pt>
                <c:pt idx="20">
                  <c:v>0.21851939399196546</c:v>
                </c:pt>
                <c:pt idx="21">
                  <c:v>0.22211551762937079</c:v>
                </c:pt>
                <c:pt idx="22">
                  <c:v>0.22572949829386205</c:v>
                </c:pt>
                <c:pt idx="23">
                  <c:v>0.22935094884833843</c:v>
                </c:pt>
                <c:pt idx="24">
                  <c:v>0.2329716758502037</c:v>
                </c:pt>
                <c:pt idx="25">
                  <c:v>0.23658521102394875</c:v>
                </c:pt>
                <c:pt idx="26">
                  <c:v>0.24018645078156781</c:v>
                </c:pt>
                <c:pt idx="27">
                  <c:v>0.24377137675446961</c:v>
                </c:pt>
                <c:pt idx="28">
                  <c:v>0.2473368376028876</c:v>
                </c:pt>
                <c:pt idx="29">
                  <c:v>0.2508803775561852</c:v>
                </c:pt>
                <c:pt idx="30">
                  <c:v>0.25440010086280879</c:v>
                </c:pt>
                <c:pt idx="31">
                  <c:v>0.25789456403111538</c:v>
                </c:pt>
                <c:pt idx="32">
                  <c:v>0.26136268972118737</c:v>
                </c:pt>
                <c:pt idx="33">
                  <c:v>0.264803697609509</c:v>
                </c:pt>
                <c:pt idx="34">
                  <c:v>0.26821704863703422</c:v>
                </c:pt>
                <c:pt idx="35">
                  <c:v>0.27160239986823304</c:v>
                </c:pt>
                <c:pt idx="36">
                  <c:v>0.27495956780638686</c:v>
                </c:pt>
                <c:pt idx="37">
                  <c:v>0.27828849848058113</c:v>
                </c:pt>
                <c:pt idx="38">
                  <c:v>0.28158924298007326</c:v>
                </c:pt>
                <c:pt idx="39">
                  <c:v>0.28486193738940913</c:v>
                </c:pt>
                <c:pt idx="40">
                  <c:v>0.28810678629298858</c:v>
                </c:pt>
                <c:pt idx="41">
                  <c:v>0.29132404918567689</c:v>
                </c:pt>
                <c:pt idx="42">
                  <c:v>0.29451402925766557</c:v>
                </c:pt>
                <c:pt idx="43">
                  <c:v>0.29767706412546752</c:v>
                </c:pt>
                <c:pt idx="44">
                  <c:v>0.30081351816300389</c:v>
                </c:pt>
                <c:pt idx="45">
                  <c:v>0.30392377615200922</c:v>
                </c:pt>
                <c:pt idx="46">
                  <c:v>0.30700823802310812</c:v>
                </c:pt>
                <c:pt idx="47">
                  <c:v>0.31006731450072661</c:v>
                </c:pt>
                <c:pt idx="48">
                  <c:v>0.31310142349866538</c:v>
                </c:pt>
                <c:pt idx="49">
                  <c:v>0.316110987140375</c:v>
                </c:pt>
                <c:pt idx="50">
                  <c:v>0.31909642930004595</c:v>
                </c:pt>
                <c:pt idx="51">
                  <c:v>0.32205817357859423</c:v>
                </c:pt>
                <c:pt idx="52">
                  <c:v>0.32499664164330261</c:v>
                </c:pt>
                <c:pt idx="53">
                  <c:v>0.32791225187189782</c:v>
                </c:pt>
                <c:pt idx="54">
                  <c:v>0.33080541825172682</c:v>
                </c:pt>
                <c:pt idx="55">
                  <c:v>0.33367654949283959</c:v>
                </c:pt>
                <c:pt idx="56">
                  <c:v>0.33652604832051514</c:v>
                </c:pt>
                <c:pt idx="57">
                  <c:v>0.33935431091834406</c:v>
                </c:pt>
                <c:pt idx="58">
                  <c:v>0.34216172649761373</c:v>
                </c:pt>
                <c:pt idx="59">
                  <c:v>0.34494867697260007</c:v>
                </c:pt>
                <c:pt idx="60">
                  <c:v>0.34771553672458694</c:v>
                </c:pt>
                <c:pt idx="61">
                  <c:v>0.35046267244012891</c:v>
                </c:pt>
                <c:pt idx="62">
                  <c:v>0.35319044301132735</c:v>
                </c:pt>
                <c:pt idx="63">
                  <c:v>0.35589919948778609</c:v>
                </c:pt>
                <c:pt idx="64">
                  <c:v>0.35858928507150484</c:v>
                </c:pt>
                <c:pt idx="65">
                  <c:v>0.36126103514731334</c:v>
                </c:pt>
                <c:pt idx="66">
                  <c:v>0.36391477734258254</c:v>
                </c:pt>
                <c:pt idx="67">
                  <c:v>0.36655083161090551</c:v>
                </c:pt>
                <c:pt idx="68">
                  <c:v>0.36916951033525469</c:v>
                </c:pt>
                <c:pt idx="69">
                  <c:v>0.37177111844680849</c:v>
                </c:pt>
                <c:pt idx="70">
                  <c:v>0.37435595355622286</c:v>
                </c:pt>
                <c:pt idx="71">
                  <c:v>0.37692430609462146</c:v>
                </c:pt>
                <c:pt idx="72">
                  <c:v>0.37947645946199715</c:v>
                </c:pt>
                <c:pt idx="73">
                  <c:v>0.38201269018107925</c:v>
                </c:pt>
                <c:pt idx="74">
                  <c:v>0.38453326805502414</c:v>
                </c:pt>
                <c:pt idx="75">
                  <c:v>0.38703845632754835</c:v>
                </c:pt>
                <c:pt idx="76">
                  <c:v>0.38952851184434722</c:v>
                </c:pt>
                <c:pt idx="77">
                  <c:v>0.39200368521482815</c:v>
                </c:pt>
                <c:pt idx="78">
                  <c:v>0.39446422097335349</c:v>
                </c:pt>
                <c:pt idx="79">
                  <c:v>0.39691035773932221</c:v>
                </c:pt>
                <c:pt idx="80">
                  <c:v>0.39934232837554096</c:v>
                </c:pt>
                <c:pt idx="81">
                  <c:v>0.40176036014443267</c:v>
                </c:pt>
                <c:pt idx="82">
                  <c:v>0.40416467486171853</c:v>
                </c:pt>
                <c:pt idx="83">
                  <c:v>0.40655548904728134</c:v>
                </c:pt>
                <c:pt idx="84">
                  <c:v>0.40893301407298083</c:v>
                </c:pt>
                <c:pt idx="85">
                  <c:v>0.41129745630724368</c:v>
                </c:pt>
                <c:pt idx="86">
                  <c:v>0.41364901725629799</c:v>
                </c:pt>
                <c:pt idx="87">
                  <c:v>0.4159878937019561</c:v>
                </c:pt>
                <c:pt idx="88">
                  <c:v>0.41831427783588676</c:v>
                </c:pt>
                <c:pt idx="89">
                  <c:v>0.42062835739034055</c:v>
                </c:pt>
                <c:pt idx="90">
                  <c:v>0.42293031576531787</c:v>
                </c:pt>
                <c:pt idx="91">
                  <c:v>0.42522033215218685</c:v>
                </c:pt>
                <c:pt idx="92">
                  <c:v>0.42749858165377441</c:v>
                </c:pt>
                <c:pt idx="93">
                  <c:v>0.42976523540096756</c:v>
                </c:pt>
                <c:pt idx="94">
                  <c:v>0.43202046066587169</c:v>
                </c:pt>
                <c:pt idx="95">
                  <c:v>0.43426442097158324</c:v>
                </c:pt>
                <c:pt idx="96">
                  <c:v>0.43649727619863887</c:v>
                </c:pt>
                <c:pt idx="97">
                  <c:v>0.43871918268821058</c:v>
                </c:pt>
                <c:pt idx="98">
                  <c:v>0.44093029334212014</c:v>
                </c:pt>
                <c:pt idx="99">
                  <c:v>0.47134768547125683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8F7-4A8C-BD43-58FE1408F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571391"/>
        <c:axId val="427572351"/>
      </c:scatterChart>
      <c:valAx>
        <c:axId val="427571391"/>
        <c:scaling>
          <c:logBase val="2"/>
          <c:orientation val="minMax"/>
          <c:max val="20"/>
          <c:min val="1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27572351"/>
        <c:crossesAt val="1.0000000000000002E-2"/>
        <c:crossBetween val="midCat"/>
      </c:valAx>
      <c:valAx>
        <c:axId val="427572351"/>
        <c:scaling>
          <c:logBase val="2"/>
          <c:orientation val="minMax"/>
          <c:max val="0.5"/>
          <c:min val="5.000000000000001E-2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27571391"/>
        <c:crossesAt val="0.2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2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109537</xdr:colOff>
      <xdr:row>1</xdr:row>
      <xdr:rowOff>128587</xdr:rowOff>
    </xdr:from>
    <xdr:to>
      <xdr:col>22</xdr:col>
      <xdr:colOff>71437</xdr:colOff>
      <xdr:row>16</xdr:row>
      <xdr:rowOff>14287</xdr:rowOff>
    </xdr:to>
    <xdr:graphicFrame macro="">
      <xdr:nvGraphicFramePr>
        <xdr:cNvPr id="13" name="Diagram 12">
          <a:extLst>
            <a:ext uri="{FF2B5EF4-FFF2-40B4-BE49-F238E27FC236}">
              <a16:creationId xmlns:a16="http://schemas.microsoft.com/office/drawing/2014/main" id="{C12C1ACE-E49E-59A3-5A29-704298B97A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328612</xdr:colOff>
      <xdr:row>17</xdr:row>
      <xdr:rowOff>33337</xdr:rowOff>
    </xdr:from>
    <xdr:to>
      <xdr:col>21</xdr:col>
      <xdr:colOff>328612</xdr:colOff>
      <xdr:row>31</xdr:row>
      <xdr:rowOff>100012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F21F3B38-3DC9-088B-867B-CA5595F6C9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57150</xdr:colOff>
      <xdr:row>43</xdr:row>
      <xdr:rowOff>71436</xdr:rowOff>
    </xdr:from>
    <xdr:to>
      <xdr:col>43</xdr:col>
      <xdr:colOff>219075</xdr:colOff>
      <xdr:row>68</xdr:row>
      <xdr:rowOff>171449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698A3649-6A24-C51B-39AE-4B7DD972A5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66675</xdr:colOff>
      <xdr:row>0</xdr:row>
      <xdr:rowOff>76200</xdr:rowOff>
    </xdr:from>
    <xdr:to>
      <xdr:col>14</xdr:col>
      <xdr:colOff>466725</xdr:colOff>
      <xdr:row>14</xdr:row>
      <xdr:rowOff>142876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E1408F4E-1AE4-E0E5-DBA8-C226184BA6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238124</xdr:colOff>
      <xdr:row>10</xdr:row>
      <xdr:rowOff>85724</xdr:rowOff>
    </xdr:from>
    <xdr:to>
      <xdr:col>16</xdr:col>
      <xdr:colOff>457200</xdr:colOff>
      <xdr:row>19</xdr:row>
      <xdr:rowOff>38099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D0F548F2-D188-9DC6-A8EA-140AC266FE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238124</xdr:colOff>
      <xdr:row>19</xdr:row>
      <xdr:rowOff>104776</xdr:rowOff>
    </xdr:from>
    <xdr:to>
      <xdr:col>16</xdr:col>
      <xdr:colOff>581025</xdr:colOff>
      <xdr:row>27</xdr:row>
      <xdr:rowOff>161926</xdr:rowOff>
    </xdr:to>
    <xdr:graphicFrame macro="">
      <xdr:nvGraphicFramePr>
        <xdr:cNvPr id="6" name="Diagram 5">
          <a:extLst>
            <a:ext uri="{FF2B5EF4-FFF2-40B4-BE49-F238E27FC236}">
              <a16:creationId xmlns:a16="http://schemas.microsoft.com/office/drawing/2014/main" id="{C8C62179-EC5B-E291-A416-BE03A554DD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561975</xdr:colOff>
      <xdr:row>18</xdr:row>
      <xdr:rowOff>23812</xdr:rowOff>
    </xdr:from>
    <xdr:to>
      <xdr:col>34</xdr:col>
      <xdr:colOff>561975</xdr:colOff>
      <xdr:row>32</xdr:row>
      <xdr:rowOff>52387</xdr:rowOff>
    </xdr:to>
    <xdr:graphicFrame macro="">
      <xdr:nvGraphicFramePr>
        <xdr:cNvPr id="7" name="Diagram 6">
          <a:extLst>
            <a:ext uri="{FF2B5EF4-FFF2-40B4-BE49-F238E27FC236}">
              <a16:creationId xmlns:a16="http://schemas.microsoft.com/office/drawing/2014/main" id="{A5AC45FC-1BB7-057C-DF38-5C94F2DDD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209550</xdr:colOff>
      <xdr:row>45</xdr:row>
      <xdr:rowOff>166687</xdr:rowOff>
    </xdr:from>
    <xdr:to>
      <xdr:col>30</xdr:col>
      <xdr:colOff>209550</xdr:colOff>
      <xdr:row>60</xdr:row>
      <xdr:rowOff>100012</xdr:rowOff>
    </xdr:to>
    <xdr:graphicFrame macro="">
      <xdr:nvGraphicFramePr>
        <xdr:cNvPr id="8" name="Diagram 7">
          <a:extLst>
            <a:ext uri="{FF2B5EF4-FFF2-40B4-BE49-F238E27FC236}">
              <a16:creationId xmlns:a16="http://schemas.microsoft.com/office/drawing/2014/main" id="{D4A49B41-FD85-28C7-1B34-A5AAB3FEE7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28</xdr:col>
      <xdr:colOff>238124</xdr:colOff>
      <xdr:row>1</xdr:row>
      <xdr:rowOff>61912</xdr:rowOff>
    </xdr:from>
    <xdr:to>
      <xdr:col>34</xdr:col>
      <xdr:colOff>342899</xdr:colOff>
      <xdr:row>18</xdr:row>
      <xdr:rowOff>133350</xdr:rowOff>
    </xdr:to>
    <xdr:graphicFrame macro="">
      <xdr:nvGraphicFramePr>
        <xdr:cNvPr id="9" name="Diagram 8">
          <a:extLst>
            <a:ext uri="{FF2B5EF4-FFF2-40B4-BE49-F238E27FC236}">
              <a16:creationId xmlns:a16="http://schemas.microsoft.com/office/drawing/2014/main" id="{80287DBF-85B0-9845-6617-983FF80D64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776287</xdr:colOff>
      <xdr:row>37</xdr:row>
      <xdr:rowOff>23812</xdr:rowOff>
    </xdr:from>
    <xdr:to>
      <xdr:col>7</xdr:col>
      <xdr:colOff>766762</xdr:colOff>
      <xdr:row>51</xdr:row>
      <xdr:rowOff>100012</xdr:rowOff>
    </xdr:to>
    <xdr:graphicFrame macro="">
      <xdr:nvGraphicFramePr>
        <xdr:cNvPr id="10" name="Diagram 9">
          <a:extLst>
            <a:ext uri="{FF2B5EF4-FFF2-40B4-BE49-F238E27FC236}">
              <a16:creationId xmlns:a16="http://schemas.microsoft.com/office/drawing/2014/main" id="{15EF0150-D017-9105-AFAE-84A7B29304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9525</xdr:colOff>
      <xdr:row>37</xdr:row>
      <xdr:rowOff>33337</xdr:rowOff>
    </xdr:from>
    <xdr:to>
      <xdr:col>13</xdr:col>
      <xdr:colOff>733425</xdr:colOff>
      <xdr:row>51</xdr:row>
      <xdr:rowOff>109537</xdr:rowOff>
    </xdr:to>
    <xdr:graphicFrame macro="">
      <xdr:nvGraphicFramePr>
        <xdr:cNvPr id="11" name="Diagram 10">
          <a:extLst>
            <a:ext uri="{FF2B5EF4-FFF2-40B4-BE49-F238E27FC236}">
              <a16:creationId xmlns:a16="http://schemas.microsoft.com/office/drawing/2014/main" id="{C4BCBCEC-E304-6876-06C1-24DD4B0032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186503</xdr:colOff>
      <xdr:row>19</xdr:row>
      <xdr:rowOff>63411</xdr:rowOff>
    </xdr:from>
    <xdr:to>
      <xdr:col>11</xdr:col>
      <xdr:colOff>124225</xdr:colOff>
      <xdr:row>43</xdr:row>
      <xdr:rowOff>172948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9530505B-D57F-C6A4-48AE-186C43C327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47624</xdr:colOff>
      <xdr:row>13</xdr:row>
      <xdr:rowOff>148016</xdr:rowOff>
    </xdr:from>
    <xdr:to>
      <xdr:col>27</xdr:col>
      <xdr:colOff>572669</xdr:colOff>
      <xdr:row>39</xdr:row>
      <xdr:rowOff>153276</xdr:rowOff>
    </xdr:to>
    <xdr:pic>
      <xdr:nvPicPr>
        <xdr:cNvPr id="3" name="Bilde 2">
          <a:extLst>
            <a:ext uri="{FF2B5EF4-FFF2-40B4-BE49-F238E27FC236}">
              <a16:creationId xmlns:a16="http://schemas.microsoft.com/office/drawing/2014/main" id="{66982F3A-5439-D9AB-AD03-7A5114197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525624" y="2795966"/>
          <a:ext cx="6621045" cy="495826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43</xdr:row>
      <xdr:rowOff>0</xdr:rowOff>
    </xdr:from>
    <xdr:to>
      <xdr:col>27</xdr:col>
      <xdr:colOff>520212</xdr:colOff>
      <xdr:row>68</xdr:row>
      <xdr:rowOff>13866</xdr:rowOff>
    </xdr:to>
    <xdr:pic>
      <xdr:nvPicPr>
        <xdr:cNvPr id="4" name="Bilde 3">
          <a:extLst>
            <a:ext uri="{FF2B5EF4-FFF2-40B4-BE49-F238E27FC236}">
              <a16:creationId xmlns:a16="http://schemas.microsoft.com/office/drawing/2014/main" id="{7012B7D7-CB9A-0F18-0B80-8EEA17271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78000" y="8367346"/>
          <a:ext cx="6616212" cy="4776366"/>
        </a:xfrm>
        <a:prstGeom prst="rect">
          <a:avLst/>
        </a:prstGeom>
      </xdr:spPr>
    </xdr:pic>
    <xdr:clientData/>
  </xdr:twoCellAnchor>
  <xdr:twoCellAnchor>
    <xdr:from>
      <xdr:col>19</xdr:col>
      <xdr:colOff>293077</xdr:colOff>
      <xdr:row>44</xdr:row>
      <xdr:rowOff>168520</xdr:rowOff>
    </xdr:from>
    <xdr:to>
      <xdr:col>27</xdr:col>
      <xdr:colOff>490903</xdr:colOff>
      <xdr:row>66</xdr:row>
      <xdr:rowOff>183174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23A0B9BC-7B42-22C3-BBBB-71E908789D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209733</xdr:colOff>
      <xdr:row>75</xdr:row>
      <xdr:rowOff>133716</xdr:rowOff>
    </xdr:from>
    <xdr:to>
      <xdr:col>19</xdr:col>
      <xdr:colOff>119062</xdr:colOff>
      <xdr:row>95</xdr:row>
      <xdr:rowOff>178593</xdr:rowOff>
    </xdr:to>
    <xdr:sp macro="" textlink="">
      <xdr:nvSpPr>
        <xdr:cNvPr id="6" name="Rektangel 5">
          <a:extLst>
            <a:ext uri="{FF2B5EF4-FFF2-40B4-BE49-F238E27FC236}">
              <a16:creationId xmlns:a16="http://schemas.microsoft.com/office/drawing/2014/main" id="{DB1382FA-B7AF-3371-E97A-F611E7F3DD10}"/>
            </a:ext>
          </a:extLst>
        </xdr:cNvPr>
        <xdr:cNvSpPr/>
      </xdr:nvSpPr>
      <xdr:spPr>
        <a:xfrm>
          <a:off x="9353733" y="14592666"/>
          <a:ext cx="5243329" cy="385487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b-NO" sz="1100"/>
        </a:p>
      </xdr:txBody>
    </xdr:sp>
    <xdr:clientData/>
  </xdr:twoCellAnchor>
  <xdr:twoCellAnchor>
    <xdr:from>
      <xdr:col>20</xdr:col>
      <xdr:colOff>251447</xdr:colOff>
      <xdr:row>14</xdr:row>
      <xdr:rowOff>30859</xdr:rowOff>
    </xdr:from>
    <xdr:to>
      <xdr:col>27</xdr:col>
      <xdr:colOff>440377</xdr:colOff>
      <xdr:row>35</xdr:row>
      <xdr:rowOff>165829</xdr:rowOff>
    </xdr:to>
    <xdr:graphicFrame macro="">
      <xdr:nvGraphicFramePr>
        <xdr:cNvPr id="8" name="Diagram 7">
          <a:extLst>
            <a:ext uri="{FF2B5EF4-FFF2-40B4-BE49-F238E27FC236}">
              <a16:creationId xmlns:a16="http://schemas.microsoft.com/office/drawing/2014/main" id="{D094E7AF-82E1-9084-22B5-E1EFC132BD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766AE-78C0-41F2-8B82-477C190F2105}">
  <dimension ref="A1:JU134"/>
  <sheetViews>
    <sheetView tabSelected="1" workbookViewId="0">
      <selection activeCell="I13" sqref="I13"/>
    </sheetView>
  </sheetViews>
  <sheetFormatPr defaultColWidth="11.42578125" defaultRowHeight="15"/>
  <cols>
    <col min="1" max="1" width="19.28515625" customWidth="1"/>
    <col min="2" max="4" width="12" bestFit="1" customWidth="1"/>
    <col min="6" max="6" width="15.140625" customWidth="1"/>
    <col min="7" max="7" width="18.140625" customWidth="1"/>
    <col min="8" max="8" width="12" bestFit="1" customWidth="1"/>
    <col min="10" max="10" width="12" bestFit="1" customWidth="1"/>
    <col min="11" max="11" width="12.140625" customWidth="1"/>
    <col min="13" max="15" width="12" bestFit="1" customWidth="1"/>
    <col min="22" max="22" width="12" bestFit="1" customWidth="1"/>
    <col min="24" max="24" width="12" bestFit="1" customWidth="1"/>
    <col min="38" max="38" width="12" bestFit="1" customWidth="1"/>
    <col min="55" max="55" width="12" bestFit="1" customWidth="1"/>
    <col min="83" max="83" width="12" bestFit="1" customWidth="1"/>
    <col min="94" max="94" width="12" bestFit="1" customWidth="1"/>
  </cols>
  <sheetData>
    <row r="1" spans="1:27">
      <c r="B1" s="1" t="s">
        <v>0</v>
      </c>
      <c r="F1" s="1" t="s">
        <v>1</v>
      </c>
      <c r="O1" t="s">
        <v>2</v>
      </c>
      <c r="P1" t="s">
        <v>3</v>
      </c>
      <c r="Q1">
        <f>-LN(N23/N3)/M23</f>
        <v>1.5434492038214221E-2</v>
      </c>
      <c r="R1">
        <f>Q1/Y10</f>
        <v>1.9622422187518704</v>
      </c>
    </row>
    <row r="2" spans="1:27">
      <c r="B2" s="6" t="s">
        <v>4</v>
      </c>
      <c r="C2" s="11">
        <v>5</v>
      </c>
      <c r="D2" s="6" t="s">
        <v>5</v>
      </c>
      <c r="F2" s="6" t="s">
        <v>6</v>
      </c>
      <c r="G2" s="6"/>
      <c r="I2">
        <f>SQRT(2)</f>
        <v>1.4142135623730951</v>
      </c>
      <c r="L2" t="s">
        <v>7</v>
      </c>
      <c r="M2" t="s">
        <v>8</v>
      </c>
      <c r="N2" t="s">
        <v>9</v>
      </c>
      <c r="O2" t="s">
        <v>10</v>
      </c>
      <c r="Y2">
        <f>C3*C8/C4</f>
        <v>94.029149036201218</v>
      </c>
    </row>
    <row r="3" spans="1:27">
      <c r="B3" s="6" t="s">
        <v>11</v>
      </c>
      <c r="C3" s="11">
        <v>0.8</v>
      </c>
      <c r="D3" s="6" t="s">
        <v>12</v>
      </c>
      <c r="F3" s="6">
        <f>C17/1000/C21</f>
        <v>4.4593253968253964E-5</v>
      </c>
      <c r="G3" s="6" t="s">
        <v>13</v>
      </c>
      <c r="L3">
        <v>0</v>
      </c>
      <c r="M3">
        <f>L3*$G$18</f>
        <v>0</v>
      </c>
      <c r="N3" s="20">
        <f>C7</f>
        <v>0.35</v>
      </c>
      <c r="O3">
        <f>$N$3*EXP(-$Q$1*M3)</f>
        <v>0.35</v>
      </c>
      <c r="X3" t="s">
        <v>14</v>
      </c>
      <c r="Y3">
        <v>148.14814814814815</v>
      </c>
    </row>
    <row r="4" spans="1:27">
      <c r="A4">
        <f>C4*C18</f>
        <v>499.84500000000003</v>
      </c>
      <c r="B4" s="6" t="s">
        <v>15</v>
      </c>
      <c r="C4" s="11">
        <v>0.2127</v>
      </c>
      <c r="D4" s="6" t="s">
        <v>16</v>
      </c>
      <c r="F4" s="6" t="s">
        <v>17</v>
      </c>
      <c r="G4" s="6"/>
      <c r="L4">
        <v>1</v>
      </c>
      <c r="M4">
        <f t="shared" ref="M4:M18" si="0">L4*$G$18</f>
        <v>1.8976937367330144</v>
      </c>
      <c r="N4">
        <f>O$134</f>
        <v>0.33783715313377172</v>
      </c>
      <c r="O4">
        <f t="shared" ref="O4:O32" si="1">$N$3*EXP(-$Q$1*M4)</f>
        <v>0.33989719886532799</v>
      </c>
      <c r="X4" t="s">
        <v>18</v>
      </c>
      <c r="Y4" t="s">
        <v>3</v>
      </c>
    </row>
    <row r="5" spans="1:27">
      <c r="B5" s="6" t="s">
        <v>19</v>
      </c>
      <c r="C5" s="11">
        <v>720</v>
      </c>
      <c r="D5" s="7" t="s">
        <v>20</v>
      </c>
      <c r="F5" s="6">
        <f>100/C20</f>
        <v>3.7064492216456633</v>
      </c>
      <c r="G5" s="6" t="s">
        <v>21</v>
      </c>
      <c r="L5">
        <v>2</v>
      </c>
      <c r="M5">
        <f t="shared" si="0"/>
        <v>3.7953874734660289</v>
      </c>
      <c r="N5">
        <f>AC$134</f>
        <v>0.32634058825241297</v>
      </c>
      <c r="O5">
        <f t="shared" si="1"/>
        <v>0.33008601656141812</v>
      </c>
      <c r="X5">
        <v>5</v>
      </c>
      <c r="Y5">
        <v>1.5961016984297447E-2</v>
      </c>
    </row>
    <row r="6" spans="1:27">
      <c r="B6" s="6" t="s">
        <v>22</v>
      </c>
      <c r="C6" s="11">
        <v>1013</v>
      </c>
      <c r="D6" s="7" t="s">
        <v>23</v>
      </c>
      <c r="F6" s="16" t="s">
        <v>24</v>
      </c>
      <c r="G6" s="6"/>
      <c r="L6">
        <v>3</v>
      </c>
      <c r="M6">
        <f t="shared" si="0"/>
        <v>5.6930812101990433</v>
      </c>
      <c r="N6">
        <f>AQ$134</f>
        <v>0.31546467696610087</v>
      </c>
      <c r="O6">
        <f t="shared" si="1"/>
        <v>0.32055803546811507</v>
      </c>
      <c r="X6">
        <v>6</v>
      </c>
      <c r="Y6">
        <v>1.3519028486387611E-2</v>
      </c>
    </row>
    <row r="7" spans="1:27">
      <c r="B7" s="6" t="s">
        <v>25</v>
      </c>
      <c r="C7" s="11">
        <v>0.35</v>
      </c>
      <c r="D7" s="7" t="s">
        <v>26</v>
      </c>
      <c r="F7" s="6" t="s">
        <v>27</v>
      </c>
      <c r="G7" s="6" t="s">
        <v>28</v>
      </c>
      <c r="L7">
        <v>4</v>
      </c>
      <c r="M7">
        <f t="shared" si="0"/>
        <v>7.5907749469320578</v>
      </c>
      <c r="N7">
        <f>BE$134</f>
        <v>0.30516738415603839</v>
      </c>
      <c r="O7">
        <f t="shared" si="1"/>
        <v>0.31130508094109938</v>
      </c>
      <c r="X7">
        <v>7</v>
      </c>
      <c r="Y7">
        <v>1.1619671213796973E-2</v>
      </c>
    </row>
    <row r="8" spans="1:27">
      <c r="B8" s="6" t="s">
        <v>29</v>
      </c>
      <c r="C8" s="11">
        <v>25</v>
      </c>
      <c r="D8" s="6" t="s">
        <v>30</v>
      </c>
      <c r="F8" s="6" t="s">
        <v>31</v>
      </c>
      <c r="G8" s="6" t="s">
        <v>26</v>
      </c>
      <c r="L8">
        <v>5</v>
      </c>
      <c r="M8">
        <f t="shared" si="0"/>
        <v>9.4884686836650722</v>
      </c>
      <c r="N8">
        <f>BS$134</f>
        <v>0.2954099560717991</v>
      </c>
      <c r="O8">
        <f t="shared" si="1"/>
        <v>0.30231921429835396</v>
      </c>
      <c r="X8">
        <v>8</v>
      </c>
      <c r="Y8">
        <v>1.0106937735276258E-2</v>
      </c>
    </row>
    <row r="9" spans="1:27">
      <c r="A9" s="21"/>
      <c r="B9" s="16" t="s">
        <v>32</v>
      </c>
      <c r="C9" s="6"/>
      <c r="D9" s="6"/>
      <c r="F9" s="16" t="s">
        <v>33</v>
      </c>
      <c r="G9" s="6"/>
      <c r="L9">
        <v>6</v>
      </c>
      <c r="M9">
        <f t="shared" si="0"/>
        <v>11.386162420398087</v>
      </c>
      <c r="N9">
        <f>CG$134</f>
        <v>0.28615663749350262</v>
      </c>
      <c r="O9">
        <f t="shared" si="1"/>
        <v>0.2935927260090781</v>
      </c>
      <c r="X9">
        <v>9</v>
      </c>
      <c r="Y9">
        <v>8.878744709017004E-3</v>
      </c>
    </row>
    <row r="10" spans="1:27">
      <c r="B10" s="6" t="s">
        <v>34</v>
      </c>
      <c r="C10" s="6">
        <f>C5+273</f>
        <v>993</v>
      </c>
      <c r="D10" s="6" t="s">
        <v>35</v>
      </c>
      <c r="F10" s="6" t="s">
        <v>36</v>
      </c>
      <c r="G10" s="6">
        <f>F3/F5</f>
        <v>1.203125992063492E-5</v>
      </c>
      <c r="L10">
        <v>7</v>
      </c>
      <c r="M10">
        <f t="shared" si="0"/>
        <v>13.283856157131101</v>
      </c>
      <c r="N10">
        <f>CU$134</f>
        <v>0.27737441510542965</v>
      </c>
      <c r="O10">
        <f t="shared" si="1"/>
        <v>0.28511812907920392</v>
      </c>
      <c r="X10" s="1">
        <v>10</v>
      </c>
      <c r="Y10" s="1">
        <v>7.8657425116618312E-3</v>
      </c>
    </row>
    <row r="11" spans="1:27">
      <c r="B11" s="6" t="s">
        <v>4</v>
      </c>
      <c r="C11" s="6">
        <f>C2/1000</f>
        <v>5.0000000000000001E-3</v>
      </c>
      <c r="D11" s="6" t="s">
        <v>12</v>
      </c>
      <c r="G11" s="8"/>
      <c r="L11">
        <v>8</v>
      </c>
      <c r="M11">
        <f t="shared" si="0"/>
        <v>15.181549893864116</v>
      </c>
      <c r="N11">
        <f>DI$134</f>
        <v>0.2690327845184845</v>
      </c>
      <c r="O11">
        <f t="shared" si="1"/>
        <v>0.27688815262784122</v>
      </c>
      <c r="X11">
        <v>11</v>
      </c>
      <c r="Y11">
        <v>7.0192129509801119E-3</v>
      </c>
    </row>
    <row r="12" spans="1:27">
      <c r="B12" s="6" t="s">
        <v>29</v>
      </c>
      <c r="C12" s="6">
        <f>C8/1000/60</f>
        <v>4.1666666666666669E-4</v>
      </c>
      <c r="D12" s="6" t="s">
        <v>37</v>
      </c>
      <c r="F12" s="26" t="s">
        <v>38</v>
      </c>
      <c r="G12" s="26">
        <f>C23*EXP(-C24/(C25*(C5+273.15)))</f>
        <v>1.6678546724524433E-7</v>
      </c>
      <c r="H12" s="26" t="s">
        <v>39</v>
      </c>
      <c r="I12" s="27" t="s">
        <v>40</v>
      </c>
      <c r="L12">
        <v>9</v>
      </c>
      <c r="M12">
        <f t="shared" si="0"/>
        <v>17.07924363059713</v>
      </c>
      <c r="N12">
        <f>DW$134</f>
        <v>0.26110353863932545</v>
      </c>
      <c r="O12">
        <f t="shared" si="1"/>
        <v>0.26889573564913899</v>
      </c>
      <c r="X12">
        <v>12</v>
      </c>
      <c r="Y12">
        <v>6.3039197258561467E-3</v>
      </c>
      <c r="Z12" s="1"/>
    </row>
    <row r="13" spans="1:27">
      <c r="B13" s="6" t="s">
        <v>22</v>
      </c>
      <c r="C13" s="6">
        <f>C6*101325/1000</f>
        <v>102642.22500000001</v>
      </c>
      <c r="D13" s="6" t="s">
        <v>41</v>
      </c>
      <c r="F13" s="14" t="s">
        <v>42</v>
      </c>
      <c r="G13" s="14">
        <f>SQRT(2*C22/(C18*C11)+C19*C11/2)</f>
        <v>0.42156433596985182</v>
      </c>
      <c r="H13" s="6" t="s">
        <v>43</v>
      </c>
      <c r="L13">
        <v>10</v>
      </c>
      <c r="M13">
        <f t="shared" si="0"/>
        <v>18.976937367330144</v>
      </c>
      <c r="N13">
        <f>EK$134</f>
        <v>0.2535605753172322</v>
      </c>
      <c r="O13">
        <f t="shared" si="1"/>
        <v>0.26113402095421162</v>
      </c>
      <c r="X13">
        <v>13</v>
      </c>
      <c r="Y13">
        <v>5.6937334882368245E-3</v>
      </c>
    </row>
    <row r="14" spans="1:27">
      <c r="B14" s="6" t="s">
        <v>44</v>
      </c>
      <c r="C14" s="6">
        <f>C7*G10</f>
        <v>4.2109409722222222E-6</v>
      </c>
      <c r="D14" s="6" t="s">
        <v>45</v>
      </c>
      <c r="F14" s="24" t="s">
        <v>46</v>
      </c>
      <c r="G14" s="24">
        <f>2*SQRT(G12*G13/(PI()*C11))</f>
        <v>4.2313708659995862E-3</v>
      </c>
      <c r="H14" s="6" t="s">
        <v>43</v>
      </c>
      <c r="I14" s="8" t="s">
        <v>47</v>
      </c>
      <c r="L14">
        <v>11</v>
      </c>
      <c r="M14">
        <f t="shared" si="0"/>
        <v>20.874631104063159</v>
      </c>
      <c r="N14">
        <f>EY$134</f>
        <v>0.24637972240872585</v>
      </c>
      <c r="O14">
        <f t="shared" si="1"/>
        <v>0.25359634928793257</v>
      </c>
      <c r="X14">
        <v>14</v>
      </c>
      <c r="Y14">
        <v>5.1688620908768588E-3</v>
      </c>
    </row>
    <row r="15" spans="1:27">
      <c r="F15" s="24" t="s">
        <v>48</v>
      </c>
      <c r="G15" s="24">
        <f>C13+C18*C19*C3+4*C22/C11</f>
        <v>121805.02500000001</v>
      </c>
      <c r="H15" s="6" t="s">
        <v>41</v>
      </c>
      <c r="I15" s="8" t="s">
        <v>47</v>
      </c>
      <c r="L15">
        <v>12</v>
      </c>
      <c r="M15">
        <f t="shared" si="0"/>
        <v>22.772324840796173</v>
      </c>
      <c r="N15">
        <f>FM$134</f>
        <v>0.2395385785872032</v>
      </c>
      <c r="O15">
        <f t="shared" si="1"/>
        <v>0.24627625361554742</v>
      </c>
      <c r="X15">
        <v>15</v>
      </c>
      <c r="Y15">
        <v>4.7140402465071134E-3</v>
      </c>
      <c r="AA15" s="10"/>
    </row>
    <row r="16" spans="1:27">
      <c r="B16" s="16" t="s">
        <v>49</v>
      </c>
      <c r="C16" s="6"/>
      <c r="D16" s="6"/>
      <c r="F16" s="25" t="s">
        <v>50</v>
      </c>
      <c r="G16" s="24">
        <f>C12*G18*C10*C26/(C4*C27*G15)</f>
        <v>1.1242084451326498E-2</v>
      </c>
      <c r="H16" s="6"/>
      <c r="I16" s="8" t="s">
        <v>47</v>
      </c>
      <c r="L16">
        <v>13</v>
      </c>
      <c r="M16">
        <f t="shared" si="0"/>
        <v>24.670018577529188</v>
      </c>
      <c r="N16">
        <f>GA$134</f>
        <v>0.23301636839265646</v>
      </c>
      <c r="O16">
        <f t="shared" si="1"/>
        <v>0.2391674535742048</v>
      </c>
      <c r="X16">
        <v>16</v>
      </c>
      <c r="Y16">
        <v>4.3173110662332341E-3</v>
      </c>
    </row>
    <row r="17" spans="2:271">
      <c r="B17" s="15" t="s">
        <v>51</v>
      </c>
      <c r="C17" s="6">
        <v>8.9899999999999994E-2</v>
      </c>
      <c r="D17" s="6" t="s">
        <v>52</v>
      </c>
      <c r="F17" s="25" t="s">
        <v>53</v>
      </c>
      <c r="G17" s="24">
        <f>6*G16/C11</f>
        <v>13.490501341591798</v>
      </c>
      <c r="H17" s="6" t="s">
        <v>54</v>
      </c>
      <c r="I17" s="8" t="s">
        <v>47</v>
      </c>
      <c r="L17">
        <v>14</v>
      </c>
      <c r="M17">
        <f t="shared" si="0"/>
        <v>26.567712314262202</v>
      </c>
      <c r="N17">
        <f>GO$134</f>
        <v>0.22679381016700556</v>
      </c>
      <c r="O17">
        <f t="shared" si="1"/>
        <v>0.23226385008464454</v>
      </c>
      <c r="X17">
        <v>17</v>
      </c>
      <c r="Y17">
        <v>3.9691839177323227E-3</v>
      </c>
    </row>
    <row r="18" spans="2:271">
      <c r="B18" s="15" t="s">
        <v>55</v>
      </c>
      <c r="C18" s="6">
        <v>2350</v>
      </c>
      <c r="D18" s="6" t="s">
        <v>52</v>
      </c>
      <c r="F18" s="15" t="s">
        <v>56</v>
      </c>
      <c r="G18" s="6">
        <f>C3/G13</f>
        <v>1.8976937367330144</v>
      </c>
      <c r="H18" s="6" t="s">
        <v>57</v>
      </c>
      <c r="L18">
        <v>15</v>
      </c>
      <c r="M18">
        <f>L18*$G$18</f>
        <v>28.465406050995217</v>
      </c>
      <c r="N18">
        <f>HC$134</f>
        <v>0.22085299565548414</v>
      </c>
      <c r="O18">
        <f t="shared" si="1"/>
        <v>0.22555952011842045</v>
      </c>
      <c r="X18">
        <v>18</v>
      </c>
      <c r="Y18">
        <v>3.6620384180187119E-3</v>
      </c>
    </row>
    <row r="19" spans="2:271">
      <c r="B19" s="15" t="s">
        <v>58</v>
      </c>
      <c r="C19" s="6">
        <v>9.81</v>
      </c>
      <c r="D19" s="6" t="s">
        <v>59</v>
      </c>
      <c r="F19" s="6" t="s">
        <v>60</v>
      </c>
      <c r="G19" s="6">
        <f>C26/(C25*C27)</f>
        <v>44.617515931854825</v>
      </c>
      <c r="H19" s="6" t="s">
        <v>61</v>
      </c>
      <c r="L19">
        <v>16</v>
      </c>
      <c r="M19">
        <f t="shared" ref="M19:M32" si="2">L19*$G$18</f>
        <v>30.363099787728231</v>
      </c>
      <c r="N19">
        <f>HQ$134</f>
        <v>0.21517728017553822</v>
      </c>
      <c r="O19">
        <f t="shared" si="1"/>
        <v>0.21904871161616774</v>
      </c>
      <c r="X19">
        <v>19</v>
      </c>
      <c r="Y19">
        <v>3.3896936847984649E-3</v>
      </c>
    </row>
    <row r="20" spans="2:271">
      <c r="B20" s="6" t="s">
        <v>62</v>
      </c>
      <c r="C20" s="6">
        <v>26.98</v>
      </c>
      <c r="D20" s="6" t="s">
        <v>63</v>
      </c>
      <c r="F20" s="15" t="s">
        <v>64</v>
      </c>
      <c r="G20" s="6">
        <f>G19/1000</f>
        <v>4.4617515931854826E-2</v>
      </c>
      <c r="H20" s="6" t="s">
        <v>65</v>
      </c>
      <c r="L20">
        <v>17</v>
      </c>
      <c r="M20">
        <f t="shared" si="2"/>
        <v>32.260793524461249</v>
      </c>
      <c r="N20">
        <f>IE$134</f>
        <v>0.2097511823632886</v>
      </c>
      <c r="O20">
        <f t="shared" si="1"/>
        <v>0.21272583855255559</v>
      </c>
      <c r="X20">
        <v>20</v>
      </c>
      <c r="Y20">
        <v>3.1470912312137399E-3</v>
      </c>
    </row>
    <row r="21" spans="2:271">
      <c r="B21" s="6" t="s">
        <v>66</v>
      </c>
      <c r="C21" s="6">
        <v>2.016</v>
      </c>
      <c r="D21" s="6" t="s">
        <v>63</v>
      </c>
      <c r="F21" s="15" t="s">
        <v>67</v>
      </c>
      <c r="G21" s="6">
        <f>C12*G18*1000*G20</f>
        <v>3.5279325221860995E-2</v>
      </c>
      <c r="H21" s="6" t="s">
        <v>68</v>
      </c>
      <c r="L21">
        <v>18</v>
      </c>
      <c r="M21">
        <f t="shared" si="2"/>
        <v>34.15848726119426</v>
      </c>
      <c r="N21">
        <f>IS$134</f>
        <v>0.20456029260506886</v>
      </c>
      <c r="O21">
        <f t="shared" si="1"/>
        <v>0.20658547614369041</v>
      </c>
    </row>
    <row r="22" spans="2:271">
      <c r="B22" s="15" t="s">
        <v>69</v>
      </c>
      <c r="C22" s="6">
        <v>0.9</v>
      </c>
      <c r="D22" s="6" t="s">
        <v>70</v>
      </c>
      <c r="F22" s="6" t="s">
        <v>71</v>
      </c>
      <c r="G22" s="6">
        <f>6*C12*G18/(PI()*C11^3)*C10/C27*C26/G15</f>
        <v>36534.712825709888</v>
      </c>
      <c r="H22" s="6"/>
      <c r="L22">
        <v>19</v>
      </c>
      <c r="M22">
        <f t="shared" si="2"/>
        <v>36.056180997927271</v>
      </c>
      <c r="N22">
        <f>JG$134</f>
        <v>0.19959118934905687</v>
      </c>
      <c r="O22">
        <f t="shared" si="1"/>
        <v>0.20062235619285834</v>
      </c>
    </row>
    <row r="23" spans="2:271">
      <c r="B23" s="15" t="s">
        <v>72</v>
      </c>
      <c r="C23" s="17">
        <v>1.22E-4</v>
      </c>
      <c r="D23" s="6" t="s">
        <v>39</v>
      </c>
      <c r="F23" s="6" t="s">
        <v>73</v>
      </c>
      <c r="G23" s="6">
        <f>$C$28*EXP(-$C$29/($C$25*$C$10))*SQRT(1/$C$26)</f>
        <v>3.2693389734830451E-3</v>
      </c>
      <c r="H23" s="6"/>
      <c r="L23">
        <v>20</v>
      </c>
      <c r="M23">
        <f t="shared" si="2"/>
        <v>37.953874734660289</v>
      </c>
      <c r="N23">
        <f>JU$134</f>
        <v>0.19483136257061323</v>
      </c>
      <c r="O23">
        <f t="shared" si="1"/>
        <v>0.19483136257061326</v>
      </c>
    </row>
    <row r="24" spans="2:271">
      <c r="B24" s="18" t="s">
        <v>74</v>
      </c>
      <c r="C24" s="6">
        <v>54455.8</v>
      </c>
      <c r="D24" s="6" t="s">
        <v>75</v>
      </c>
      <c r="F24" s="6" t="s">
        <v>76</v>
      </c>
      <c r="G24" s="6">
        <f>C4*C18*1000/C20</f>
        <v>18526.501111934766</v>
      </c>
      <c r="H24" s="6"/>
      <c r="L24">
        <v>21</v>
      </c>
      <c r="M24">
        <f t="shared" si="2"/>
        <v>39.851568471393307</v>
      </c>
      <c r="O24">
        <f t="shared" si="1"/>
        <v>0.18920752682533304</v>
      </c>
    </row>
    <row r="25" spans="2:271">
      <c r="B25" s="15" t="s">
        <v>77</v>
      </c>
      <c r="C25" s="6">
        <v>8.3140000000000001</v>
      </c>
      <c r="D25" s="6" t="s">
        <v>78</v>
      </c>
      <c r="F25" s="15" t="s">
        <v>79</v>
      </c>
      <c r="G25" s="6">
        <f>C11/G13</f>
        <v>1.186058585458134E-2</v>
      </c>
      <c r="H25" s="6"/>
      <c r="L25">
        <v>22</v>
      </c>
      <c r="M25">
        <f t="shared" si="2"/>
        <v>41.749262208126318</v>
      </c>
      <c r="O25">
        <f t="shared" si="1"/>
        <v>0.18374602392047745</v>
      </c>
    </row>
    <row r="26" spans="2:271">
      <c r="B26" s="15" t="s">
        <v>80</v>
      </c>
      <c r="C26" s="6">
        <v>101325</v>
      </c>
      <c r="D26" s="6" t="s">
        <v>41</v>
      </c>
      <c r="L26">
        <v>23</v>
      </c>
      <c r="M26">
        <f t="shared" si="2"/>
        <v>43.646955944859329</v>
      </c>
      <c r="O26">
        <f t="shared" si="1"/>
        <v>0.17844216809489097</v>
      </c>
    </row>
    <row r="27" spans="2:271">
      <c r="B27" s="15" t="s">
        <v>81</v>
      </c>
      <c r="C27" s="6">
        <f>273.15</f>
        <v>273.14999999999998</v>
      </c>
      <c r="D27" s="6" t="s">
        <v>35</v>
      </c>
      <c r="F27" s="6" t="s">
        <v>82</v>
      </c>
      <c r="G27" s="6">
        <f>C13+C18*C19*C3+4*C22/C11</f>
        <v>121805.02500000001</v>
      </c>
      <c r="H27" s="6"/>
      <c r="L27">
        <v>24</v>
      </c>
      <c r="M27">
        <f t="shared" si="2"/>
        <v>45.544649681592347</v>
      </c>
      <c r="O27">
        <f t="shared" si="1"/>
        <v>0.17329140884259842</v>
      </c>
    </row>
    <row r="28" spans="2:271">
      <c r="B28" s="15" t="s">
        <v>83</v>
      </c>
      <c r="C28" s="6">
        <f>419.8</f>
        <v>419.8</v>
      </c>
      <c r="D28" s="6" t="s">
        <v>45</v>
      </c>
      <c r="F28" s="6" t="s">
        <v>84</v>
      </c>
      <c r="G28" s="6">
        <f>C13+4*C22/C11</f>
        <v>103362.22500000001</v>
      </c>
      <c r="H28" s="6" t="s">
        <v>85</v>
      </c>
      <c r="L28">
        <v>25</v>
      </c>
      <c r="M28">
        <f t="shared" si="2"/>
        <v>47.442343418325365</v>
      </c>
      <c r="O28">
        <f t="shared" si="1"/>
        <v>0.16828932700864435</v>
      </c>
    </row>
    <row r="29" spans="2:271">
      <c r="B29" s="18" t="s">
        <v>86</v>
      </c>
      <c r="C29" s="6">
        <v>49534</v>
      </c>
      <c r="D29" s="6" t="s">
        <v>75</v>
      </c>
      <c r="F29" s="6" t="s">
        <v>87</v>
      </c>
      <c r="G29" s="6">
        <f>(G27/G28)^(1/3)</f>
        <v>1.056252586058523</v>
      </c>
      <c r="H29" s="6"/>
      <c r="L29">
        <v>26</v>
      </c>
      <c r="M29">
        <f t="shared" si="2"/>
        <v>49.340037155058376</v>
      </c>
      <c r="O29">
        <f t="shared" si="1"/>
        <v>0.16343163099762689</v>
      </c>
    </row>
    <row r="30" spans="2:271">
      <c r="B30" s="5"/>
      <c r="F30" s="6" t="s">
        <v>88</v>
      </c>
      <c r="G30" s="6"/>
      <c r="H30" s="6"/>
      <c r="L30">
        <v>27</v>
      </c>
      <c r="M30">
        <f t="shared" si="2"/>
        <v>51.237730891791387</v>
      </c>
      <c r="O30">
        <f t="shared" si="1"/>
        <v>0.15871415309167228</v>
      </c>
    </row>
    <row r="31" spans="2:271" ht="15.75" thickBot="1">
      <c r="C31" s="19" t="s">
        <v>89</v>
      </c>
      <c r="F31" s="6" t="s">
        <v>90</v>
      </c>
      <c r="G31" s="6"/>
      <c r="H31" s="6"/>
      <c r="L31">
        <v>28</v>
      </c>
      <c r="M31">
        <f t="shared" si="2"/>
        <v>53.135424628524405</v>
      </c>
      <c r="O31">
        <f t="shared" si="1"/>
        <v>0.15413284587469211</v>
      </c>
      <c r="Q31" s="19" t="s">
        <v>89</v>
      </c>
      <c r="AE31" s="19" t="s">
        <v>89</v>
      </c>
      <c r="AS31" s="19" t="s">
        <v>89</v>
      </c>
      <c r="BG31" s="19" t="s">
        <v>89</v>
      </c>
      <c r="BU31" s="19" t="s">
        <v>89</v>
      </c>
      <c r="CI31" s="19" t="s">
        <v>89</v>
      </c>
      <c r="CW31" s="19" t="s">
        <v>89</v>
      </c>
      <c r="DK31" s="19" t="s">
        <v>89</v>
      </c>
      <c r="DY31" s="19" t="s">
        <v>89</v>
      </c>
      <c r="EM31" s="19" t="s">
        <v>89</v>
      </c>
      <c r="FA31" s="19" t="s">
        <v>89</v>
      </c>
      <c r="FO31" s="19" t="s">
        <v>89</v>
      </c>
      <c r="GC31" s="19" t="s">
        <v>89</v>
      </c>
      <c r="GQ31" s="19" t="s">
        <v>89</v>
      </c>
      <c r="HE31" s="19" t="s">
        <v>89</v>
      </c>
      <c r="HS31" s="19" t="s">
        <v>89</v>
      </c>
      <c r="IG31" s="19" t="s">
        <v>89</v>
      </c>
      <c r="IU31" s="19" t="s">
        <v>89</v>
      </c>
      <c r="JI31" s="19" t="s">
        <v>89</v>
      </c>
    </row>
    <row r="32" spans="2:271" ht="15.75" thickBot="1">
      <c r="C32" s="23">
        <v>1</v>
      </c>
      <c r="E32" s="5" t="s">
        <v>91</v>
      </c>
      <c r="L32">
        <v>29</v>
      </c>
      <c r="M32">
        <f t="shared" si="2"/>
        <v>55.033118365257423</v>
      </c>
      <c r="O32">
        <f t="shared" si="1"/>
        <v>0.14968377875985481</v>
      </c>
      <c r="Q32" s="23">
        <f>C32+1</f>
        <v>2</v>
      </c>
      <c r="S32" s="5" t="s">
        <v>91</v>
      </c>
      <c r="AE32" s="23">
        <f>Q32+1</f>
        <v>3</v>
      </c>
      <c r="AG32" s="5" t="s">
        <v>91</v>
      </c>
      <c r="AS32" s="23">
        <f>AE32+1</f>
        <v>4</v>
      </c>
      <c r="AU32" s="5" t="s">
        <v>91</v>
      </c>
      <c r="BG32" s="23">
        <f>AS32+1</f>
        <v>5</v>
      </c>
      <c r="BI32" s="5" t="s">
        <v>91</v>
      </c>
      <c r="BU32" s="23">
        <f>BG32+1</f>
        <v>6</v>
      </c>
      <c r="BW32" s="5" t="s">
        <v>91</v>
      </c>
      <c r="CI32" s="23">
        <f>BU32+1</f>
        <v>7</v>
      </c>
      <c r="CK32" s="5" t="s">
        <v>91</v>
      </c>
      <c r="CW32" s="23">
        <f>CI32+1</f>
        <v>8</v>
      </c>
      <c r="CY32" s="5" t="s">
        <v>91</v>
      </c>
      <c r="DK32" s="23">
        <f>CW32+1</f>
        <v>9</v>
      </c>
      <c r="DM32" s="5" t="s">
        <v>91</v>
      </c>
      <c r="DY32" s="23">
        <f>DK32+1</f>
        <v>10</v>
      </c>
      <c r="EA32" s="5" t="s">
        <v>91</v>
      </c>
      <c r="EM32" s="23">
        <f>DY32+1</f>
        <v>11</v>
      </c>
      <c r="EO32" s="5" t="s">
        <v>91</v>
      </c>
      <c r="FA32" s="23">
        <f>EM32+1</f>
        <v>12</v>
      </c>
      <c r="FC32" s="5" t="s">
        <v>91</v>
      </c>
      <c r="FO32" s="23">
        <f>FA32+1</f>
        <v>13</v>
      </c>
      <c r="FQ32" s="5" t="s">
        <v>91</v>
      </c>
      <c r="GC32" s="23">
        <f>FO32+1</f>
        <v>14</v>
      </c>
      <c r="GE32" s="5" t="s">
        <v>91</v>
      </c>
      <c r="GQ32" s="23">
        <f>GC32+1</f>
        <v>15</v>
      </c>
      <c r="GS32" s="5" t="s">
        <v>91</v>
      </c>
      <c r="HE32" s="23">
        <f>GQ32+1</f>
        <v>16</v>
      </c>
      <c r="HG32" s="5" t="s">
        <v>91</v>
      </c>
      <c r="HS32" s="23">
        <f>HE32+1</f>
        <v>17</v>
      </c>
      <c r="HU32" s="5" t="s">
        <v>91</v>
      </c>
      <c r="IG32" s="23">
        <f>HS32+1</f>
        <v>18</v>
      </c>
      <c r="II32" s="5" t="s">
        <v>91</v>
      </c>
      <c r="IU32" s="23">
        <f>IG32+1</f>
        <v>19</v>
      </c>
      <c r="IW32" s="5" t="s">
        <v>91</v>
      </c>
      <c r="JI32" s="23">
        <f>IU32+1</f>
        <v>20</v>
      </c>
      <c r="JK32" s="5" t="s">
        <v>91</v>
      </c>
    </row>
    <row r="33" spans="2:281">
      <c r="C33" t="s">
        <v>8</v>
      </c>
      <c r="D33" t="s">
        <v>92</v>
      </c>
      <c r="E33" t="s">
        <v>93</v>
      </c>
      <c r="F33" t="s">
        <v>18</v>
      </c>
      <c r="G33" t="s">
        <v>94</v>
      </c>
      <c r="H33" s="5" t="s">
        <v>50</v>
      </c>
      <c r="I33" t="s">
        <v>53</v>
      </c>
      <c r="J33" t="s">
        <v>95</v>
      </c>
      <c r="K33" t="s">
        <v>96</v>
      </c>
      <c r="L33" t="s">
        <v>97</v>
      </c>
      <c r="M33" t="s">
        <v>98</v>
      </c>
      <c r="N33" t="s">
        <v>99</v>
      </c>
      <c r="O33" t="s">
        <v>9</v>
      </c>
      <c r="Q33" t="s">
        <v>8</v>
      </c>
      <c r="R33" t="s">
        <v>92</v>
      </c>
      <c r="S33" t="s">
        <v>93</v>
      </c>
      <c r="T33" t="s">
        <v>18</v>
      </c>
      <c r="U33" t="s">
        <v>94</v>
      </c>
      <c r="V33" s="5" t="s">
        <v>50</v>
      </c>
      <c r="W33" t="s">
        <v>53</v>
      </c>
      <c r="X33" t="s">
        <v>95</v>
      </c>
      <c r="Y33" t="s">
        <v>96</v>
      </c>
      <c r="Z33" t="s">
        <v>97</v>
      </c>
      <c r="AA33" t="s">
        <v>98</v>
      </c>
      <c r="AB33" t="s">
        <v>99</v>
      </c>
      <c r="AC33" t="s">
        <v>9</v>
      </c>
      <c r="AE33" t="s">
        <v>8</v>
      </c>
      <c r="AF33" t="s">
        <v>92</v>
      </c>
      <c r="AG33" t="s">
        <v>93</v>
      </c>
      <c r="AH33" t="s">
        <v>18</v>
      </c>
      <c r="AI33" t="s">
        <v>94</v>
      </c>
      <c r="AJ33" s="5" t="s">
        <v>50</v>
      </c>
      <c r="AK33" t="s">
        <v>53</v>
      </c>
      <c r="AL33" t="s">
        <v>95</v>
      </c>
      <c r="AM33" t="s">
        <v>96</v>
      </c>
      <c r="AN33" t="s">
        <v>97</v>
      </c>
      <c r="AO33" t="s">
        <v>98</v>
      </c>
      <c r="AP33" t="s">
        <v>99</v>
      </c>
      <c r="AQ33" t="s">
        <v>9</v>
      </c>
      <c r="AS33" t="s">
        <v>8</v>
      </c>
      <c r="AT33" t="s">
        <v>92</v>
      </c>
      <c r="AU33" t="s">
        <v>93</v>
      </c>
      <c r="AV33" t="s">
        <v>18</v>
      </c>
      <c r="AW33" t="s">
        <v>94</v>
      </c>
      <c r="AX33" s="5" t="s">
        <v>50</v>
      </c>
      <c r="AY33" t="s">
        <v>53</v>
      </c>
      <c r="AZ33" t="s">
        <v>95</v>
      </c>
      <c r="BA33" t="s">
        <v>96</v>
      </c>
      <c r="BB33" t="s">
        <v>97</v>
      </c>
      <c r="BC33" t="s">
        <v>98</v>
      </c>
      <c r="BD33" t="s">
        <v>99</v>
      </c>
      <c r="BE33" t="s">
        <v>9</v>
      </c>
      <c r="BG33" t="s">
        <v>8</v>
      </c>
      <c r="BH33" t="s">
        <v>92</v>
      </c>
      <c r="BI33" t="s">
        <v>93</v>
      </c>
      <c r="BJ33" t="s">
        <v>18</v>
      </c>
      <c r="BK33" t="s">
        <v>94</v>
      </c>
      <c r="BL33" s="5" t="s">
        <v>50</v>
      </c>
      <c r="BM33" t="s">
        <v>53</v>
      </c>
      <c r="BN33" t="s">
        <v>95</v>
      </c>
      <c r="BO33" t="s">
        <v>96</v>
      </c>
      <c r="BP33" t="s">
        <v>97</v>
      </c>
      <c r="BQ33" t="s">
        <v>98</v>
      </c>
      <c r="BR33" t="s">
        <v>99</v>
      </c>
      <c r="BS33" t="s">
        <v>9</v>
      </c>
      <c r="BU33" t="s">
        <v>8</v>
      </c>
      <c r="BV33" t="s">
        <v>92</v>
      </c>
      <c r="BW33" t="s">
        <v>93</v>
      </c>
      <c r="BX33" t="s">
        <v>18</v>
      </c>
      <c r="BY33" t="s">
        <v>94</v>
      </c>
      <c r="BZ33" s="5" t="s">
        <v>50</v>
      </c>
      <c r="CA33" t="s">
        <v>53</v>
      </c>
      <c r="CB33" t="s">
        <v>95</v>
      </c>
      <c r="CC33" t="s">
        <v>96</v>
      </c>
      <c r="CD33" t="s">
        <v>97</v>
      </c>
      <c r="CE33" t="s">
        <v>98</v>
      </c>
      <c r="CF33" t="s">
        <v>99</v>
      </c>
      <c r="CG33" t="s">
        <v>9</v>
      </c>
      <c r="CI33" t="s">
        <v>8</v>
      </c>
      <c r="CJ33" t="s">
        <v>92</v>
      </c>
      <c r="CK33" t="s">
        <v>93</v>
      </c>
      <c r="CL33" t="s">
        <v>18</v>
      </c>
      <c r="CM33" t="s">
        <v>94</v>
      </c>
      <c r="CN33" s="5" t="s">
        <v>50</v>
      </c>
      <c r="CO33" t="s">
        <v>53</v>
      </c>
      <c r="CP33" t="s">
        <v>95</v>
      </c>
      <c r="CQ33" t="s">
        <v>96</v>
      </c>
      <c r="CR33" t="s">
        <v>97</v>
      </c>
      <c r="CS33" t="s">
        <v>98</v>
      </c>
      <c r="CT33" t="s">
        <v>99</v>
      </c>
      <c r="CU33" t="s">
        <v>9</v>
      </c>
      <c r="CW33" t="s">
        <v>8</v>
      </c>
      <c r="CX33" t="s">
        <v>92</v>
      </c>
      <c r="CY33" t="s">
        <v>93</v>
      </c>
      <c r="CZ33" t="s">
        <v>18</v>
      </c>
      <c r="DA33" t="s">
        <v>94</v>
      </c>
      <c r="DB33" s="5" t="s">
        <v>50</v>
      </c>
      <c r="DC33" t="s">
        <v>53</v>
      </c>
      <c r="DD33" t="s">
        <v>95</v>
      </c>
      <c r="DE33" t="s">
        <v>96</v>
      </c>
      <c r="DF33" t="s">
        <v>97</v>
      </c>
      <c r="DG33" t="s">
        <v>98</v>
      </c>
      <c r="DH33" t="s">
        <v>99</v>
      </c>
      <c r="DI33" t="s">
        <v>9</v>
      </c>
      <c r="DK33" t="s">
        <v>8</v>
      </c>
      <c r="DL33" t="s">
        <v>92</v>
      </c>
      <c r="DM33" t="s">
        <v>93</v>
      </c>
      <c r="DN33" t="s">
        <v>18</v>
      </c>
      <c r="DO33" t="s">
        <v>94</v>
      </c>
      <c r="DP33" s="5" t="s">
        <v>50</v>
      </c>
      <c r="DQ33" t="s">
        <v>53</v>
      </c>
      <c r="DR33" t="s">
        <v>95</v>
      </c>
      <c r="DS33" t="s">
        <v>96</v>
      </c>
      <c r="DT33" t="s">
        <v>97</v>
      </c>
      <c r="DU33" t="s">
        <v>98</v>
      </c>
      <c r="DV33" t="s">
        <v>99</v>
      </c>
      <c r="DW33" t="s">
        <v>9</v>
      </c>
      <c r="DY33" t="s">
        <v>8</v>
      </c>
      <c r="DZ33" t="s">
        <v>92</v>
      </c>
      <c r="EA33" t="s">
        <v>93</v>
      </c>
      <c r="EB33" t="s">
        <v>18</v>
      </c>
      <c r="EC33" t="s">
        <v>94</v>
      </c>
      <c r="ED33" s="5" t="s">
        <v>50</v>
      </c>
      <c r="EE33" t="s">
        <v>53</v>
      </c>
      <c r="EF33" t="s">
        <v>95</v>
      </c>
      <c r="EG33" t="s">
        <v>96</v>
      </c>
      <c r="EH33" t="s">
        <v>97</v>
      </c>
      <c r="EI33" t="s">
        <v>98</v>
      </c>
      <c r="EJ33" t="s">
        <v>99</v>
      </c>
      <c r="EK33" t="s">
        <v>9</v>
      </c>
      <c r="EM33" t="s">
        <v>8</v>
      </c>
      <c r="EN33" t="s">
        <v>92</v>
      </c>
      <c r="EO33" t="s">
        <v>93</v>
      </c>
      <c r="EP33" t="s">
        <v>18</v>
      </c>
      <c r="EQ33" t="s">
        <v>94</v>
      </c>
      <c r="ER33" s="5" t="s">
        <v>50</v>
      </c>
      <c r="ES33" t="s">
        <v>53</v>
      </c>
      <c r="ET33" t="s">
        <v>95</v>
      </c>
      <c r="EU33" t="s">
        <v>96</v>
      </c>
      <c r="EV33" t="s">
        <v>97</v>
      </c>
      <c r="EW33" t="s">
        <v>98</v>
      </c>
      <c r="EX33" t="s">
        <v>99</v>
      </c>
      <c r="EY33" t="s">
        <v>9</v>
      </c>
      <c r="FA33" t="s">
        <v>8</v>
      </c>
      <c r="FB33" t="s">
        <v>92</v>
      </c>
      <c r="FC33" t="s">
        <v>93</v>
      </c>
      <c r="FD33" t="s">
        <v>18</v>
      </c>
      <c r="FE33" t="s">
        <v>94</v>
      </c>
      <c r="FF33" s="5" t="s">
        <v>50</v>
      </c>
      <c r="FG33" t="s">
        <v>53</v>
      </c>
      <c r="FH33" t="s">
        <v>95</v>
      </c>
      <c r="FI33" t="s">
        <v>96</v>
      </c>
      <c r="FJ33" t="s">
        <v>97</v>
      </c>
      <c r="FK33" t="s">
        <v>98</v>
      </c>
      <c r="FL33" t="s">
        <v>99</v>
      </c>
      <c r="FM33" t="s">
        <v>9</v>
      </c>
      <c r="FO33" t="s">
        <v>8</v>
      </c>
      <c r="FP33" t="s">
        <v>92</v>
      </c>
      <c r="FQ33" t="s">
        <v>93</v>
      </c>
      <c r="FR33" t="s">
        <v>18</v>
      </c>
      <c r="FS33" t="s">
        <v>94</v>
      </c>
      <c r="FT33" s="5" t="s">
        <v>50</v>
      </c>
      <c r="FU33" t="s">
        <v>53</v>
      </c>
      <c r="FV33" t="s">
        <v>95</v>
      </c>
      <c r="FW33" t="s">
        <v>96</v>
      </c>
      <c r="FX33" t="s">
        <v>97</v>
      </c>
      <c r="FY33" t="s">
        <v>98</v>
      </c>
      <c r="FZ33" t="s">
        <v>99</v>
      </c>
      <c r="GA33" t="s">
        <v>9</v>
      </c>
      <c r="GC33" t="s">
        <v>8</v>
      </c>
      <c r="GD33" t="s">
        <v>92</v>
      </c>
      <c r="GE33" t="s">
        <v>93</v>
      </c>
      <c r="GF33" t="s">
        <v>18</v>
      </c>
      <c r="GG33" t="s">
        <v>94</v>
      </c>
      <c r="GH33" s="5" t="s">
        <v>50</v>
      </c>
      <c r="GI33" t="s">
        <v>53</v>
      </c>
      <c r="GJ33" t="s">
        <v>95</v>
      </c>
      <c r="GK33" t="s">
        <v>96</v>
      </c>
      <c r="GL33" t="s">
        <v>97</v>
      </c>
      <c r="GM33" t="s">
        <v>98</v>
      </c>
      <c r="GN33" t="s">
        <v>99</v>
      </c>
      <c r="GO33" t="s">
        <v>9</v>
      </c>
      <c r="GQ33" t="s">
        <v>8</v>
      </c>
      <c r="GR33" t="s">
        <v>92</v>
      </c>
      <c r="GS33" t="s">
        <v>93</v>
      </c>
      <c r="GT33" t="s">
        <v>18</v>
      </c>
      <c r="GU33" t="s">
        <v>94</v>
      </c>
      <c r="GV33" s="5" t="s">
        <v>50</v>
      </c>
      <c r="GW33" t="s">
        <v>53</v>
      </c>
      <c r="GX33" t="s">
        <v>95</v>
      </c>
      <c r="GY33" t="s">
        <v>96</v>
      </c>
      <c r="GZ33" t="s">
        <v>97</v>
      </c>
      <c r="HA33" t="s">
        <v>98</v>
      </c>
      <c r="HB33" t="s">
        <v>99</v>
      </c>
      <c r="HC33" t="s">
        <v>9</v>
      </c>
      <c r="HE33" t="s">
        <v>8</v>
      </c>
      <c r="HF33" t="s">
        <v>92</v>
      </c>
      <c r="HG33" t="s">
        <v>93</v>
      </c>
      <c r="HH33" t="s">
        <v>18</v>
      </c>
      <c r="HI33" t="s">
        <v>94</v>
      </c>
      <c r="HJ33" s="5" t="s">
        <v>50</v>
      </c>
      <c r="HK33" t="s">
        <v>53</v>
      </c>
      <c r="HL33" t="s">
        <v>95</v>
      </c>
      <c r="HM33" t="s">
        <v>96</v>
      </c>
      <c r="HN33" t="s">
        <v>97</v>
      </c>
      <c r="HO33" t="s">
        <v>98</v>
      </c>
      <c r="HP33" t="s">
        <v>99</v>
      </c>
      <c r="HQ33" t="s">
        <v>9</v>
      </c>
      <c r="HS33" t="s">
        <v>8</v>
      </c>
      <c r="HT33" t="s">
        <v>92</v>
      </c>
      <c r="HU33" t="s">
        <v>93</v>
      </c>
      <c r="HV33" t="s">
        <v>18</v>
      </c>
      <c r="HW33" t="s">
        <v>94</v>
      </c>
      <c r="HX33" s="5" t="s">
        <v>50</v>
      </c>
      <c r="HY33" t="s">
        <v>53</v>
      </c>
      <c r="HZ33" t="s">
        <v>95</v>
      </c>
      <c r="IA33" t="s">
        <v>96</v>
      </c>
      <c r="IB33" t="s">
        <v>97</v>
      </c>
      <c r="IC33" t="s">
        <v>98</v>
      </c>
      <c r="ID33" t="s">
        <v>99</v>
      </c>
      <c r="IE33" t="s">
        <v>9</v>
      </c>
      <c r="IG33" t="s">
        <v>8</v>
      </c>
      <c r="IH33" t="s">
        <v>92</v>
      </c>
      <c r="II33" t="s">
        <v>93</v>
      </c>
      <c r="IJ33" t="s">
        <v>18</v>
      </c>
      <c r="IK33" t="s">
        <v>94</v>
      </c>
      <c r="IL33" s="5" t="s">
        <v>50</v>
      </c>
      <c r="IM33" t="s">
        <v>53</v>
      </c>
      <c r="IN33" t="s">
        <v>95</v>
      </c>
      <c r="IO33" t="s">
        <v>96</v>
      </c>
      <c r="IP33" t="s">
        <v>97</v>
      </c>
      <c r="IQ33" t="s">
        <v>98</v>
      </c>
      <c r="IR33" t="s">
        <v>99</v>
      </c>
      <c r="IS33" t="s">
        <v>9</v>
      </c>
      <c r="IU33" t="s">
        <v>8</v>
      </c>
      <c r="IV33" t="s">
        <v>92</v>
      </c>
      <c r="IW33" t="s">
        <v>93</v>
      </c>
      <c r="IX33" t="s">
        <v>18</v>
      </c>
      <c r="IY33" t="s">
        <v>94</v>
      </c>
      <c r="IZ33" s="5" t="s">
        <v>50</v>
      </c>
      <c r="JA33" t="s">
        <v>53</v>
      </c>
      <c r="JB33" t="s">
        <v>95</v>
      </c>
      <c r="JC33" t="s">
        <v>96</v>
      </c>
      <c r="JD33" t="s">
        <v>97</v>
      </c>
      <c r="JE33" t="s">
        <v>98</v>
      </c>
      <c r="JF33" t="s">
        <v>99</v>
      </c>
      <c r="JG33" t="s">
        <v>9</v>
      </c>
      <c r="JI33" t="s">
        <v>8</v>
      </c>
      <c r="JJ33" t="s">
        <v>92</v>
      </c>
      <c r="JK33" t="s">
        <v>93</v>
      </c>
      <c r="JL33" t="s">
        <v>18</v>
      </c>
      <c r="JM33" t="s">
        <v>94</v>
      </c>
      <c r="JN33" s="5" t="s">
        <v>50</v>
      </c>
      <c r="JO33" t="s">
        <v>53</v>
      </c>
      <c r="JP33" t="s">
        <v>95</v>
      </c>
      <c r="JQ33" t="s">
        <v>96</v>
      </c>
      <c r="JR33" t="s">
        <v>97</v>
      </c>
      <c r="JS33" t="s">
        <v>98</v>
      </c>
      <c r="JT33" t="s">
        <v>99</v>
      </c>
      <c r="JU33" t="s">
        <v>9</v>
      </c>
    </row>
    <row r="34" spans="2:281">
      <c r="B34">
        <v>0</v>
      </c>
      <c r="C34">
        <f>B34*$G$18</f>
        <v>0</v>
      </c>
      <c r="D34">
        <f>C34*$G$13</f>
        <v>0</v>
      </c>
      <c r="E34">
        <f t="shared" ref="E34:E65" si="3">$C$13+$C$18*$C$19*($C$3-D34)+4*$C$22/$C$11</f>
        <v>121805.02500000001</v>
      </c>
      <c r="F34">
        <f t="shared" ref="F34:F65" si="4">$C$11*($G$27/E34)^(1/3)</f>
        <v>5.0000000000000001E-3</v>
      </c>
      <c r="G34">
        <f>2*SQRT($G$12*$G$13/(PI()*F34))</f>
        <v>4.2313708659995862E-3</v>
      </c>
      <c r="H34">
        <f>$C$12*$G$18*$C$10*$C$26/($C$4*$C$27*E34)</f>
        <v>1.1242084451326498E-2</v>
      </c>
      <c r="I34">
        <f>6*H34/F34</f>
        <v>13.490501341591798</v>
      </c>
      <c r="J34" s="20">
        <f>C7*G10</f>
        <v>4.2109409722222222E-6</v>
      </c>
      <c r="K34" s="20">
        <v>0</v>
      </c>
      <c r="L34" s="20">
        <v>0</v>
      </c>
      <c r="M34" s="20">
        <v>0</v>
      </c>
      <c r="N34">
        <f>$G$24*G34*I34*(J34-M34)</f>
        <v>4.4532978339293979E-3</v>
      </c>
      <c r="O34">
        <f>J34/$G$10</f>
        <v>0.35000000000000003</v>
      </c>
      <c r="Q34">
        <f>(Q$32-1+$B34)*$G$18</f>
        <v>1.8976937367330144</v>
      </c>
      <c r="R34">
        <f>D34</f>
        <v>0</v>
      </c>
      <c r="S34">
        <f t="shared" ref="S34:S65" si="5">$C$13+$C$18*$C$19*($C$3-R34)+4*$C$22/$C$11</f>
        <v>121805.02500000001</v>
      </c>
      <c r="T34">
        <f t="shared" ref="T34:T65" si="6">$C$11*($G$27/S34)^(1/3)</f>
        <v>5.0000000000000001E-3</v>
      </c>
      <c r="U34">
        <f>2*SQRT($G$12*$G$13/(PI()*T34))</f>
        <v>4.2313708659995862E-3</v>
      </c>
      <c r="V34">
        <f>$C$12*$G$18*$C$10*$C$26/($C$4*$C$27*S34)</f>
        <v>1.1242084451326498E-2</v>
      </c>
      <c r="W34">
        <f>6*V34/T34</f>
        <v>13.490501341591798</v>
      </c>
      <c r="X34" s="20">
        <f>J134</f>
        <v>4.0646066001997501E-6</v>
      </c>
      <c r="Y34" s="20">
        <v>0</v>
      </c>
      <c r="Z34" s="20">
        <v>0</v>
      </c>
      <c r="AA34" s="20">
        <v>0</v>
      </c>
      <c r="AB34">
        <f>$G$24*U34*W34*(X34-AA34)</f>
        <v>4.2985413207757145E-3</v>
      </c>
      <c r="AC34">
        <f>X34/$G$10</f>
        <v>0.33783715313377172</v>
      </c>
      <c r="AE34">
        <f>(AE$32-1+$B34)*$G$18</f>
        <v>3.7953874734660289</v>
      </c>
      <c r="AF34">
        <f>R34</f>
        <v>0</v>
      </c>
      <c r="AG34">
        <f t="shared" ref="AG34:AG65" si="7">$C$13+$C$18*$C$19*($C$3-AF34)+4*$C$22/$C$11</f>
        <v>121805.02500000001</v>
      </c>
      <c r="AH34">
        <f t="shared" ref="AH34:AH65" si="8">$C$11*($G$27/AG34)^(1/3)</f>
        <v>5.0000000000000001E-3</v>
      </c>
      <c r="AI34">
        <f>2*SQRT($G$12*$G$13/(PI()*AH34))</f>
        <v>4.2313708659995862E-3</v>
      </c>
      <c r="AJ34">
        <f>$C$12*$G$18*$C$10*$C$26/($C$4*$C$27*AG34)</f>
        <v>1.1242084451326498E-2</v>
      </c>
      <c r="AK34">
        <f>6*AJ34/AH34</f>
        <v>13.490501341591798</v>
      </c>
      <c r="AL34" s="20">
        <f>X134</f>
        <v>3.926288439917679E-6</v>
      </c>
      <c r="AM34" s="20">
        <v>0</v>
      </c>
      <c r="AN34" s="20">
        <v>0</v>
      </c>
      <c r="AO34" s="20">
        <v>0</v>
      </c>
      <c r="AP34">
        <f>$G$24*AI34*AK34*(AL34-AO34)</f>
        <v>4.1522623851077602E-3</v>
      </c>
      <c r="AQ34">
        <f>AL34/$G$10</f>
        <v>0.32634058825241297</v>
      </c>
      <c r="AS34">
        <f>(AS$32-1+$B34)*$G$18</f>
        <v>5.6930812101990433</v>
      </c>
      <c r="AT34">
        <f>AF34</f>
        <v>0</v>
      </c>
      <c r="AU34">
        <f t="shared" ref="AU34:AU65" si="9">$C$13+$C$18*$C$19*($C$3-AT34)+4*$C$22/$C$11</f>
        <v>121805.02500000001</v>
      </c>
      <c r="AV34">
        <f t="shared" ref="AV34:AV65" si="10">$C$11*($G$27/AU34)^(1/3)</f>
        <v>5.0000000000000001E-3</v>
      </c>
      <c r="AW34">
        <f>2*SQRT($G$12*$G$13/(PI()*AV34))</f>
        <v>4.2313708659995862E-3</v>
      </c>
      <c r="AX34">
        <f>$C$12*$G$18*$C$10*$C$26/($C$4*$C$27*AU34)</f>
        <v>1.1242084451326498E-2</v>
      </c>
      <c r="AY34">
        <f>6*AX34/AV34</f>
        <v>13.490501341591798</v>
      </c>
      <c r="AZ34" s="20">
        <f>AL134</f>
        <v>3.7954375243582918E-6</v>
      </c>
      <c r="BA34" s="20">
        <v>0</v>
      </c>
      <c r="BB34" s="20">
        <v>0</v>
      </c>
      <c r="BC34" s="20">
        <v>0</v>
      </c>
      <c r="BD34">
        <f>$G$24*AW34*AY34*(AZ34-BC34)</f>
        <v>4.0138804646124978E-3</v>
      </c>
      <c r="BE34">
        <f>AZ34/$G$10</f>
        <v>0.31546467696610087</v>
      </c>
      <c r="BG34">
        <f>(BG$32-1+$B34)*$G$18</f>
        <v>7.5907749469320578</v>
      </c>
      <c r="BH34">
        <f>AT34</f>
        <v>0</v>
      </c>
      <c r="BI34">
        <f t="shared" ref="BI34:BI65" si="11">$C$13+$C$18*$C$19*($C$3-BH34)+4*$C$22/$C$11</f>
        <v>121805.02500000001</v>
      </c>
      <c r="BJ34">
        <f t="shared" ref="BJ34:BJ65" si="12">$C$11*($G$27/BI34)^(1/3)</f>
        <v>5.0000000000000001E-3</v>
      </c>
      <c r="BK34">
        <f>2*SQRT($G$12*$G$13/(PI()*BJ34))</f>
        <v>4.2313708659995862E-3</v>
      </c>
      <c r="BL34">
        <f>$C$12*$G$18*$C$10*$C$26/($C$4*$C$27*BI34)</f>
        <v>1.1242084451326498E-2</v>
      </c>
      <c r="BM34">
        <f>6*BL34/BJ34</f>
        <v>13.490501341591798</v>
      </c>
      <c r="BN34" s="20">
        <f>AZ134</f>
        <v>3.6715481180815449E-6</v>
      </c>
      <c r="BO34" s="20">
        <v>0</v>
      </c>
      <c r="BP34" s="20">
        <v>0</v>
      </c>
      <c r="BQ34" s="20">
        <v>0</v>
      </c>
      <c r="BR34">
        <f>$G$24*BK34*BM34*(BN34-BQ34)</f>
        <v>3.8828607167085325E-3</v>
      </c>
      <c r="BS34">
        <f>BN34/$G$10</f>
        <v>0.30516738415603839</v>
      </c>
      <c r="BU34">
        <f>(BU$32-1+$B34)*$G$18</f>
        <v>9.4884686836650722</v>
      </c>
      <c r="BV34">
        <f>BH34</f>
        <v>0</v>
      </c>
      <c r="BW34">
        <f t="shared" ref="BW34:BW65" si="13">$C$13+$C$18*$C$19*($C$3-BV34)+4*$C$22/$C$11</f>
        <v>121805.02500000001</v>
      </c>
      <c r="BX34">
        <f t="shared" ref="BX34:BX65" si="14">$C$11*($G$27/BW34)^(1/3)</f>
        <v>5.0000000000000001E-3</v>
      </c>
      <c r="BY34">
        <f>2*SQRT($G$12*$G$13/(PI()*BX34))</f>
        <v>4.2313708659995862E-3</v>
      </c>
      <c r="BZ34">
        <f>$C$12*$G$18*$C$10*$C$26/($C$4*$C$27*BW34)</f>
        <v>1.1242084451326498E-2</v>
      </c>
      <c r="CA34">
        <f>6*BZ34/BX34</f>
        <v>13.490501341591798</v>
      </c>
      <c r="CB34" s="20">
        <f>BN134</f>
        <v>3.554153964643159E-6</v>
      </c>
      <c r="CC34" s="20">
        <v>0</v>
      </c>
      <c r="CD34" s="20">
        <v>0</v>
      </c>
      <c r="CE34" s="20">
        <v>0</v>
      </c>
      <c r="CF34">
        <f>$G$24*BY34*CA34*(CB34-CE34)</f>
        <v>3.7587100499877758E-3</v>
      </c>
      <c r="CG34">
        <f>CB34/$G$10</f>
        <v>0.2954099560717991</v>
      </c>
      <c r="CI34">
        <f>(CI$32-1+$B34)*$G$18</f>
        <v>11.386162420398087</v>
      </c>
      <c r="CJ34">
        <f>BV34</f>
        <v>0</v>
      </c>
      <c r="CK34">
        <f t="shared" ref="CK34:CK65" si="15">$C$13+$C$18*$C$19*($C$3-CJ34)+4*$C$22/$C$11</f>
        <v>121805.02500000001</v>
      </c>
      <c r="CL34">
        <f t="shared" ref="CL34:CL65" si="16">$C$11*($G$27/CK34)^(1/3)</f>
        <v>5.0000000000000001E-3</v>
      </c>
      <c r="CM34">
        <f>2*SQRT($G$12*$G$13/(PI()*CL34))</f>
        <v>4.2313708659995862E-3</v>
      </c>
      <c r="CN34">
        <f>$C$12*$G$18*$C$10*$C$26/($C$4*$C$27*CK34)</f>
        <v>1.1242084451326498E-2</v>
      </c>
      <c r="CO34">
        <f>6*CN34/CL34</f>
        <v>13.490501341591798</v>
      </c>
      <c r="CP34" s="20">
        <f>CB134</f>
        <v>3.4428248836992338E-6</v>
      </c>
      <c r="CQ34" s="20">
        <v>0</v>
      </c>
      <c r="CR34" s="20">
        <v>0</v>
      </c>
      <c r="CS34" s="20">
        <v>0</v>
      </c>
      <c r="CT34">
        <f>$G$24*CM34*CO34*(CP34-CS34)</f>
        <v>3.640973525469529E-3</v>
      </c>
      <c r="CU34">
        <f>CP34/$G$10</f>
        <v>0.28615663749350262</v>
      </c>
      <c r="CW34">
        <f>(CW$32-1+$B34)*$G$18</f>
        <v>13.283856157131101</v>
      </c>
      <c r="CX34">
        <f>CJ34</f>
        <v>0</v>
      </c>
      <c r="CY34">
        <f t="shared" ref="CY34:CY65" si="17">$C$13+$C$18*$C$19*($C$3-CX34)+4*$C$22/$C$11</f>
        <v>121805.02500000001</v>
      </c>
      <c r="CZ34">
        <f t="shared" ref="CZ34:CZ65" si="18">$C$11*($G$27/CY34)^(1/3)</f>
        <v>5.0000000000000001E-3</v>
      </c>
      <c r="DA34">
        <f>2*SQRT($G$12*$G$13/(PI()*CZ34))</f>
        <v>4.2313708659995862E-3</v>
      </c>
      <c r="DB34">
        <f>$C$12*$G$18*$C$10*$C$26/($C$4*$C$27*CY34)</f>
        <v>1.1242084451326498E-2</v>
      </c>
      <c r="DC34">
        <f>6*DB34/CZ34</f>
        <v>13.490501341591798</v>
      </c>
      <c r="DD34" s="20">
        <f>CP134</f>
        <v>3.3371636834675093E-6</v>
      </c>
      <c r="DE34" s="20">
        <v>0</v>
      </c>
      <c r="DF34" s="20">
        <v>0</v>
      </c>
      <c r="DG34" s="20">
        <v>0</v>
      </c>
      <c r="DH34">
        <f>$G$24*DA34*DC34*(DD34-DG34)</f>
        <v>3.5292310913612678E-3</v>
      </c>
      <c r="DI34">
        <f>DD34/$G$10</f>
        <v>0.27737441510542965</v>
      </c>
      <c r="DK34">
        <f>(DK$32-1+$B34)*$G$18</f>
        <v>15.181549893864116</v>
      </c>
      <c r="DL34">
        <f>CX34</f>
        <v>0</v>
      </c>
      <c r="DM34">
        <f t="shared" ref="DM34:DM65" si="19">$C$13+$C$18*$C$19*($C$3-DL34)+4*$C$22/$C$11</f>
        <v>121805.02500000001</v>
      </c>
      <c r="DN34">
        <f t="shared" ref="DN34:DN65" si="20">$C$11*($G$27/DM34)^(1/3)</f>
        <v>5.0000000000000001E-3</v>
      </c>
      <c r="DO34">
        <f>2*SQRT($G$12*$G$13/(PI()*DN34))</f>
        <v>4.2313708659995862E-3</v>
      </c>
      <c r="DP34">
        <f>$C$12*$G$18*$C$10*$C$26/($C$4*$C$27*DM34)</f>
        <v>1.1242084451326498E-2</v>
      </c>
      <c r="DQ34">
        <f>6*DP34/DN34</f>
        <v>13.490501341591798</v>
      </c>
      <c r="DR34" s="20">
        <f>DD134</f>
        <v>3.2368033577140537E-6</v>
      </c>
      <c r="DS34" s="20">
        <v>0</v>
      </c>
      <c r="DT34" s="20">
        <v>0</v>
      </c>
      <c r="DU34" s="20">
        <v>0</v>
      </c>
      <c r="DV34">
        <f>$G$24*DO34*DQ34*(DR34-DU34)</f>
        <v>3.4230946187204618E-3</v>
      </c>
      <c r="DW34">
        <f>DR34/$G$10</f>
        <v>0.2690327845184845</v>
      </c>
      <c r="DY34">
        <f>(DY$32-1+$B34)*$G$18</f>
        <v>17.07924363059713</v>
      </c>
      <c r="DZ34">
        <f>DL34</f>
        <v>0</v>
      </c>
      <c r="EA34">
        <f t="shared" ref="EA34:EA65" si="21">$C$13+$C$18*$C$19*($C$3-DZ34)+4*$C$22/$C$11</f>
        <v>121805.02500000001</v>
      </c>
      <c r="EB34">
        <f t="shared" ref="EB34:EB65" si="22">$C$11*($G$27/EA34)^(1/3)</f>
        <v>5.0000000000000001E-3</v>
      </c>
      <c r="EC34">
        <f>2*SQRT($G$12*$G$13/(PI()*EB34))</f>
        <v>4.2313708659995862E-3</v>
      </c>
      <c r="ED34">
        <f>$C$12*$G$18*$C$10*$C$26/($C$4*$C$27*EA34)</f>
        <v>1.1242084451326498E-2</v>
      </c>
      <c r="EE34">
        <f>6*ED34/EB34</f>
        <v>13.490501341591798</v>
      </c>
      <c r="EF34" s="20">
        <f>DR134</f>
        <v>3.1414045395672679E-6</v>
      </c>
      <c r="EG34" s="20">
        <v>0</v>
      </c>
      <c r="EH34" s="20">
        <v>0</v>
      </c>
      <c r="EI34" s="20">
        <v>0</v>
      </c>
      <c r="EJ34">
        <f>$G$24*EC34*EE34*(EF34-EI34)</f>
        <v>3.3222052087251686E-3</v>
      </c>
      <c r="EK34">
        <f>EF34/$G$10</f>
        <v>0.26110353863932545</v>
      </c>
      <c r="EM34">
        <f>(EM$32-1+$B34)*$G$18</f>
        <v>18.976937367330144</v>
      </c>
      <c r="EN34">
        <f>DZ34</f>
        <v>0</v>
      </c>
      <c r="EO34">
        <f t="shared" ref="EO34:EO65" si="23">$C$13+$C$18*$C$19*($C$3-EN34)+4*$C$22/$C$11</f>
        <v>121805.02500000001</v>
      </c>
      <c r="EP34">
        <f t="shared" ref="EP34:EP65" si="24">$C$11*($G$27/EO34)^(1/3)</f>
        <v>5.0000000000000001E-3</v>
      </c>
      <c r="EQ34">
        <f>2*SQRT($G$12*$G$13/(PI()*EP34))</f>
        <v>4.2313708659995862E-3</v>
      </c>
      <c r="ER34">
        <f>$C$12*$G$18*$C$10*$C$26/($C$4*$C$27*EO34)</f>
        <v>1.1242084451326498E-2</v>
      </c>
      <c r="ES34">
        <f>6*ER34/EP34</f>
        <v>13.490501341591798</v>
      </c>
      <c r="ET34" s="20">
        <f>EF134</f>
        <v>3.0506531872673477E-6</v>
      </c>
      <c r="EU34" s="20">
        <v>0</v>
      </c>
      <c r="EV34" s="20">
        <v>0</v>
      </c>
      <c r="EW34" s="20">
        <v>0</v>
      </c>
      <c r="EX34">
        <f>$G$24*EQ34*ES34*(ET34-EW34)</f>
        <v>3.2262307452289203E-3</v>
      </c>
      <c r="EY34">
        <f>ET34/$G$10</f>
        <v>0.2535605753172322</v>
      </c>
      <c r="FA34">
        <f>(FA$32-1+$B34)*$G$18</f>
        <v>20.874631104063159</v>
      </c>
      <c r="FB34">
        <f>EN34</f>
        <v>0</v>
      </c>
      <c r="FC34">
        <f t="shared" ref="FC34:FC65" si="25">$C$13+$C$18*$C$19*($C$3-FB34)+4*$C$22/$C$11</f>
        <v>121805.02500000001</v>
      </c>
      <c r="FD34">
        <f t="shared" ref="FD34:FD65" si="26">$C$11*($G$27/FC34)^(1/3)</f>
        <v>5.0000000000000001E-3</v>
      </c>
      <c r="FE34">
        <f>2*SQRT($G$12*$G$13/(PI()*FD34))</f>
        <v>4.2313708659995862E-3</v>
      </c>
      <c r="FF34">
        <f>$C$12*$G$18*$C$10*$C$26/($C$4*$C$27*FC34)</f>
        <v>1.1242084451326498E-2</v>
      </c>
      <c r="FG34">
        <f>6*FF34/FD34</f>
        <v>13.490501341591798</v>
      </c>
      <c r="FH34" s="20">
        <f>ET134</f>
        <v>2.9642584794732606E-6</v>
      </c>
      <c r="FI34" s="20">
        <v>0</v>
      </c>
      <c r="FJ34" s="20">
        <v>0</v>
      </c>
      <c r="FK34" s="20">
        <v>0</v>
      </c>
      <c r="FL34">
        <f>$G$24*FE34*FG34*(FH34-FK34)</f>
        <v>3.1348636689340148E-3</v>
      </c>
      <c r="FM34">
        <f>FH34/$G$10</f>
        <v>0.24637972240872585</v>
      </c>
      <c r="FO34">
        <f>(FO$32-1+$B34)*$G$18</f>
        <v>22.772324840796173</v>
      </c>
      <c r="FP34">
        <f>FB34</f>
        <v>0</v>
      </c>
      <c r="FQ34">
        <f t="shared" ref="FQ34:FQ65" si="27">$C$13+$C$18*$C$19*($C$3-FP34)+4*$C$22/$C$11</f>
        <v>121805.02500000001</v>
      </c>
      <c r="FR34">
        <f t="shared" ref="FR34:FR65" si="28">$C$11*($G$27/FQ34)^(1/3)</f>
        <v>5.0000000000000001E-3</v>
      </c>
      <c r="FS34">
        <f>2*SQRT($G$12*$G$13/(PI()*FR34))</f>
        <v>4.2313708659995862E-3</v>
      </c>
      <c r="FT34">
        <f>$C$12*$G$18*$C$10*$C$26/($C$4*$C$27*FQ34)</f>
        <v>1.1242084451326498E-2</v>
      </c>
      <c r="FU34">
        <f>6*FT34/FR34</f>
        <v>13.490501341591798</v>
      </c>
      <c r="FV34" s="20">
        <f>FH134</f>
        <v>2.8819509000020759E-6</v>
      </c>
      <c r="FW34" s="20">
        <v>0</v>
      </c>
      <c r="FX34" s="20">
        <v>0</v>
      </c>
      <c r="FY34" s="20">
        <v>0</v>
      </c>
      <c r="FZ34">
        <f>$G$24*FS34*FU34*(FV34-FY34)</f>
        <v>3.0478189518997681E-3</v>
      </c>
      <c r="GA34">
        <f>FV34/$G$10</f>
        <v>0.2395385785872032</v>
      </c>
      <c r="GC34">
        <f>(GC$32-1+$B34)*$G$18</f>
        <v>24.670018577529188</v>
      </c>
      <c r="GD34">
        <f>FP34</f>
        <v>0</v>
      </c>
      <c r="GE34">
        <f t="shared" ref="GE34:GE65" si="29">$C$13+$C$18*$C$19*($C$3-GD34)+4*$C$22/$C$11</f>
        <v>121805.02500000001</v>
      </c>
      <c r="GF34">
        <f t="shared" ref="GF34:GF65" si="30">$C$11*($G$27/GE34)^(1/3)</f>
        <v>5.0000000000000001E-3</v>
      </c>
      <c r="GG34">
        <f>2*SQRT($G$12*$G$13/(PI()*GF34))</f>
        <v>4.2313708659995862E-3</v>
      </c>
      <c r="GH34">
        <f>$C$12*$G$18*$C$10*$C$26/($C$4*$C$27*GE34)</f>
        <v>1.1242084451326498E-2</v>
      </c>
      <c r="GI34">
        <f>6*GH34/GF34</f>
        <v>13.490501341591798</v>
      </c>
      <c r="GJ34" s="20">
        <f>FV134</f>
        <v>2.8034804938944695E-6</v>
      </c>
      <c r="GK34" s="20">
        <v>0</v>
      </c>
      <c r="GL34" s="20">
        <v>0</v>
      </c>
      <c r="GM34" s="20">
        <v>0</v>
      </c>
      <c r="GN34">
        <f>$G$24*GG34*GI34*(GJ34-GM34)</f>
        <v>2.964832253237462E-3</v>
      </c>
      <c r="GO34">
        <f>GJ34/$G$10</f>
        <v>0.23301636839265646</v>
      </c>
      <c r="GQ34">
        <f>(GQ$32-1+$B34)*$G$18</f>
        <v>26.567712314262202</v>
      </c>
      <c r="GR34">
        <f>GD34</f>
        <v>0</v>
      </c>
      <c r="GS34">
        <f t="shared" ref="GS34:GS65" si="31">$C$13+$C$18*$C$19*($C$3-GR34)+4*$C$22/$C$11</f>
        <v>121805.02500000001</v>
      </c>
      <c r="GT34">
        <f t="shared" ref="GT34:GT65" si="32">$C$11*($G$27/GS34)^(1/3)</f>
        <v>5.0000000000000001E-3</v>
      </c>
      <c r="GU34">
        <f>2*SQRT($G$12*$G$13/(PI()*GT34))</f>
        <v>4.2313708659995862E-3</v>
      </c>
      <c r="GV34">
        <f>$C$12*$G$18*$C$10*$C$26/($C$4*$C$27*GS34)</f>
        <v>1.1242084451326498E-2</v>
      </c>
      <c r="GW34">
        <f>6*GV34/GT34</f>
        <v>13.490501341591798</v>
      </c>
      <c r="GX34" s="20">
        <f>GJ134</f>
        <v>2.7286152785103786E-6</v>
      </c>
      <c r="GY34" s="20">
        <v>0</v>
      </c>
      <c r="GZ34" s="20">
        <v>0</v>
      </c>
      <c r="HA34" s="20">
        <v>0</v>
      </c>
      <c r="HB34">
        <f>$G$24*GU34*GW34*(GX34-HA34)</f>
        <v>2.8856582387580599E-3</v>
      </c>
      <c r="HC34">
        <f>GX34/$G$10</f>
        <v>0.22679381016700556</v>
      </c>
      <c r="HE34">
        <f>(HE$32-1+$B34)*$G$18</f>
        <v>28.465406050995217</v>
      </c>
      <c r="HF34">
        <f>GR34</f>
        <v>0</v>
      </c>
      <c r="HG34">
        <f t="shared" ref="HG34:HG97" si="33">$C$13+$C$18*$C$19*($C$3-HF34)+4*$C$22/$C$11</f>
        <v>121805.02500000001</v>
      </c>
      <c r="HH34">
        <f t="shared" ref="HH34:HH97" si="34">$C$11*($G$27/HG34)^(1/3)</f>
        <v>5.0000000000000001E-3</v>
      </c>
      <c r="HI34">
        <f>2*SQRT($G$12*$G$13/(PI()*HH34))</f>
        <v>4.2313708659995862E-3</v>
      </c>
      <c r="HJ34">
        <f>$C$12*$G$18*$C$10*$C$26/($C$4*$C$27*HG34)</f>
        <v>1.1242084451326498E-2</v>
      </c>
      <c r="HK34">
        <f>6*HJ34/HH34</f>
        <v>13.490501341591798</v>
      </c>
      <c r="HL34" s="20">
        <f>GX134</f>
        <v>2.6571397949819844E-6</v>
      </c>
      <c r="HM34" s="20">
        <v>0</v>
      </c>
      <c r="HN34" s="20">
        <v>0</v>
      </c>
      <c r="HO34" s="20">
        <v>0</v>
      </c>
      <c r="HP34">
        <f>$G$24*HI34*HK34*(HL34-HO34)</f>
        <v>2.8100690490553892E-3</v>
      </c>
      <c r="HQ34">
        <f>HL34/$G$10</f>
        <v>0.22085299565548414</v>
      </c>
      <c r="HS34">
        <f>(HS$32-1+$B34)*$G$18</f>
        <v>30.363099787728231</v>
      </c>
      <c r="HT34">
        <f>HF34</f>
        <v>0</v>
      </c>
      <c r="HU34">
        <f t="shared" ref="HU34:HU97" si="35">$C$13+$C$18*$C$19*($C$3-HT34)+4*$C$22/$C$11</f>
        <v>121805.02500000001</v>
      </c>
      <c r="HV34">
        <f t="shared" ref="HV34:HV97" si="36">$C$11*($G$27/HU34)^(1/3)</f>
        <v>5.0000000000000001E-3</v>
      </c>
      <c r="HW34">
        <f>2*SQRT($G$12*$G$13/(PI()*HV34))</f>
        <v>4.2313708659995862E-3</v>
      </c>
      <c r="HX34">
        <f>$C$12*$G$18*$C$10*$C$26/($C$4*$C$27*HU34)</f>
        <v>1.1242084451326498E-2</v>
      </c>
      <c r="HY34">
        <f>6*HX34/HV34</f>
        <v>13.490501341591798</v>
      </c>
      <c r="HZ34" s="20">
        <f>HL134</f>
        <v>2.588853786807184E-6</v>
      </c>
      <c r="IA34" s="20">
        <v>0</v>
      </c>
      <c r="IB34" s="20">
        <v>0</v>
      </c>
      <c r="IC34" s="20">
        <v>0</v>
      </c>
      <c r="ID34">
        <f>$G$24*HW34*HY34*(HZ34-IC34)</f>
        <v>2.7378529020472674E-3</v>
      </c>
      <c r="IE34">
        <f>HZ34/$G$10</f>
        <v>0.21517728017553822</v>
      </c>
      <c r="IG34">
        <f>(IG$32-1+$B34)*$G$18</f>
        <v>32.260793524461249</v>
      </c>
      <c r="IH34">
        <f>HT34</f>
        <v>0</v>
      </c>
      <c r="II34">
        <f t="shared" ref="II34:II97" si="37">$C$13+$C$18*$C$19*($C$3-IH34)+4*$C$22/$C$11</f>
        <v>121805.02500000001</v>
      </c>
      <c r="IJ34">
        <f t="shared" ref="IJ34:IJ97" si="38">$C$11*($G$27/II34)^(1/3)</f>
        <v>5.0000000000000001E-3</v>
      </c>
      <c r="IK34">
        <f>2*SQRT($G$12*$G$13/(PI()*IJ34))</f>
        <v>4.2313708659995862E-3</v>
      </c>
      <c r="IL34">
        <f>$C$12*$G$18*$C$10*$C$26/($C$4*$C$27*II34)</f>
        <v>1.1242084451326498E-2</v>
      </c>
      <c r="IM34">
        <f>6*IL34/IJ34</f>
        <v>13.490501341591798</v>
      </c>
      <c r="IN34" s="20">
        <f>HZ134</f>
        <v>2.5235709936732205E-6</v>
      </c>
      <c r="IO34" s="20">
        <v>0</v>
      </c>
      <c r="IP34" s="20">
        <v>0</v>
      </c>
      <c r="IQ34" s="20">
        <v>0</v>
      </c>
      <c r="IR34">
        <f>$G$24*IK34*IM34*(IN34-IQ34)</f>
        <v>2.6688128173787524E-3</v>
      </c>
      <c r="IS34">
        <f>IN34/$G$10</f>
        <v>0.2097511823632886</v>
      </c>
      <c r="IU34">
        <f>(IU$32-1+$B34)*$G$18</f>
        <v>34.15848726119426</v>
      </c>
      <c r="IV34">
        <f>IH34</f>
        <v>0</v>
      </c>
      <c r="IW34">
        <f t="shared" ref="IW34:IW97" si="39">$C$13+$C$18*$C$19*($C$3-IV34)+4*$C$22/$C$11</f>
        <v>121805.02500000001</v>
      </c>
      <c r="IX34">
        <f t="shared" ref="IX34:IX97" si="40">$C$11*($G$27/IW34)^(1/3)</f>
        <v>5.0000000000000001E-3</v>
      </c>
      <c r="IY34">
        <f>2*SQRT($G$12*$G$13/(PI()*IX34))</f>
        <v>4.2313708659995862E-3</v>
      </c>
      <c r="IZ34">
        <f>$C$12*$G$18*$C$10*$C$26/($C$4*$C$27*IW34)</f>
        <v>1.1242084451326498E-2</v>
      </c>
      <c r="JA34">
        <f>6*IZ34/IX34</f>
        <v>13.490501341591798</v>
      </c>
      <c r="JB34" s="20">
        <f>IN134</f>
        <v>2.461118049772717E-6</v>
      </c>
      <c r="JC34" s="20">
        <v>0</v>
      </c>
      <c r="JD34" s="20">
        <v>0</v>
      </c>
      <c r="JE34" s="20">
        <v>0</v>
      </c>
      <c r="JF34">
        <f>$G$24*IY34*JA34*(JB34-JE34)</f>
        <v>2.6027654513317631E-3</v>
      </c>
      <c r="JG34">
        <f>JB34/$G$10</f>
        <v>0.20456029260506886</v>
      </c>
      <c r="JI34">
        <f>(JI$32-1+$B34)*$G$18</f>
        <v>36.056180997927271</v>
      </c>
      <c r="JJ34">
        <f>IV34</f>
        <v>0</v>
      </c>
      <c r="JK34">
        <f t="shared" ref="JK34:JK97" si="41">$C$13+$C$18*$C$19*($C$3-JJ34)+4*$C$22/$C$11</f>
        <v>121805.02500000001</v>
      </c>
      <c r="JL34">
        <f t="shared" ref="JL34:JL97" si="42">$C$11*($G$27/JK34)^(1/3)</f>
        <v>5.0000000000000001E-3</v>
      </c>
      <c r="JM34">
        <f>2*SQRT($G$12*$G$13/(PI()*JL34))</f>
        <v>4.2313708659995862E-3</v>
      </c>
      <c r="JN34">
        <f>$C$12*$G$18*$C$10*$C$26/($C$4*$C$27*JK34)</f>
        <v>1.1242084451326498E-2</v>
      </c>
      <c r="JO34">
        <f>6*JN34/JL34</f>
        <v>13.490501341591798</v>
      </c>
      <c r="JP34" s="20">
        <f>JB134</f>
        <v>2.4013334769271632E-6</v>
      </c>
      <c r="JQ34" s="20">
        <v>0</v>
      </c>
      <c r="JR34" s="20">
        <v>0</v>
      </c>
      <c r="JS34" s="20">
        <v>0</v>
      </c>
      <c r="JT34">
        <f>$G$24*JM34*JO34*(JP34-JS34)</f>
        <v>2.5395400319987065E-3</v>
      </c>
      <c r="JU34">
        <f>JP34/$G$10</f>
        <v>0.19959118934905687</v>
      </c>
    </row>
    <row r="35" spans="2:281">
      <c r="B35">
        <v>0.01</v>
      </c>
      <c r="C35">
        <f t="shared" ref="C35:C98" si="43">B35*$G$18</f>
        <v>1.8976937367330145E-2</v>
      </c>
      <c r="D35">
        <f t="shared" ref="D35:D98" si="44">C35*$G$13</f>
        <v>8.0000000000000002E-3</v>
      </c>
      <c r="E35">
        <f t="shared" si="3"/>
        <v>121620.59700000001</v>
      </c>
      <c r="F35">
        <f t="shared" si="4"/>
        <v>5.0025260915163051E-3</v>
      </c>
      <c r="G35">
        <f t="shared" ref="G35:G98" si="45">2*SQRT($G$12*$G$13/(PI()*F35))</f>
        <v>4.2303023878388947E-3</v>
      </c>
      <c r="H35">
        <f t="shared" ref="H35:H98" si="46">$C$12*$G$18*$C$10*$C$26/($C$4*$C$27*E35)</f>
        <v>1.1259132181746609E-2</v>
      </c>
      <c r="I35">
        <f t="shared" ref="I35:I98" si="47">6*H35/F35</f>
        <v>13.50413608137789</v>
      </c>
      <c r="J35">
        <f>J34-N34*(C35-C34)/$G$24</f>
        <v>4.2063794010133927E-6</v>
      </c>
      <c r="K35">
        <f>K34+N34*(C35-C34)/$G$21</f>
        <v>2.3954526777677202E-3</v>
      </c>
      <c r="L35">
        <f t="shared" ref="L35:L66" si="48">K35*E35</f>
        <v>291.33638475535878</v>
      </c>
      <c r="M35">
        <f>$G$10*$G$23*SQRT(L35)</f>
        <v>6.7138003800841427E-7</v>
      </c>
      <c r="N35">
        <f>$G$24*G35*I35*(J35-M35)</f>
        <v>3.7412864828897702E-3</v>
      </c>
      <c r="O35">
        <f t="shared" ref="O35:O98" si="49">J35/$G$10</f>
        <v>0.3496208567316374</v>
      </c>
      <c r="Q35">
        <f t="shared" ref="Q35:Q98" si="50">(Q$32-1+$B35)*$G$18</f>
        <v>1.9166706741003445</v>
      </c>
      <c r="R35">
        <f t="shared" ref="R35:R98" si="51">D35</f>
        <v>8.0000000000000002E-3</v>
      </c>
      <c r="S35">
        <f t="shared" si="5"/>
        <v>121620.59700000001</v>
      </c>
      <c r="T35">
        <f t="shared" si="6"/>
        <v>5.0025260915163051E-3</v>
      </c>
      <c r="U35">
        <f t="shared" ref="U35:U98" si="52">2*SQRT($G$12*$G$13/(PI()*T35))</f>
        <v>4.2303023878388947E-3</v>
      </c>
      <c r="V35">
        <f t="shared" ref="V35:V98" si="53">$C$12*$G$18*$C$10*$C$26/($C$4*$C$27*S35)</f>
        <v>1.1259132181746609E-2</v>
      </c>
      <c r="W35">
        <f t="shared" ref="W35:W98" si="54">6*V35/T35</f>
        <v>13.50413608137789</v>
      </c>
      <c r="X35">
        <f>X34-AB34*(Q35-Q34)/$G$24</f>
        <v>4.0602035481111564E-6</v>
      </c>
      <c r="Y35">
        <f>Y34+AB34*(Q35-Q34)/$G$21</f>
        <v>2.312208323210612E-3</v>
      </c>
      <c r="Z35">
        <f t="shared" ref="Z35:Z66" si="55">Y35*S35</f>
        <v>281.21215665724361</v>
      </c>
      <c r="AA35">
        <f>$G$10*$G$23*SQRT(Z35)</f>
        <v>6.5961132954905821E-7</v>
      </c>
      <c r="AB35">
        <f t="shared" ref="AB35:AB98" si="56">$G$24*U35*W35*(X35-AA35)</f>
        <v>3.5990359246660477E-3</v>
      </c>
      <c r="AC35">
        <f t="shared" ref="AC35:AC98" si="57">X35/$G$10</f>
        <v>0.33747118546973331</v>
      </c>
      <c r="AE35">
        <f t="shared" ref="AE35:AE98" si="58">(AE$32-1+$B35)*$G$18</f>
        <v>3.8143644108333588</v>
      </c>
      <c r="AF35">
        <f t="shared" ref="AF35:AF98" si="59">R35</f>
        <v>8.0000000000000002E-3</v>
      </c>
      <c r="AG35">
        <f t="shared" si="7"/>
        <v>121620.59700000001</v>
      </c>
      <c r="AH35">
        <f t="shared" si="8"/>
        <v>5.0025260915163051E-3</v>
      </c>
      <c r="AI35">
        <f t="shared" ref="AI35:AI98" si="60">2*SQRT($G$12*$G$13/(PI()*AH35))</f>
        <v>4.2303023878388947E-3</v>
      </c>
      <c r="AJ35">
        <f t="shared" ref="AJ35:AJ98" si="61">$C$12*$G$18*$C$10*$C$26/($C$4*$C$27*AG35)</f>
        <v>1.1259132181746609E-2</v>
      </c>
      <c r="AK35">
        <f t="shared" ref="AK35:AK98" si="62">6*AJ35/AH35</f>
        <v>13.50413608137789</v>
      </c>
      <c r="AL35">
        <f>AL34-AP34*(AE35-AE34)/$G$24</f>
        <v>3.9220352232558373E-6</v>
      </c>
      <c r="AM35">
        <f>AM34+AP34*(AE35-AE34)/$G$21</f>
        <v>2.2335241028386393E-3</v>
      </c>
      <c r="AN35">
        <f t="shared" ref="AN35:AN66" si="63">AM35*AG35</f>
        <v>271.64253480112473</v>
      </c>
      <c r="AO35">
        <f>$G$10*$G$23*SQRT(AN35)</f>
        <v>6.4829093385277375E-7</v>
      </c>
      <c r="AP35">
        <f t="shared" ref="AP35:AP98" si="64">$G$24*AI35*AK35*(AL35-AO35)</f>
        <v>3.4647857045070726E-3</v>
      </c>
      <c r="AQ35">
        <f t="shared" ref="AQ35:AQ98" si="65">AL35/$G$10</f>
        <v>0.32598707443175756</v>
      </c>
      <c r="AS35">
        <f t="shared" ref="AS35:AS98" si="66">(AS$32-1+$B35)*$G$18</f>
        <v>5.7120581475663732</v>
      </c>
      <c r="AT35">
        <f t="shared" ref="AT35:AT98" si="67">AF35</f>
        <v>8.0000000000000002E-3</v>
      </c>
      <c r="AU35">
        <f t="shared" si="9"/>
        <v>121620.59700000001</v>
      </c>
      <c r="AV35">
        <f t="shared" si="10"/>
        <v>5.0025260915163051E-3</v>
      </c>
      <c r="AW35">
        <f t="shared" ref="AW35:AW98" si="68">2*SQRT($G$12*$G$13/(PI()*AV35))</f>
        <v>4.2303023878388947E-3</v>
      </c>
      <c r="AX35">
        <f t="shared" ref="AX35:AX98" si="69">$C$12*$G$18*$C$10*$C$26/($C$4*$C$27*AU35)</f>
        <v>1.1259132181746609E-2</v>
      </c>
      <c r="AY35">
        <f t="shared" ref="AY35:AY98" si="70">6*AX35/AV35</f>
        <v>13.50413608137789</v>
      </c>
      <c r="AZ35">
        <f>AZ34-BD34*(AS35-AS34)/$G$24</f>
        <v>3.7913260541072885E-6</v>
      </c>
      <c r="BA35">
        <f>BA34+BD34*(AS35-AS34)/$G$21</f>
        <v>2.1590877290844678E-3</v>
      </c>
      <c r="BB35">
        <f t="shared" ref="BB35:BB66" si="71">BA35*AU35</f>
        <v>262.58953858662727</v>
      </c>
      <c r="BC35">
        <f>$G$10*$G$23*SQRT(BB35)</f>
        <v>6.373966417988747E-7</v>
      </c>
      <c r="BD35">
        <f t="shared" ref="BD35:BD98" si="72">$G$24*AW35*AY35*(AZ35-BC35)</f>
        <v>3.3379789546064843E-3</v>
      </c>
      <c r="BE35">
        <f t="shared" ref="BE35:BE98" si="73">AZ35/$G$10</f>
        <v>0.31512294465559271</v>
      </c>
      <c r="BG35">
        <f t="shared" ref="BG35:BG98" si="74">(BG$32-1+$B35)*$G$18</f>
        <v>7.6097518842993876</v>
      </c>
      <c r="BH35">
        <f t="shared" ref="BH35:BH98" si="75">AT35</f>
        <v>8.0000000000000002E-3</v>
      </c>
      <c r="BI35">
        <f t="shared" si="11"/>
        <v>121620.59700000001</v>
      </c>
      <c r="BJ35">
        <f t="shared" si="12"/>
        <v>5.0025260915163051E-3</v>
      </c>
      <c r="BK35">
        <f t="shared" ref="BK35:BK98" si="76">2*SQRT($G$12*$G$13/(PI()*BJ35))</f>
        <v>4.2303023878388947E-3</v>
      </c>
      <c r="BL35">
        <f t="shared" ref="BL35:BL98" si="77">$C$12*$G$18*$C$10*$C$26/($C$4*$C$27*BI35)</f>
        <v>1.1259132181746609E-2</v>
      </c>
      <c r="BM35">
        <f t="shared" ref="BM35:BM98" si="78">6*BL35/BJ35</f>
        <v>13.50413608137789</v>
      </c>
      <c r="BN35">
        <f>BN34-BR34*(BG35-BG34)/$G$24</f>
        <v>3.6675708530717165E-6</v>
      </c>
      <c r="BO35">
        <f>BO34+BR34*(BG35-BG34)/$G$21</f>
        <v>2.088611507268405E-3</v>
      </c>
      <c r="BP35">
        <f t="shared" ref="BP35:BP66" si="79">BO35*BI35</f>
        <v>254.01817841505328</v>
      </c>
      <c r="BQ35">
        <f>$G$10*$G$23*SQRT(BP35)</f>
        <v>6.2690749148901843E-7</v>
      </c>
      <c r="BR35">
        <f t="shared" ref="BR35:BR98" si="80">$G$24*BK35*BM35*(BN35-BQ35)</f>
        <v>3.2181031919726252E-3</v>
      </c>
      <c r="BS35">
        <f t="shared" ref="BS35:BS98" si="81">BN35/$G$10</f>
        <v>0.30483680655767675</v>
      </c>
      <c r="BU35">
        <f t="shared" ref="BU35:BU98" si="82">(BU$32-1+$B35)*$G$18</f>
        <v>9.5074456210324012</v>
      </c>
      <c r="BV35">
        <f t="shared" ref="BV35:BV98" si="83">BH35</f>
        <v>8.0000000000000002E-3</v>
      </c>
      <c r="BW35">
        <f t="shared" si="13"/>
        <v>121620.59700000001</v>
      </c>
      <c r="BX35">
        <f t="shared" si="14"/>
        <v>5.0025260915163051E-3</v>
      </c>
      <c r="BY35">
        <f t="shared" ref="BY35:BY98" si="84">2*SQRT($G$12*$G$13/(PI()*BX35))</f>
        <v>4.2303023878388947E-3</v>
      </c>
      <c r="BZ35">
        <f t="shared" ref="BZ35:BZ98" si="85">$C$12*$G$18*$C$10*$C$26/($C$4*$C$27*BW35)</f>
        <v>1.1259132181746609E-2</v>
      </c>
      <c r="CA35">
        <f t="shared" ref="CA35:CA98" si="86">6*BZ35/BX35</f>
        <v>13.50413608137789</v>
      </c>
      <c r="CB35">
        <f>CB34-CF34*(BU35-BU34)/$G$24</f>
        <v>3.5503038687848203E-6</v>
      </c>
      <c r="CC35">
        <f>CC34+CF34*(BU35-BU34)/$G$21</f>
        <v>2.0218302008896912E-3</v>
      </c>
      <c r="CD35">
        <f t="shared" ref="CD35:CD66" si="87">CC35*BW35</f>
        <v>245.89619606483419</v>
      </c>
      <c r="CE35">
        <f>$G$10*$G$23*SQRT(CD35)</f>
        <v>6.1680369423274445E-7</v>
      </c>
      <c r="CF35">
        <f>$G$24*BY35*CA35*(CB35-CE35)</f>
        <v>3.1046864294982349E-3</v>
      </c>
      <c r="CG35">
        <f t="shared" ref="CG35:CG98" si="88">CB35/$G$10</f>
        <v>0.29508994836822222</v>
      </c>
      <c r="CI35">
        <f t="shared" ref="CI35:CI98" si="89">(CI$32-1+$B35)*$G$18</f>
        <v>11.405139357765416</v>
      </c>
      <c r="CJ35">
        <f t="shared" ref="CJ35:CJ98" si="90">BV35</f>
        <v>8.0000000000000002E-3</v>
      </c>
      <c r="CK35">
        <f t="shared" si="15"/>
        <v>121620.59700000001</v>
      </c>
      <c r="CL35">
        <f t="shared" si="16"/>
        <v>5.0025260915163051E-3</v>
      </c>
      <c r="CM35">
        <f t="shared" ref="CM35:CM98" si="91">2*SQRT($G$12*$G$13/(PI()*CL35))</f>
        <v>4.2303023878388947E-3</v>
      </c>
      <c r="CN35">
        <f t="shared" ref="CN35:CN98" si="92">$C$12*$G$18*$C$10*$C$26/($C$4*$C$27*CK35)</f>
        <v>1.1259132181746609E-2</v>
      </c>
      <c r="CO35">
        <f t="shared" ref="CO35:CO98" si="93">6*CN35/CL35</f>
        <v>13.50413608137789</v>
      </c>
      <c r="CP35">
        <f>CP34-CT34*(CI35-CI34)/$G$24</f>
        <v>3.439095386902646E-6</v>
      </c>
      <c r="CQ35">
        <f>CQ34+CT34*(CI35-CI34)/$G$21</f>
        <v>1.9584990958422151E-3</v>
      </c>
      <c r="CR35">
        <f t="shared" ref="CR35:CR66" si="94">CQ35*CK35</f>
        <v>238.19382926029044</v>
      </c>
      <c r="CS35">
        <f>$G$10*$G$23*SQRT(CR35)</f>
        <v>6.0706656492141528E-7</v>
      </c>
      <c r="CT35">
        <f t="shared" ref="CT35:CT98" si="95">$G$24*CM35*CO35*(CP35-CS35)</f>
        <v>2.9972936520774401E-3</v>
      </c>
      <c r="CU35">
        <f t="shared" ref="CU35:CU98" si="96">CP35/$G$10</f>
        <v>0.28584665359977995</v>
      </c>
      <c r="CW35">
        <f t="shared" ref="CW35:CW98" si="97">(CW$32-1+$B35)*$G$18</f>
        <v>13.30283309449843</v>
      </c>
      <c r="CX35">
        <f t="shared" ref="CX35:CX98" si="98">CJ35</f>
        <v>8.0000000000000002E-3</v>
      </c>
      <c r="CY35">
        <f t="shared" si="17"/>
        <v>121620.59700000001</v>
      </c>
      <c r="CZ35">
        <f t="shared" si="18"/>
        <v>5.0025260915163051E-3</v>
      </c>
      <c r="DA35">
        <f t="shared" ref="DA35:DA98" si="99">2*SQRT($G$12*$G$13/(PI()*CZ35))</f>
        <v>4.2303023878388947E-3</v>
      </c>
      <c r="DB35">
        <f t="shared" ref="DB35:DB98" si="100">$C$12*$G$18*$C$10*$C$26/($C$4*$C$27*CY35)</f>
        <v>1.1259132181746609E-2</v>
      </c>
      <c r="DC35">
        <f t="shared" ref="DC35:DC98" si="101">6*DB35/CZ35</f>
        <v>13.50413608137789</v>
      </c>
      <c r="DD35">
        <f>DD34-DH34*(CW35-CW34)/$G$24</f>
        <v>3.3335486459074786E-6</v>
      </c>
      <c r="DE35">
        <f>DE34+DH34*(CW35-CW34)/$G$21</f>
        <v>1.8983922440243303E-3</v>
      </c>
      <c r="DF35">
        <f t="shared" ref="DF35:DF66" si="102">DE35*CY35</f>
        <v>230.88359805840875</v>
      </c>
      <c r="DG35">
        <f>$G$10*$G$23*SQRT(DF35)</f>
        <v>5.9767845654713818E-7</v>
      </c>
      <c r="DH35">
        <f t="shared" ref="DH35:DH98" si="103">$G$24*DA35*DC35*(DD35-DG35)</f>
        <v>2.8955236217338186E-3</v>
      </c>
      <c r="DI35">
        <f t="shared" ref="DI35:DI98" si="104">DD35/$G$10</f>
        <v>0.277073944698849</v>
      </c>
      <c r="DK35">
        <f t="shared" ref="DK35:DK98" si="105">(DK$32-1+$B35)*$G$18</f>
        <v>15.200526831231445</v>
      </c>
      <c r="DL35">
        <f t="shared" ref="DL35:DL98" si="106">CX35</f>
        <v>8.0000000000000002E-3</v>
      </c>
      <c r="DM35">
        <f t="shared" si="19"/>
        <v>121620.59700000001</v>
      </c>
      <c r="DN35">
        <f t="shared" si="20"/>
        <v>5.0025260915163051E-3</v>
      </c>
      <c r="DO35">
        <f t="shared" ref="DO35:DO98" si="107">2*SQRT($G$12*$G$13/(PI()*DN35))</f>
        <v>4.2303023878388947E-3</v>
      </c>
      <c r="DP35">
        <f t="shared" ref="DP35:DP98" si="108">$C$12*$G$18*$C$10*$C$26/($C$4*$C$27*DM35)</f>
        <v>1.1259132181746609E-2</v>
      </c>
      <c r="DQ35">
        <f t="shared" ref="DQ35:DQ98" si="109">6*DP35/DN35</f>
        <v>13.50413608137789</v>
      </c>
      <c r="DR35">
        <f>DR34-DV34*(DK35-DK34)/$G$24</f>
        <v>3.2332970371309375E-6</v>
      </c>
      <c r="DS35">
        <f>DS34+DV34*(DK35-DK34)/$G$21</f>
        <v>1.8413008688059141E-3</v>
      </c>
      <c r="DT35">
        <f t="shared" ref="DT35:DT66" si="110">DS35*DM35</f>
        <v>223.94011092079396</v>
      </c>
      <c r="DU35">
        <f>$G$10*$G$23*SQRT(DT35)</f>
        <v>5.8862269863497489E-7</v>
      </c>
      <c r="DV35">
        <f t="shared" ref="DV35:DV98" si="111">$G$24*DO35*DQ35*(DR35-DU35)</f>
        <v>2.7990059794096925E-3</v>
      </c>
      <c r="DW35">
        <f t="shared" ref="DW35:DW98" si="112">DR35/$G$10</f>
        <v>0.26874135032071589</v>
      </c>
      <c r="DY35">
        <f t="shared" ref="DY35:DY98" si="113">(DY$32-1+$B35)*$G$18</f>
        <v>17.098220567964461</v>
      </c>
      <c r="DZ35">
        <f t="shared" ref="DZ35:DZ98" si="114">DL35</f>
        <v>8.0000000000000002E-3</v>
      </c>
      <c r="EA35">
        <f t="shared" si="21"/>
        <v>121620.59700000001</v>
      </c>
      <c r="EB35">
        <f t="shared" si="22"/>
        <v>5.0025260915163051E-3</v>
      </c>
      <c r="EC35">
        <f t="shared" ref="EC35:EC98" si="115">2*SQRT($G$12*$G$13/(PI()*EB35))</f>
        <v>4.2303023878388947E-3</v>
      </c>
      <c r="ED35">
        <f t="shared" ref="ED35:ED98" si="116">$C$12*$G$18*$C$10*$C$26/($C$4*$C$27*EA35)</f>
        <v>1.1259132181746609E-2</v>
      </c>
      <c r="EE35">
        <f t="shared" ref="EE35:EE98" si="117">6*ED35/EB35</f>
        <v>13.50413608137789</v>
      </c>
      <c r="EF35">
        <f>EF34-EJ34*(DY35-DY34)/$G$24</f>
        <v>3.1380015613261804E-6</v>
      </c>
      <c r="EG35">
        <f>EG34+EJ34*(DY35-DY34)/$G$21</f>
        <v>1.7870319165949129E-3</v>
      </c>
      <c r="EH35">
        <f t="shared" ref="EH35:EH66" si="118">EG35*EA35</f>
        <v>217.33988855432753</v>
      </c>
      <c r="EI35">
        <f>$G$10*$G$23*SQRT(EH35)</f>
        <v>5.7988353936718534E-7</v>
      </c>
      <c r="EJ35">
        <f t="shared" ref="EJ35:EJ98" si="119">$G$24*EC35*EE35*(EF35-EI35)</f>
        <v>2.7073986143681312E-3</v>
      </c>
      <c r="EK35">
        <f t="shared" ref="EK35:EK98" si="120">EF35/$G$10</f>
        <v>0.26082069392783763</v>
      </c>
      <c r="EM35">
        <f t="shared" ref="EM35:EM98" si="121">(EM$32-1+$B35)*$G$18</f>
        <v>18.995914304697475</v>
      </c>
      <c r="EN35">
        <f t="shared" ref="EN35:EN98" si="122">DZ35</f>
        <v>8.0000000000000002E-3</v>
      </c>
      <c r="EO35">
        <f t="shared" si="23"/>
        <v>121620.59700000001</v>
      </c>
      <c r="EP35">
        <f t="shared" si="24"/>
        <v>5.0025260915163051E-3</v>
      </c>
      <c r="EQ35">
        <f t="shared" ref="EQ35:EQ98" si="123">2*SQRT($G$12*$G$13/(PI()*EP35))</f>
        <v>4.2303023878388947E-3</v>
      </c>
      <c r="ER35">
        <f t="shared" ref="ER35:ER98" si="124">$C$12*$G$18*$C$10*$C$26/($C$4*$C$27*EO35)</f>
        <v>1.1259132181746609E-2</v>
      </c>
      <c r="ES35">
        <f t="shared" ref="ES35:ES98" si="125">6*ER35/EP35</f>
        <v>13.50413608137789</v>
      </c>
      <c r="ET35">
        <f>ET34-EX34*(EM35-EM34)/$G$24</f>
        <v>3.0473485169243152E-6</v>
      </c>
      <c r="EU35">
        <f>EU34+EX34*(EM35-EM34)/$G$21</f>
        <v>1.7354067403428767E-3</v>
      </c>
      <c r="EV35">
        <f t="shared" ref="EV35:EV66" si="126">EU35*EO35</f>
        <v>211.06120379832467</v>
      </c>
      <c r="EW35">
        <f>$G$10*$G$23*SQRT(EV35)</f>
        <v>5.7144609118898285E-7</v>
      </c>
      <c r="EX35">
        <f t="shared" ref="EX35:EX98" si="127">$G$24*EQ35*ES35*(ET35-EW35)</f>
        <v>2.620385275114559E-3</v>
      </c>
      <c r="EY35">
        <f t="shared" ref="EY35:EY98" si="128">ET35/$G$10</f>
        <v>0.2532859016450788</v>
      </c>
      <c r="FA35">
        <f t="shared" ref="FA35:FA98" si="129">(FA$32-1+$B35)*$G$18</f>
        <v>20.89360804143049</v>
      </c>
      <c r="FB35">
        <f t="shared" ref="FB35:FB98" si="130">EN35</f>
        <v>8.0000000000000002E-3</v>
      </c>
      <c r="FC35">
        <f t="shared" si="25"/>
        <v>121620.59700000001</v>
      </c>
      <c r="FD35">
        <f t="shared" si="26"/>
        <v>5.0025260915163051E-3</v>
      </c>
      <c r="FE35">
        <f t="shared" ref="FE35:FE98" si="131">2*SQRT($G$12*$G$13/(PI()*FD35))</f>
        <v>4.2303023878388947E-3</v>
      </c>
      <c r="FF35">
        <f t="shared" ref="FF35:FF98" si="132">$C$12*$G$18*$C$10*$C$26/($C$4*$C$27*FC35)</f>
        <v>1.1259132181746609E-2</v>
      </c>
      <c r="FG35">
        <f t="shared" ref="FG35:FG98" si="133">6*FF35/FD35</f>
        <v>13.50413608137789</v>
      </c>
      <c r="FH35">
        <f>FH34-FL34*(FA35-FA34)/$G$24</f>
        <v>2.9610473976213207E-6</v>
      </c>
      <c r="FI35">
        <f>FI34+FL34*(FA35-FA34)/$G$21</f>
        <v>1.6862599022619104E-3</v>
      </c>
      <c r="FJ35">
        <f t="shared" ref="FJ35:FJ66" si="134">FI35*FC35</f>
        <v>205.0839360102552</v>
      </c>
      <c r="FK35">
        <f>$G$10*$G$23*SQRT(FJ35)</f>
        <v>5.6329627969602012E-7</v>
      </c>
      <c r="FL35">
        <f t="shared" ref="FL35:FL98" si="135">$G$24*FE35*FG35*(FH35-FK35)</f>
        <v>2.5376733983912543E-3</v>
      </c>
      <c r="FM35">
        <f t="shared" ref="FM35:FM98" si="136">FH35/$G$10</f>
        <v>0.24611282751383354</v>
      </c>
      <c r="FO35">
        <f t="shared" ref="FO35:FO98" si="137">(FO$32-1+$B35)*$G$18</f>
        <v>22.791301778163504</v>
      </c>
      <c r="FP35">
        <f t="shared" ref="FP35:FP98" si="138">FB35</f>
        <v>8.0000000000000002E-3</v>
      </c>
      <c r="FQ35">
        <f t="shared" si="27"/>
        <v>121620.59700000001</v>
      </c>
      <c r="FR35">
        <f t="shared" si="28"/>
        <v>5.0025260915163051E-3</v>
      </c>
      <c r="FS35">
        <f t="shared" ref="FS35:FS98" si="139">2*SQRT($G$12*$G$13/(PI()*FR35))</f>
        <v>4.2303023878388947E-3</v>
      </c>
      <c r="FT35">
        <f t="shared" ref="FT35:FT98" si="140">$C$12*$G$18*$C$10*$C$26/($C$4*$C$27*FQ35)</f>
        <v>1.1259132181746609E-2</v>
      </c>
      <c r="FU35">
        <f t="shared" ref="FU35:FU98" si="141">6*FT35/FR35</f>
        <v>13.50413608137789</v>
      </c>
      <c r="FV35">
        <f>FV34-FZ34*(FO35-FO34)/$G$24</f>
        <v>2.8788289791921122E-6</v>
      </c>
      <c r="FW35">
        <f>FW34+FZ34*(FO35-FO34)/$G$21</f>
        <v>1.6394380843011644E-3</v>
      </c>
      <c r="FX35">
        <f t="shared" ref="FX35:FX66" si="142">FW35*FQ35</f>
        <v>199.38943855724395</v>
      </c>
      <c r="FY35">
        <f>$G$10*$G$23*SQRT(FX35)</f>
        <v>5.554207956128537E-7</v>
      </c>
      <c r="FZ35">
        <f t="shared" ref="FZ35:FZ98" si="143">$G$24*FS35*FU35*(FV35-FY35)</f>
        <v>2.4589921351700996E-3</v>
      </c>
      <c r="GA35">
        <f t="shared" ref="GA35:GA98" si="144">FV35/$G$10</f>
        <v>0.23927909447410467</v>
      </c>
      <c r="GC35">
        <f t="shared" ref="GC35:GC98" si="145">(GC$32-1+$B35)*$G$18</f>
        <v>24.688995514896519</v>
      </c>
      <c r="GD35">
        <f t="shared" ref="GD35:GD98" si="146">FP35</f>
        <v>8.0000000000000002E-3</v>
      </c>
      <c r="GE35">
        <f t="shared" si="29"/>
        <v>121620.59700000001</v>
      </c>
      <c r="GF35">
        <f t="shared" si="30"/>
        <v>5.0025260915163051E-3</v>
      </c>
      <c r="GG35">
        <f t="shared" ref="GG35:GG98" si="147">2*SQRT($G$12*$G$13/(PI()*GF35))</f>
        <v>4.2303023878388947E-3</v>
      </c>
      <c r="GH35">
        <f t="shared" ref="GH35:GH98" si="148">$C$12*$G$18*$C$10*$C$26/($C$4*$C$27*GE35)</f>
        <v>1.1259132181746609E-2</v>
      </c>
      <c r="GI35">
        <f t="shared" ref="GI35:GI98" si="149">6*GH35/GF35</f>
        <v>13.50413608137789</v>
      </c>
      <c r="GJ35">
        <f>GJ34-GN34*(GC35-GC34)/$G$24</f>
        <v>2.8004435774451953E-6</v>
      </c>
      <c r="GK35">
        <f>GK34+GN34*(GC35-GC34)/$G$21</f>
        <v>1.5947990960854749E-3</v>
      </c>
      <c r="GL35">
        <f t="shared" ref="GL35:GL66" si="150">GK35*GE35</f>
        <v>193.96041816097585</v>
      </c>
      <c r="GM35">
        <f>$G$10*$G$23*SQRT(GL35)</f>
        <v>5.4780704968221317E-7</v>
      </c>
      <c r="GN35">
        <f t="shared" ref="GN35:GN98" si="151">$G$24*GG35*GI35*(GJ35-GM35)</f>
        <v>2.3840905546922788E-3</v>
      </c>
      <c r="GO35">
        <f t="shared" ref="GO35:GO98" si="152">GJ35/$G$10</f>
        <v>0.23276394957124397</v>
      </c>
      <c r="GQ35">
        <f t="shared" ref="GQ35:GQ98" si="153">(GQ$32-1+$B35)*$G$18</f>
        <v>26.586689251629533</v>
      </c>
      <c r="GR35">
        <f t="shared" ref="GR35:GR98" si="154">GD35</f>
        <v>8.0000000000000002E-3</v>
      </c>
      <c r="GS35">
        <f t="shared" si="31"/>
        <v>121620.59700000001</v>
      </c>
      <c r="GT35">
        <f t="shared" si="32"/>
        <v>5.0025260915163051E-3</v>
      </c>
      <c r="GU35">
        <f t="shared" ref="GU35:GU98" si="155">2*SQRT($G$12*$G$13/(PI()*GT35))</f>
        <v>4.2303023878388947E-3</v>
      </c>
      <c r="GV35">
        <f t="shared" ref="GV35:GV98" si="156">$C$12*$G$18*$C$10*$C$26/($C$4*$C$27*GS35)</f>
        <v>1.1259132181746609E-2</v>
      </c>
      <c r="GW35">
        <f t="shared" ref="GW35:GW98" si="157">6*GV35/GT35</f>
        <v>13.50413608137789</v>
      </c>
      <c r="GX35">
        <f>GX34-HB34*(GQ35-GQ34)/$G$24</f>
        <v>2.7256594610395258E-6</v>
      </c>
      <c r="GY35">
        <f>GY34+HB34*(GQ35-GQ34)/$G$21</f>
        <v>1.5522109710448993E-3</v>
      </c>
      <c r="GZ35">
        <f t="shared" ref="GZ35:GZ66" si="158">GY35*GS35</f>
        <v>188.78082496843038</v>
      </c>
      <c r="HA35">
        <f>$G$10*$G$23*SQRT(GZ35)</f>
        <v>5.4044313029363658E-7</v>
      </c>
      <c r="HB35">
        <f t="shared" ref="HB35:HB98" si="159">$G$24*GU35*GW35*(GX35-HA35)</f>
        <v>2.3127360095080342E-3</v>
      </c>
      <c r="HC35">
        <f t="shared" ref="HC35:HC98" si="160">GX35/$G$10</f>
        <v>0.22654813203434523</v>
      </c>
      <c r="HE35">
        <f t="shared" ref="HE35:HE98" si="161">(HE$32-1+$B35)*$G$18</f>
        <v>28.484382988362547</v>
      </c>
      <c r="HF35">
        <f t="shared" ref="HF35:HF98" si="162">GR35</f>
        <v>8.0000000000000002E-3</v>
      </c>
      <c r="HG35">
        <f t="shared" si="33"/>
        <v>121620.59700000001</v>
      </c>
      <c r="HH35">
        <f t="shared" si="34"/>
        <v>5.0025260915163051E-3</v>
      </c>
      <c r="HI35">
        <f t="shared" ref="HI35:HI98" si="163">2*SQRT($G$12*$G$13/(PI()*HH35))</f>
        <v>4.2303023878388947E-3</v>
      </c>
      <c r="HJ35">
        <f t="shared" ref="HJ35:HJ98" si="164">$C$12*$G$18*$C$10*$C$26/($C$4*$C$27*HG35)</f>
        <v>1.1259132181746609E-2</v>
      </c>
      <c r="HK35">
        <f t="shared" ref="HK35:HK98" si="165">6*HJ35/HH35</f>
        <v>13.50413608137789</v>
      </c>
      <c r="HL35">
        <f>HL34-HP34*(HE35-HE34)/$G$24</f>
        <v>2.6542614045066535E-6</v>
      </c>
      <c r="HM35">
        <f>HM34+HP34*(HE35-HE34)/$G$21</f>
        <v>1.5115511423884826E-3</v>
      </c>
      <c r="HN35">
        <f t="shared" ref="HN35:HN98" si="166">HM35*HG35</f>
        <v>183.83575233331928</v>
      </c>
      <c r="HO35">
        <f>$G$10*$G$23*SQRT(HN35)</f>
        <v>5.3331776368919185E-7</v>
      </c>
      <c r="HP35">
        <f t="shared" ref="HP35:HP98" si="167">$G$24*HI35*HK35*(HL35-HO35)</f>
        <v>2.2447126461760014E-3</v>
      </c>
      <c r="HQ35">
        <f t="shared" ref="HQ35:HQ98" si="168">HL35/$G$10</f>
        <v>0.22061375300805414</v>
      </c>
      <c r="HS35">
        <f t="shared" ref="HS35:HS98" si="169">(HS$32-1+$B35)*$G$18</f>
        <v>30.382076725095565</v>
      </c>
      <c r="HT35">
        <f t="shared" ref="HT35:HT98" si="170">HF35</f>
        <v>8.0000000000000002E-3</v>
      </c>
      <c r="HU35">
        <f t="shared" si="35"/>
        <v>121620.59700000001</v>
      </c>
      <c r="HV35">
        <f t="shared" si="36"/>
        <v>5.0025260915163051E-3</v>
      </c>
      <c r="HW35">
        <f t="shared" ref="HW35:HW98" si="171">2*SQRT($G$12*$G$13/(PI()*HV35))</f>
        <v>4.2303023878388947E-3</v>
      </c>
      <c r="HX35">
        <f t="shared" ref="HX35:HX98" si="172">$C$12*$G$18*$C$10*$C$26/($C$4*$C$27*HU35)</f>
        <v>1.1259132181746609E-2</v>
      </c>
      <c r="HY35">
        <f t="shared" ref="HY35:HY98" si="173">6*HX35/HV35</f>
        <v>13.50413608137789</v>
      </c>
      <c r="HZ35">
        <f>HZ34-ID34*(HS35-HS34)/$G$24</f>
        <v>2.5860493682756324E-6</v>
      </c>
      <c r="IA35">
        <f>IA34+ID34*(HS35-HS34)/$G$21</f>
        <v>1.4727056914039455E-3</v>
      </c>
      <c r="IB35">
        <f t="shared" ref="IB35:IB98" si="174">IA35*HU35</f>
        <v>179.11134539384562</v>
      </c>
      <c r="IC35">
        <f>$G$10*$G$23*SQRT(IB35)</f>
        <v>5.2642027659265256E-7</v>
      </c>
      <c r="ID35">
        <f t="shared" ref="ID35:ID98" si="175">$G$24*HW35*HY35*(HZ35-IC35)</f>
        <v>2.1798200478117639E-3</v>
      </c>
      <c r="IE35">
        <f t="shared" ref="IE35:IE98" si="176">HZ35/$G$10</f>
        <v>0.21494418584044356</v>
      </c>
      <c r="IG35">
        <f t="shared" ref="IG35:IG98" si="177">(IG$32-1+$B35)*$G$18</f>
        <v>32.279770461828576</v>
      </c>
      <c r="IH35">
        <f t="shared" ref="IH35:IH98" si="178">HT35</f>
        <v>8.0000000000000002E-3</v>
      </c>
      <c r="II35">
        <f t="shared" si="37"/>
        <v>121620.59700000001</v>
      </c>
      <c r="IJ35">
        <f t="shared" si="38"/>
        <v>5.0025260915163051E-3</v>
      </c>
      <c r="IK35">
        <f t="shared" ref="IK35:IK98" si="179">2*SQRT($G$12*$G$13/(PI()*IJ35))</f>
        <v>4.2303023878388947E-3</v>
      </c>
      <c r="IL35">
        <f t="shared" ref="IL35:IL98" si="180">$C$12*$G$18*$C$10*$C$26/($C$4*$C$27*II35)</f>
        <v>1.1259132181746609E-2</v>
      </c>
      <c r="IM35">
        <f t="shared" ref="IM35:IM98" si="181">6*IL35/IJ35</f>
        <v>13.50413608137789</v>
      </c>
      <c r="IN35">
        <f>IN34-IR34*(IG35-IG34)/$G$24</f>
        <v>2.5208372938032601E-6</v>
      </c>
      <c r="IO35">
        <f>IO34+IR34*(IG35-IG34)/$G$21</f>
        <v>1.4355686613057343E-3</v>
      </c>
      <c r="IP35">
        <f t="shared" ref="IP35:IP98" si="182">IO35*II35</f>
        <v>174.59471762249422</v>
      </c>
      <c r="IQ35">
        <f>$G$10*$G$23*SQRT(IP35)</f>
        <v>5.1974056111636119E-7</v>
      </c>
      <c r="IR35">
        <f t="shared" ref="IR35:IR98" si="183">$G$24*IK35*IM35*(IN35-IQ35)</f>
        <v>2.1178719960481744E-3</v>
      </c>
      <c r="IS35">
        <f t="shared" ref="IS35:IS98" si="184">IN35/$G$10</f>
        <v>0.20952396593807684</v>
      </c>
      <c r="IU35">
        <f t="shared" ref="IU35:IU98" si="185">(IU$32-1+$B35)*$G$18</f>
        <v>34.177464198561594</v>
      </c>
      <c r="IV35">
        <f t="shared" ref="IV35:IV98" si="186">IH35</f>
        <v>8.0000000000000002E-3</v>
      </c>
      <c r="IW35">
        <f t="shared" si="39"/>
        <v>121620.59700000001</v>
      </c>
      <c r="IX35">
        <f t="shared" si="40"/>
        <v>5.0025260915163051E-3</v>
      </c>
      <c r="IY35">
        <f t="shared" ref="IY35:IY98" si="187">2*SQRT($G$12*$G$13/(PI()*IX35))</f>
        <v>4.2303023878388947E-3</v>
      </c>
      <c r="IZ35">
        <f t="shared" ref="IZ35:IZ98" si="188">$C$12*$G$18*$C$10*$C$26/($C$4*$C$27*IW35)</f>
        <v>1.1259132181746609E-2</v>
      </c>
      <c r="JA35">
        <f t="shared" ref="JA35:JA98" si="189">6*IZ35/IX35</f>
        <v>13.50413608137789</v>
      </c>
      <c r="JB35">
        <f>JB34-JF34*(IU35-IU34)/$G$24</f>
        <v>2.458452003083525E-6</v>
      </c>
      <c r="JC35">
        <f>JC34+JF34*(IU35-IU34)/$G$21</f>
        <v>1.4000414305310512E-3</v>
      </c>
      <c r="JD35">
        <f t="shared" ref="JD35:JD98" si="190">JC35*IW35</f>
        <v>170.2738746059205</v>
      </c>
      <c r="JE35">
        <f>$G$10*$G$23*SQRT(JD35)</f>
        <v>5.1326904180978727E-7</v>
      </c>
      <c r="JF35">
        <f t="shared" ref="JF35:JF98" si="191">$G$24*IY35*JA35*(JB35-JE35)</f>
        <v>2.058695341199325E-3</v>
      </c>
      <c r="JG35">
        <f t="shared" ref="JG35:JG98" si="192">JB35/$G$10</f>
        <v>0.20433869929673884</v>
      </c>
      <c r="JI35">
        <f t="shared" ref="JI35:JI98" si="193">(JI$32-1+$B35)*$G$18</f>
        <v>36.075157935294605</v>
      </c>
      <c r="JJ35">
        <f t="shared" ref="JJ35:JJ98" si="194">IV35</f>
        <v>8.0000000000000002E-3</v>
      </c>
      <c r="JK35">
        <f t="shared" si="41"/>
        <v>121620.59700000001</v>
      </c>
      <c r="JL35">
        <f t="shared" si="42"/>
        <v>5.0025260915163051E-3</v>
      </c>
      <c r="JM35">
        <f t="shared" ref="JM35:JM98" si="195">2*SQRT($G$12*$G$13/(PI()*JL35))</f>
        <v>4.2303023878388947E-3</v>
      </c>
      <c r="JN35">
        <f t="shared" ref="JN35:JN98" si="196">$C$12*$G$18*$C$10*$C$26/($C$4*$C$27*JK35)</f>
        <v>1.1259132181746609E-2</v>
      </c>
      <c r="JO35">
        <f t="shared" ref="JO35:JO98" si="197">6*JN35/JL35</f>
        <v>13.50413608137789</v>
      </c>
      <c r="JP35">
        <f>JP34-JT34*(JI35-JI34)/$G$24</f>
        <v>2.3987321928618178E-6</v>
      </c>
      <c r="JQ35">
        <f>JQ34+JT34*(JI35-JI34)/$G$21</f>
        <v>1.366032139957563E-3</v>
      </c>
      <c r="JR35">
        <f t="shared" ref="JR35:JR98" si="198">JQ35*JK35</f>
        <v>166.13764438282638</v>
      </c>
      <c r="JS35">
        <f>$G$10*$G$23*SQRT(JR35)</f>
        <v>5.0699664471695736E-7</v>
      </c>
      <c r="JT35">
        <f t="shared" ref="JT35:JT98" si="199">$G$24*JM35*JO35*(JP35-JS35)</f>
        <v>2.0021289705297379E-3</v>
      </c>
      <c r="JU35">
        <f t="shared" ref="JU35:JU98" si="200">JP35/$G$10</f>
        <v>0.19937497890372488</v>
      </c>
    </row>
    <row r="36" spans="2:281">
      <c r="B36">
        <v>0.02</v>
      </c>
      <c r="C36">
        <f t="shared" si="43"/>
        <v>3.7953874734660289E-2</v>
      </c>
      <c r="D36">
        <f t="shared" si="44"/>
        <v>1.6E-2</v>
      </c>
      <c r="E36">
        <f t="shared" si="3"/>
        <v>121436.16900000001</v>
      </c>
      <c r="F36">
        <f t="shared" si="4"/>
        <v>5.0050572956929704E-3</v>
      </c>
      <c r="G36">
        <f t="shared" si="45"/>
        <v>4.22923255860525E-3</v>
      </c>
      <c r="H36">
        <f t="shared" si="46"/>
        <v>1.1276231693754562E-2</v>
      </c>
      <c r="I36">
        <f t="shared" si="47"/>
        <v>13.517805324775992</v>
      </c>
      <c r="J36">
        <f>J35-N35*(C36-C35)/$G$24</f>
        <v>4.2025471523426874E-6</v>
      </c>
      <c r="K36">
        <f t="shared" ref="K36:K99" si="201">K35+N35*(C36-C35)/$G$21</f>
        <v>4.4079106489038492E-3</v>
      </c>
      <c r="L36">
        <f t="shared" si="48"/>
        <v>535.27978249718751</v>
      </c>
      <c r="M36">
        <f t="shared" ref="M36:M99" si="202">$G$10*$G$23*SQRT(L36)</f>
        <v>9.100420942169174E-7</v>
      </c>
      <c r="N36">
        <f t="shared" ref="N36:N99" si="203">$G$24*G36*I36*(J36-M36)</f>
        <v>3.4872863696362444E-3</v>
      </c>
      <c r="O36">
        <f t="shared" si="49"/>
        <v>0.34930233242944586</v>
      </c>
      <c r="Q36">
        <f t="shared" si="50"/>
        <v>1.9356476114676748</v>
      </c>
      <c r="R36">
        <f t="shared" si="51"/>
        <v>1.6E-2</v>
      </c>
      <c r="S36">
        <f t="shared" si="5"/>
        <v>121436.16900000001</v>
      </c>
      <c r="T36">
        <f t="shared" si="6"/>
        <v>5.0050572956929704E-3</v>
      </c>
      <c r="U36">
        <f t="shared" si="52"/>
        <v>4.22923255860525E-3</v>
      </c>
      <c r="V36">
        <f t="shared" si="53"/>
        <v>1.1276231693754562E-2</v>
      </c>
      <c r="W36">
        <f t="shared" si="54"/>
        <v>13.517805324775992</v>
      </c>
      <c r="X36">
        <f>X35-AB35*(Q36-Q35)/$G$24</f>
        <v>4.0565170085475059E-6</v>
      </c>
      <c r="Y36">
        <f t="shared" ref="Y36:Y99" si="204">Y35+AB35*(Q36-Q35)/$G$21</f>
        <v>4.2481489597066217E-3</v>
      </c>
      <c r="Z36">
        <f t="shared" si="55"/>
        <v>515.87893500810753</v>
      </c>
      <c r="AA36">
        <f t="shared" ref="AA36:AA99" si="205">$G$10*$G$23*SQRT(Z36)</f>
        <v>8.9339796374042328E-7</v>
      </c>
      <c r="AB36">
        <f t="shared" si="56"/>
        <v>3.3502460089679213E-3</v>
      </c>
      <c r="AC36">
        <f t="shared" si="57"/>
        <v>0.33716477204437562</v>
      </c>
      <c r="AE36">
        <f t="shared" si="58"/>
        <v>3.8333413482006891</v>
      </c>
      <c r="AF36">
        <f t="shared" si="59"/>
        <v>1.6E-2</v>
      </c>
      <c r="AG36">
        <f t="shared" si="7"/>
        <v>121436.16900000001</v>
      </c>
      <c r="AH36">
        <f t="shared" si="8"/>
        <v>5.0050572956929704E-3</v>
      </c>
      <c r="AI36">
        <f t="shared" si="60"/>
        <v>4.22923255860525E-3</v>
      </c>
      <c r="AJ36">
        <f t="shared" si="61"/>
        <v>1.1276231693754562E-2</v>
      </c>
      <c r="AK36">
        <f t="shared" si="62"/>
        <v>13.517805324775992</v>
      </c>
      <c r="AL36">
        <f>AL35-AP35*(AE36-AE35)/$G$24</f>
        <v>3.9184861979483386E-6</v>
      </c>
      <c r="AM36">
        <f t="shared" ref="AM36:AM99" si="206">AM35+AP35*(AE36-AE35)/$G$21</f>
        <v>4.0972508292474877E-3</v>
      </c>
      <c r="AN36">
        <f t="shared" si="63"/>
        <v>497.5544441358881</v>
      </c>
      <c r="AO36">
        <f t="shared" ref="AO36:AO99" si="207">$G$10*$G$23*SQRT(AN36)</f>
        <v>8.7738734451778711E-7</v>
      </c>
      <c r="AP36">
        <f t="shared" si="64"/>
        <v>3.2210072249127175E-3</v>
      </c>
      <c r="AQ36">
        <f t="shared" si="65"/>
        <v>0.32569209075333067</v>
      </c>
      <c r="AS36">
        <f t="shared" si="66"/>
        <v>5.7310350849337039</v>
      </c>
      <c r="AT36">
        <f t="shared" si="67"/>
        <v>1.6E-2</v>
      </c>
      <c r="AU36">
        <f t="shared" si="9"/>
        <v>121436.16900000001</v>
      </c>
      <c r="AV36">
        <f t="shared" si="10"/>
        <v>5.0050572956929704E-3</v>
      </c>
      <c r="AW36">
        <f t="shared" si="68"/>
        <v>4.22923255860525E-3</v>
      </c>
      <c r="AX36">
        <f t="shared" si="69"/>
        <v>1.1276231693754562E-2</v>
      </c>
      <c r="AY36">
        <f t="shared" si="70"/>
        <v>13.517805324775992</v>
      </c>
      <c r="AZ36">
        <f>AZ35-BD35*(AS36-AS35)/$G$24</f>
        <v>3.7879069186120153E-6</v>
      </c>
      <c r="BA36">
        <f t="shared" ref="BA36:BA99" si="208">BA35+BD35*(AS36-AS35)/$G$21</f>
        <v>3.9546044277934227E-3</v>
      </c>
      <c r="BB36">
        <f t="shared" si="71"/>
        <v>480.23201162167038</v>
      </c>
      <c r="BC36">
        <f t="shared" ref="BC36:BC99" si="209">$G$10*$G$23*SQRT(BB36)</f>
        <v>8.6197885834938005E-7</v>
      </c>
      <c r="BD36">
        <f t="shared" si="72"/>
        <v>3.0990230426246892E-3</v>
      </c>
      <c r="BE36">
        <f t="shared" si="73"/>
        <v>0.31483875700460451</v>
      </c>
      <c r="BG36">
        <f t="shared" si="74"/>
        <v>7.6287288216667175</v>
      </c>
      <c r="BH36">
        <f t="shared" si="75"/>
        <v>1.6E-2</v>
      </c>
      <c r="BI36">
        <f t="shared" si="11"/>
        <v>121436.16900000001</v>
      </c>
      <c r="BJ36">
        <f t="shared" si="12"/>
        <v>5.0050572956929704E-3</v>
      </c>
      <c r="BK36">
        <f t="shared" si="76"/>
        <v>4.22923255860525E-3</v>
      </c>
      <c r="BL36">
        <f t="shared" si="77"/>
        <v>1.1276231693754562E-2</v>
      </c>
      <c r="BM36">
        <f t="shared" si="78"/>
        <v>13.517805324775992</v>
      </c>
      <c r="BN36">
        <f>BN35-BR35*(BG36-BG35)/$G$24</f>
        <v>3.664274507887772E-6</v>
      </c>
      <c r="BO36">
        <f t="shared" ref="BO36:BO99" si="210">BO35+BR35*(BG36-BG35)/$G$21</f>
        <v>3.8196463933275826E-3</v>
      </c>
      <c r="BP36">
        <f t="shared" si="79"/>
        <v>463.84322494036883</v>
      </c>
      <c r="BQ36">
        <f t="shared" ref="BQ36:BQ99" si="211">$G$10*$G$23*SQRT(BP36)</f>
        <v>8.4714288911445379E-7</v>
      </c>
      <c r="BR36">
        <f t="shared" si="80"/>
        <v>2.9837903122954621E-3</v>
      </c>
      <c r="BS36">
        <f t="shared" si="81"/>
        <v>0.30456282484622765</v>
      </c>
      <c r="BU36">
        <f t="shared" si="82"/>
        <v>9.526422558399732</v>
      </c>
      <c r="BV36">
        <f t="shared" si="83"/>
        <v>1.6E-2</v>
      </c>
      <c r="BW36">
        <f t="shared" si="13"/>
        <v>121436.16900000001</v>
      </c>
      <c r="BX36">
        <f t="shared" si="14"/>
        <v>5.0050572956929704E-3</v>
      </c>
      <c r="BY36">
        <f t="shared" si="84"/>
        <v>4.22923255860525E-3</v>
      </c>
      <c r="BZ36">
        <f t="shared" si="85"/>
        <v>1.1276231693754562E-2</v>
      </c>
      <c r="CA36">
        <f t="shared" si="86"/>
        <v>13.517805324775992</v>
      </c>
      <c r="CB36">
        <f>CB35-CF35*(BU36-BU35)/$G$24</f>
        <v>3.5471236978738739E-6</v>
      </c>
      <c r="CC36">
        <f>CC35+CF35*(BU36-BU35)/$G$21</f>
        <v>3.6918576049649052E-3</v>
      </c>
      <c r="CD36">
        <f t="shared" si="87"/>
        <v>448.32504404045352</v>
      </c>
      <c r="CE36">
        <f>$G$10*$G$23*SQRT(CD36)</f>
        <v>8.3285147819609094E-7</v>
      </c>
      <c r="CF36">
        <f t="shared" ref="CF36:CF98" si="212">$G$24*BY36*CA36*(CB36-CE36)</f>
        <v>2.8748458538596041E-3</v>
      </c>
      <c r="CG36">
        <f t="shared" si="88"/>
        <v>0.29482562269228102</v>
      </c>
      <c r="CI36">
        <f t="shared" si="89"/>
        <v>11.424116295132746</v>
      </c>
      <c r="CJ36">
        <f t="shared" si="90"/>
        <v>1.6E-2</v>
      </c>
      <c r="CK36">
        <f t="shared" si="15"/>
        <v>121436.16900000001</v>
      </c>
      <c r="CL36">
        <f t="shared" si="16"/>
        <v>5.0050572956929704E-3</v>
      </c>
      <c r="CM36">
        <f t="shared" si="91"/>
        <v>4.22923255860525E-3</v>
      </c>
      <c r="CN36">
        <f t="shared" si="92"/>
        <v>1.1276231693754562E-2</v>
      </c>
      <c r="CO36">
        <f t="shared" si="93"/>
        <v>13.517805324775992</v>
      </c>
      <c r="CP36">
        <f>CP35-CT35*(CI36-CI35)/$G$24</f>
        <v>3.4360252198180296E-6</v>
      </c>
      <c r="CQ36">
        <f t="shared" ref="CQ36:CQ99" si="213">CQ35+CT35*(CI36-CI35)/$G$21</f>
        <v>3.5707593516513597E-3</v>
      </c>
      <c r="CR36">
        <f t="shared" si="94"/>
        <v>433.61933608546497</v>
      </c>
      <c r="CS36">
        <f t="shared" ref="CS36:CS99" si="214">$G$10*$G$23*SQRT(CR36)</f>
        <v>8.1907822610734525E-7</v>
      </c>
      <c r="CT36">
        <f t="shared" si="95"/>
        <v>2.7717629647083177E-3</v>
      </c>
      <c r="CU36">
        <f t="shared" si="96"/>
        <v>0.28559147109147498</v>
      </c>
      <c r="CW36">
        <f t="shared" si="97"/>
        <v>13.321810031865761</v>
      </c>
      <c r="CX36">
        <f t="shared" si="98"/>
        <v>1.6E-2</v>
      </c>
      <c r="CY36">
        <f t="shared" si="17"/>
        <v>121436.16900000001</v>
      </c>
      <c r="CZ36">
        <f t="shared" si="18"/>
        <v>5.0050572956929704E-3</v>
      </c>
      <c r="DA36">
        <f t="shared" si="99"/>
        <v>4.22923255860525E-3</v>
      </c>
      <c r="DB36">
        <f t="shared" si="100"/>
        <v>1.1276231693754562E-2</v>
      </c>
      <c r="DC36">
        <f t="shared" si="101"/>
        <v>13.517805324775992</v>
      </c>
      <c r="DD36">
        <f>DD35-DH35*(CW36-CW35)/$G$24</f>
        <v>3.3305827231958302E-6</v>
      </c>
      <c r="DE36">
        <f t="shared" ref="DE36:DE99" si="215">DE35+DH35*(CW36-CW35)/$G$21</f>
        <v>3.4559098572359481E-3</v>
      </c>
      <c r="DF36">
        <f t="shared" si="102"/>
        <v>419.67245347207052</v>
      </c>
      <c r="DG36">
        <f t="shared" ref="DG36:DG99" si="216">$G$10*$G$23*SQRT(DF36)</f>
        <v>8.0579819997503297E-7</v>
      </c>
      <c r="DH36">
        <f t="shared" si="103"/>
        <v>2.6741482544930086E-3</v>
      </c>
      <c r="DI36">
        <f t="shared" si="104"/>
        <v>0.27682742665076315</v>
      </c>
      <c r="DK36">
        <f t="shared" si="105"/>
        <v>15.219503768598775</v>
      </c>
      <c r="DL36">
        <f t="shared" si="106"/>
        <v>1.6E-2</v>
      </c>
      <c r="DM36">
        <f t="shared" si="19"/>
        <v>121436.16900000001</v>
      </c>
      <c r="DN36">
        <f t="shared" si="20"/>
        <v>5.0050572956929704E-3</v>
      </c>
      <c r="DO36">
        <f t="shared" si="107"/>
        <v>4.22923255860525E-3</v>
      </c>
      <c r="DP36">
        <f t="shared" si="108"/>
        <v>1.1276231693754562E-2</v>
      </c>
      <c r="DQ36">
        <f t="shared" si="109"/>
        <v>13.517805324775992</v>
      </c>
      <c r="DR36">
        <f>DR35-DV35*(DK36-DK35)/$G$24</f>
        <v>3.2304299787025208E-6</v>
      </c>
      <c r="DS36">
        <f t="shared" ref="DS36:DS99" si="217">DS35+DV35*(DK36-DK35)/$G$21</f>
        <v>3.3469011269743462E-3</v>
      </c>
      <c r="DT36">
        <f t="shared" si="110"/>
        <v>406.43485088154722</v>
      </c>
      <c r="DU36">
        <f t="shared" ref="DU36:DU99" si="218">$G$10*$G$23*SQRT(DT36)</f>
        <v>7.9298784655311625E-7</v>
      </c>
      <c r="DV36">
        <f t="shared" si="111"/>
        <v>2.5816387747815057E-3</v>
      </c>
      <c r="DW36">
        <f t="shared" si="112"/>
        <v>0.26850304955692811</v>
      </c>
      <c r="DY36">
        <f t="shared" si="113"/>
        <v>17.117197505331788</v>
      </c>
      <c r="DZ36">
        <f t="shared" si="114"/>
        <v>1.6E-2</v>
      </c>
      <c r="EA36">
        <f t="shared" si="21"/>
        <v>121436.16900000001</v>
      </c>
      <c r="EB36">
        <f t="shared" si="22"/>
        <v>5.0050572956929704E-3</v>
      </c>
      <c r="EC36">
        <f t="shared" si="115"/>
        <v>4.22923255860525E-3</v>
      </c>
      <c r="ED36">
        <f t="shared" si="116"/>
        <v>1.1276231693754562E-2</v>
      </c>
      <c r="EE36">
        <f t="shared" si="117"/>
        <v>13.517805324775992</v>
      </c>
      <c r="EF36">
        <f>EF35-EJ35*(DY36-DY35)/$G$24</f>
        <v>3.1352283375197621E-6</v>
      </c>
      <c r="EG36">
        <f t="shared" ref="EG36:EG99" si="219">EG35+EJ35*(DY36-DY35)/$G$21</f>
        <v>3.2433560840825545E-3</v>
      </c>
      <c r="EH36">
        <f t="shared" si="118"/>
        <v>393.86073755382733</v>
      </c>
      <c r="EI36">
        <f t="shared" ref="EI36:EI99" si="220">$G$10*$G$23*SQRT(EH36)</f>
        <v>7.8062491045325605E-7</v>
      </c>
      <c r="EJ36">
        <f t="shared" si="119"/>
        <v>2.4938994146244246E-3</v>
      </c>
      <c r="EK36">
        <f t="shared" si="120"/>
        <v>0.26059019239892772</v>
      </c>
      <c r="EM36">
        <f t="shared" si="121"/>
        <v>19.014891242064802</v>
      </c>
      <c r="EN36">
        <f t="shared" si="122"/>
        <v>1.6E-2</v>
      </c>
      <c r="EO36">
        <f t="shared" si="23"/>
        <v>121436.16900000001</v>
      </c>
      <c r="EP36">
        <f t="shared" si="24"/>
        <v>5.0050572956929704E-3</v>
      </c>
      <c r="EQ36">
        <f t="shared" si="123"/>
        <v>4.22923255860525E-3</v>
      </c>
      <c r="ER36">
        <f t="shared" si="124"/>
        <v>1.1276231693754562E-2</v>
      </c>
      <c r="ES36">
        <f t="shared" si="125"/>
        <v>13.517805324775992</v>
      </c>
      <c r="ET36">
        <f>ET35-EX35*(EM36-EM35)/$G$24</f>
        <v>3.044664422019202E-6</v>
      </c>
      <c r="EU36">
        <f t="shared" ref="EU36:EU99" si="221">EU35+EX35*(EM36-EM35)/$G$21</f>
        <v>3.1449259681455089E-3</v>
      </c>
      <c r="EV36">
        <f t="shared" si="126"/>
        <v>381.90776136020668</v>
      </c>
      <c r="EW36">
        <f t="shared" ref="EW36:EW99" si="222">$G$10*$G$23*SQRT(EV36)</f>
        <v>7.6868835729515536E-7</v>
      </c>
      <c r="EX36">
        <f t="shared" si="127"/>
        <v>2.4106205360390738E-3</v>
      </c>
      <c r="EY36">
        <f t="shared" si="128"/>
        <v>0.25306280822653254</v>
      </c>
      <c r="FA36">
        <f t="shared" si="129"/>
        <v>20.912584978797817</v>
      </c>
      <c r="FB36">
        <f t="shared" si="130"/>
        <v>1.6E-2</v>
      </c>
      <c r="FC36">
        <f t="shared" si="25"/>
        <v>121436.16900000001</v>
      </c>
      <c r="FD36">
        <f t="shared" si="26"/>
        <v>5.0050572956929704E-3</v>
      </c>
      <c r="FE36">
        <f t="shared" si="131"/>
        <v>4.22923255860525E-3</v>
      </c>
      <c r="FF36">
        <f t="shared" si="132"/>
        <v>1.1276231693754562E-2</v>
      </c>
      <c r="FG36">
        <f t="shared" si="133"/>
        <v>13.517805324775992</v>
      </c>
      <c r="FH36">
        <f>FH35-FL35*(FA36-FA35)/$G$24</f>
        <v>2.9584480255731914E-6</v>
      </c>
      <c r="FI36">
        <f t="shared" ref="FI36:FI99" si="223">FI35+FL35*(FA36-FA35)/$G$21</f>
        <v>3.0512879700369229E-3</v>
      </c>
      <c r="FJ36">
        <f t="shared" si="134"/>
        <v>370.53672159707071</v>
      </c>
      <c r="FK36">
        <f t="shared" ref="FK36:FK99" si="224">$G$10*$G$23*SQRT(FJ36)</f>
        <v>7.5715830149354976E-7</v>
      </c>
      <c r="FL36">
        <f t="shared" si="135"/>
        <v>2.3315158260601302E-3</v>
      </c>
      <c r="FM36">
        <f t="shared" si="136"/>
        <v>0.24589677598928197</v>
      </c>
      <c r="FO36">
        <f t="shared" si="137"/>
        <v>22.810278715530831</v>
      </c>
      <c r="FP36">
        <f t="shared" si="138"/>
        <v>1.6E-2</v>
      </c>
      <c r="FQ36">
        <f t="shared" si="27"/>
        <v>121436.16900000001</v>
      </c>
      <c r="FR36">
        <f t="shared" si="28"/>
        <v>5.0050572956929704E-3</v>
      </c>
      <c r="FS36">
        <f t="shared" si="139"/>
        <v>4.22923255860525E-3</v>
      </c>
      <c r="FT36">
        <f t="shared" si="140"/>
        <v>1.1276231693754562E-2</v>
      </c>
      <c r="FU36">
        <f t="shared" si="141"/>
        <v>13.517805324775992</v>
      </c>
      <c r="FV36">
        <f>FV35-FZ35*(FO36-FO35)/$G$24</f>
        <v>2.8763102013908459E-6</v>
      </c>
      <c r="FW36">
        <f t="shared" ref="FW36:FW99" si="225">FW35+FZ35*(FO36-FO35)/$G$21</f>
        <v>2.9621430805678588E-3</v>
      </c>
      <c r="FX36">
        <f t="shared" si="142"/>
        <v>359.71130773401916</v>
      </c>
      <c r="FY36">
        <f t="shared" ref="FY36:FY99" si="226">$G$10*$G$23*SQRT(FX36)</f>
        <v>7.4601593841329865E-7</v>
      </c>
      <c r="FZ36">
        <f t="shared" si="143"/>
        <v>2.2563203443716966E-3</v>
      </c>
      <c r="GA36">
        <f t="shared" si="144"/>
        <v>0.23906974168662593</v>
      </c>
      <c r="GC36">
        <f t="shared" si="145"/>
        <v>24.707972452263846</v>
      </c>
      <c r="GD36">
        <f t="shared" si="146"/>
        <v>1.6E-2</v>
      </c>
      <c r="GE36">
        <f t="shared" si="29"/>
        <v>121436.16900000001</v>
      </c>
      <c r="GF36">
        <f t="shared" si="30"/>
        <v>5.0050572956929704E-3</v>
      </c>
      <c r="GG36">
        <f t="shared" si="147"/>
        <v>4.22923255860525E-3</v>
      </c>
      <c r="GH36">
        <f t="shared" si="148"/>
        <v>1.1276231693754562E-2</v>
      </c>
      <c r="GI36">
        <f t="shared" si="149"/>
        <v>13.517805324775992</v>
      </c>
      <c r="GJ36">
        <f>GJ35-GN35*(GC36-GC35)/$G$24</f>
        <v>2.7980015223123302E-6</v>
      </c>
      <c r="GK36">
        <f t="shared" ref="GK36:GK99" si="227">GK35+GN35*(GC36-GC35)/$G$21</f>
        <v>2.8772141323684494E-3</v>
      </c>
      <c r="GL36">
        <f t="shared" si="150"/>
        <v>349.39786162748339</v>
      </c>
      <c r="GM36">
        <f t="shared" ref="GM36:GM99" si="228">$G$10*$G$23*SQRT(GL36)</f>
        <v>7.3524348063713134E-7</v>
      </c>
      <c r="GN36">
        <f t="shared" si="151"/>
        <v>2.1847887476553396E-3</v>
      </c>
      <c r="GO36">
        <f t="shared" si="152"/>
        <v>0.23256097372756887</v>
      </c>
      <c r="GQ36">
        <f t="shared" si="153"/>
        <v>26.60566618899686</v>
      </c>
      <c r="GR36">
        <f t="shared" si="154"/>
        <v>1.6E-2</v>
      </c>
      <c r="GS36">
        <f t="shared" si="31"/>
        <v>121436.16900000001</v>
      </c>
      <c r="GT36">
        <f t="shared" si="32"/>
        <v>5.0050572956929704E-3</v>
      </c>
      <c r="GU36">
        <f t="shared" si="155"/>
        <v>4.22923255860525E-3</v>
      </c>
      <c r="GV36">
        <f t="shared" si="156"/>
        <v>1.1276231693754562E-2</v>
      </c>
      <c r="GW36">
        <f t="shared" si="157"/>
        <v>13.517805324775992</v>
      </c>
      <c r="GX36">
        <f>GX35-HB35*(GQ36-GQ35)/$G$24</f>
        <v>2.7232904953004246E-6</v>
      </c>
      <c r="GY36">
        <f t="shared" ref="GY36:GY99" si="229">GY35+HB35*(GQ36-GQ35)/$G$21</f>
        <v>2.7962440165635932E-3</v>
      </c>
      <c r="GZ36">
        <f t="shared" si="158"/>
        <v>339.56516096065531</v>
      </c>
      <c r="HA36">
        <f t="shared" ref="HA36:HA99" si="230">$G$10*$G$23*SQRT(GZ36)</f>
        <v>7.2482409810407101E-7</v>
      </c>
      <c r="HB36">
        <f t="shared" si="159"/>
        <v>2.1166936736874953E-3</v>
      </c>
      <c r="HC36">
        <f t="shared" si="160"/>
        <v>0.22635123114825945</v>
      </c>
      <c r="HE36">
        <f t="shared" si="161"/>
        <v>28.503359925729875</v>
      </c>
      <c r="HF36">
        <f t="shared" si="162"/>
        <v>1.6E-2</v>
      </c>
      <c r="HG36">
        <f t="shared" si="33"/>
        <v>121436.16900000001</v>
      </c>
      <c r="HH36">
        <f t="shared" si="34"/>
        <v>5.0050572956929704E-3</v>
      </c>
      <c r="HI36">
        <f t="shared" si="163"/>
        <v>4.22923255860525E-3</v>
      </c>
      <c r="HJ36">
        <f t="shared" si="164"/>
        <v>1.1276231693754562E-2</v>
      </c>
      <c r="HK36">
        <f t="shared" si="165"/>
        <v>13.517805324775992</v>
      </c>
      <c r="HL36">
        <f>HL35-HP35*(HE36-HE35)/$G$24</f>
        <v>2.6519621159881818E-6</v>
      </c>
      <c r="HM36">
        <f t="shared" ref="HM36:HM99" si="231">HM35+HP35*(HE36-HE35)/$G$21</f>
        <v>2.7189940576439415E-3</v>
      </c>
      <c r="HN36">
        <f t="shared" si="166"/>
        <v>330.18422189404544</v>
      </c>
      <c r="HO36">
        <f t="shared" ref="HO36:HO99" si="232">$G$10*$G$23*SQRT(HN36)</f>
        <v>7.147418618891283E-7</v>
      </c>
      <c r="HP36">
        <f t="shared" si="167"/>
        <v>2.0518242699218451E-3</v>
      </c>
      <c r="HQ36">
        <f t="shared" si="168"/>
        <v>0.22042264347059595</v>
      </c>
      <c r="HS36">
        <f t="shared" si="169"/>
        <v>30.401053662462889</v>
      </c>
      <c r="HT36">
        <f t="shared" si="170"/>
        <v>1.6E-2</v>
      </c>
      <c r="HU36">
        <f t="shared" si="35"/>
        <v>121436.16900000001</v>
      </c>
      <c r="HV36">
        <f t="shared" si="36"/>
        <v>5.0050572956929704E-3</v>
      </c>
      <c r="HW36">
        <f t="shared" si="171"/>
        <v>4.22923255860525E-3</v>
      </c>
      <c r="HX36">
        <f t="shared" si="172"/>
        <v>1.1276231693754562E-2</v>
      </c>
      <c r="HY36">
        <f t="shared" si="173"/>
        <v>13.517805324775992</v>
      </c>
      <c r="HZ36">
        <f>HZ35-ID35*(HS36-HS35)/$G$24</f>
        <v>2.5838165500942915E-6</v>
      </c>
      <c r="IA36">
        <f t="shared" ref="IA36:IA99" si="233">IA35+ID35*(HS36-HS35)/$G$21</f>
        <v>2.6452425315849886E-3</v>
      </c>
      <c r="IB36">
        <f t="shared" si="174"/>
        <v>321.22811911154253</v>
      </c>
      <c r="IC36">
        <f t="shared" ref="IC36:IC99" si="234">$G$10*$G$23*SQRT(IB36)</f>
        <v>7.0498169140708382E-7</v>
      </c>
      <c r="ID36">
        <f t="shared" si="175"/>
        <v>1.9899848528181236E-3</v>
      </c>
      <c r="IE36">
        <f t="shared" si="176"/>
        <v>0.2147586011056718</v>
      </c>
      <c r="IG36">
        <f t="shared" si="177"/>
        <v>32.298747399195904</v>
      </c>
      <c r="IH36">
        <f t="shared" si="178"/>
        <v>1.6E-2</v>
      </c>
      <c r="II36">
        <f t="shared" si="37"/>
        <v>121436.16900000001</v>
      </c>
      <c r="IJ36">
        <f t="shared" si="38"/>
        <v>5.0050572956929704E-3</v>
      </c>
      <c r="IK36">
        <f t="shared" si="179"/>
        <v>4.22923255860525E-3</v>
      </c>
      <c r="IL36">
        <f t="shared" si="180"/>
        <v>1.1276231693754562E-2</v>
      </c>
      <c r="IM36">
        <f t="shared" si="181"/>
        <v>13.517805324775992</v>
      </c>
      <c r="IN36">
        <f>IN35-IR35*(IG36-IG35)/$G$24</f>
        <v>2.5186679298214595E-6</v>
      </c>
      <c r="IO36">
        <f t="shared" ref="IO36:IO99" si="235">IO35+IR35*(IG36-IG35)/$G$21</f>
        <v>2.5747833137480681E-3</v>
      </c>
      <c r="IP36">
        <f t="shared" si="182"/>
        <v>312.67182162669042</v>
      </c>
      <c r="IQ36">
        <f t="shared" ref="IQ36:IQ99" si="236">$G$10*$G$23*SQRT(IP36)</f>
        <v>6.955293048348497E-7</v>
      </c>
      <c r="IR36">
        <f t="shared" si="183"/>
        <v>1.9309936855472273E-3</v>
      </c>
      <c r="IS36">
        <f t="shared" si="184"/>
        <v>0.20934365531424268</v>
      </c>
      <c r="IU36">
        <f t="shared" si="185"/>
        <v>34.196441135928922</v>
      </c>
      <c r="IV36">
        <f t="shared" si="186"/>
        <v>1.6E-2</v>
      </c>
      <c r="IW36">
        <f t="shared" si="39"/>
        <v>121436.16900000001</v>
      </c>
      <c r="IX36">
        <f t="shared" si="40"/>
        <v>5.0050572956929704E-3</v>
      </c>
      <c r="IY36">
        <f t="shared" si="187"/>
        <v>4.22923255860525E-3</v>
      </c>
      <c r="IZ36">
        <f t="shared" si="188"/>
        <v>1.1276231693754562E-2</v>
      </c>
      <c r="JA36">
        <f t="shared" si="189"/>
        <v>13.517805324775992</v>
      </c>
      <c r="JB36">
        <f>JB35-JF35*(IU36-IU35)/$G$24</f>
        <v>2.4563432545231624E-6</v>
      </c>
      <c r="JC36">
        <f t="shared" ref="JC36:JC99" si="237">JC35+JF35*(IU36-IU35)/$G$21</f>
        <v>2.5074246444293539E-3</v>
      </c>
      <c r="JD36">
        <f t="shared" si="190"/>
        <v>304.49204287568796</v>
      </c>
      <c r="JE36">
        <f t="shared" ref="JE36:JE99" si="238">$G$10*$G$23*SQRT(JD36)</f>
        <v>6.8637117255855389E-7</v>
      </c>
      <c r="JF36">
        <f t="shared" si="191"/>
        <v>1.8746818629294527E-3</v>
      </c>
      <c r="JG36">
        <f t="shared" si="192"/>
        <v>0.2041634268336491</v>
      </c>
      <c r="JI36">
        <f t="shared" si="193"/>
        <v>36.094134872661932</v>
      </c>
      <c r="JJ36">
        <f t="shared" si="194"/>
        <v>1.6E-2</v>
      </c>
      <c r="JK36">
        <f t="shared" si="41"/>
        <v>121436.16900000001</v>
      </c>
      <c r="JL36">
        <f t="shared" si="42"/>
        <v>5.0050572956929704E-3</v>
      </c>
      <c r="JM36">
        <f t="shared" si="195"/>
        <v>4.22923255860525E-3</v>
      </c>
      <c r="JN36">
        <f t="shared" si="196"/>
        <v>1.1276231693754562E-2</v>
      </c>
      <c r="JO36">
        <f t="shared" si="197"/>
        <v>13.517805324775992</v>
      </c>
      <c r="JP36">
        <f>JP35-JT35*(JI36-JI35)/$G$24</f>
        <v>2.3966813859746728E-6</v>
      </c>
      <c r="JQ36">
        <f t="shared" ref="JQ36:JQ99" si="239">JQ35+JT35*(JI36-JI35)/$G$21</f>
        <v>2.4429880011062558E-3</v>
      </c>
      <c r="JR36">
        <f t="shared" si="198"/>
        <v>296.66710376731152</v>
      </c>
      <c r="JS36">
        <f t="shared" ref="JS36:JS99" si="240">$G$10*$G$23*SQRT(JR36)</f>
        <v>6.7749447346093017E-7</v>
      </c>
      <c r="JT36">
        <f t="shared" si="199"/>
        <v>1.8208922935653632E-3</v>
      </c>
      <c r="JU36">
        <f t="shared" si="200"/>
        <v>0.19920452236794448</v>
      </c>
    </row>
    <row r="37" spans="2:281">
      <c r="B37">
        <v>0.03</v>
      </c>
      <c r="C37">
        <f t="shared" si="43"/>
        <v>5.6930812101990434E-2</v>
      </c>
      <c r="D37">
        <f>C37*$G$13</f>
        <v>2.4E-2</v>
      </c>
      <c r="E37">
        <f t="shared" si="3"/>
        <v>121251.74100000001</v>
      </c>
      <c r="F37">
        <f t="shared" si="4"/>
        <v>5.0075936306660466E-3</v>
      </c>
      <c r="G37">
        <f>2*SQRT($G$12*$G$13/(PI()*F37))</f>
        <v>4.2281613745344384E-3</v>
      </c>
      <c r="H37">
        <f t="shared" si="46"/>
        <v>1.1293383223634993E-2</v>
      </c>
      <c r="I37">
        <f t="shared" si="47"/>
        <v>13.531509211700421</v>
      </c>
      <c r="J37">
        <f t="shared" ref="J37:J100" si="241">J36-N36*(C37-C36)/$G$24</f>
        <v>4.1989750793096472E-6</v>
      </c>
      <c r="K37">
        <f t="shared" si="201"/>
        <v>6.2837406032002427E-3</v>
      </c>
      <c r="L37">
        <f t="shared" si="48"/>
        <v>761.91448813041961</v>
      </c>
      <c r="M37">
        <f t="shared" si="202"/>
        <v>1.0857358472123678E-6</v>
      </c>
      <c r="N37">
        <f t="shared" si="203"/>
        <v>3.2999221436349623E-3</v>
      </c>
      <c r="O37">
        <f t="shared" si="49"/>
        <v>0.34900543309748866</v>
      </c>
      <c r="Q37">
        <f t="shared" si="50"/>
        <v>1.9546245488350049</v>
      </c>
      <c r="R37">
        <f t="shared" si="51"/>
        <v>2.4E-2</v>
      </c>
      <c r="S37">
        <f t="shared" si="5"/>
        <v>121251.74100000001</v>
      </c>
      <c r="T37">
        <f t="shared" si="6"/>
        <v>5.0075936306660466E-3</v>
      </c>
      <c r="U37">
        <f>2*SQRT($G$12*$G$13/(PI()*T37))</f>
        <v>4.2281613745344384E-3</v>
      </c>
      <c r="V37">
        <f t="shared" si="53"/>
        <v>1.1293383223634993E-2</v>
      </c>
      <c r="W37">
        <f t="shared" si="54"/>
        <v>13.531509211700421</v>
      </c>
      <c r="X37">
        <f t="shared" ref="X37:X100" si="242">X36-AB36*(Q37-Q36)/$G$24</f>
        <v>4.0530853077480296E-6</v>
      </c>
      <c r="Y37">
        <f t="shared" si="204"/>
        <v>6.0502641724413534E-3</v>
      </c>
      <c r="Z37">
        <f t="shared" si="55"/>
        <v>733.60506441843836</v>
      </c>
      <c r="AA37">
        <f t="shared" si="205"/>
        <v>1.065374312968126E-6</v>
      </c>
      <c r="AB37">
        <f t="shared" si="56"/>
        <v>3.1668667055226724E-3</v>
      </c>
      <c r="AC37">
        <f t="shared" si="57"/>
        <v>0.33687954000532788</v>
      </c>
      <c r="AE37">
        <f t="shared" si="58"/>
        <v>3.8523182855680189</v>
      </c>
      <c r="AF37">
        <f t="shared" si="59"/>
        <v>2.4E-2</v>
      </c>
      <c r="AG37">
        <f t="shared" si="7"/>
        <v>121251.74100000001</v>
      </c>
      <c r="AH37">
        <f t="shared" si="8"/>
        <v>5.0075936306660466E-3</v>
      </c>
      <c r="AI37">
        <f>2*SQRT($G$12*$G$13/(PI()*AH37))</f>
        <v>4.2281613745344384E-3</v>
      </c>
      <c r="AJ37">
        <f t="shared" si="61"/>
        <v>1.1293383223634993E-2</v>
      </c>
      <c r="AK37">
        <f t="shared" si="62"/>
        <v>13.531509211700421</v>
      </c>
      <c r="AL37">
        <f t="shared" ref="AL37:AL100" si="243">AL36-AP36*(AE37-AE36)/$G$24</f>
        <v>3.9151868781254763E-6</v>
      </c>
      <c r="AM37">
        <f t="shared" si="206"/>
        <v>5.8298478101276464E-3</v>
      </c>
      <c r="AN37">
        <f t="shared" si="63"/>
        <v>706.87919674301463</v>
      </c>
      <c r="AO37">
        <f t="shared" si="207"/>
        <v>1.0457880172328589E-6</v>
      </c>
      <c r="AP37">
        <f t="shared" si="64"/>
        <v>3.0414600787366072E-3</v>
      </c>
      <c r="AQ37">
        <f t="shared" si="65"/>
        <v>0.32541786179937021</v>
      </c>
      <c r="AS37">
        <f t="shared" si="66"/>
        <v>5.7500120223010338</v>
      </c>
      <c r="AT37">
        <f t="shared" si="67"/>
        <v>2.4E-2</v>
      </c>
      <c r="AU37">
        <f t="shared" si="9"/>
        <v>121251.74100000001</v>
      </c>
      <c r="AV37">
        <f t="shared" si="10"/>
        <v>5.0075936306660466E-3</v>
      </c>
      <c r="AW37">
        <f>2*SQRT($G$12*$G$13/(PI()*AV37))</f>
        <v>4.2281613745344384E-3</v>
      </c>
      <c r="AX37">
        <f t="shared" si="69"/>
        <v>1.1293383223634993E-2</v>
      </c>
      <c r="AY37">
        <f t="shared" si="70"/>
        <v>13.531509211700421</v>
      </c>
      <c r="AZ37">
        <f t="shared" ref="AZ37:AZ100" si="244">AZ36-BD36*(AS37-AS36)/$G$24</f>
        <v>3.7847325487823059E-6</v>
      </c>
      <c r="BA37">
        <f t="shared" si="208"/>
        <v>5.6215854658366012E-3</v>
      </c>
      <c r="BB37">
        <f t="shared" si="71"/>
        <v>681.62702491298398</v>
      </c>
      <c r="BC37">
        <f t="shared" si="209"/>
        <v>1.0269385603322749E-6</v>
      </c>
      <c r="BD37">
        <f t="shared" si="72"/>
        <v>2.9231629089869044E-3</v>
      </c>
      <c r="BE37">
        <f t="shared" si="73"/>
        <v>0.31457491349605687</v>
      </c>
      <c r="BG37">
        <f t="shared" si="74"/>
        <v>7.6477057590340483</v>
      </c>
      <c r="BH37">
        <f t="shared" si="75"/>
        <v>2.4E-2</v>
      </c>
      <c r="BI37">
        <f t="shared" si="11"/>
        <v>121251.74100000001</v>
      </c>
      <c r="BJ37">
        <f t="shared" si="12"/>
        <v>5.0075936306660466E-3</v>
      </c>
      <c r="BK37">
        <f>2*SQRT($G$12*$G$13/(PI()*BJ37))</f>
        <v>4.2281613745344384E-3</v>
      </c>
      <c r="BL37">
        <f t="shared" si="77"/>
        <v>1.1293383223634993E-2</v>
      </c>
      <c r="BM37">
        <f t="shared" si="78"/>
        <v>13.531509211700421</v>
      </c>
      <c r="BN37">
        <f t="shared" ref="BN37:BN100" si="245">BN36-BR36*(BG37-BG36)/$G$24</f>
        <v>3.661218172450683E-6</v>
      </c>
      <c r="BO37">
        <f t="shared" si="210"/>
        <v>5.4246431305835551E-3</v>
      </c>
      <c r="BP37">
        <f t="shared" si="79"/>
        <v>657.74742388694642</v>
      </c>
      <c r="BQ37">
        <f t="shared" si="211"/>
        <v>1.0087896989751538E-6</v>
      </c>
      <c r="BR37">
        <f t="shared" si="80"/>
        <v>2.811479234807574E-3</v>
      </c>
      <c r="BS37">
        <f t="shared" si="81"/>
        <v>0.30430879198040556</v>
      </c>
      <c r="BU37">
        <f t="shared" si="82"/>
        <v>9.5453994957670627</v>
      </c>
      <c r="BV37">
        <f t="shared" si="83"/>
        <v>2.4E-2</v>
      </c>
      <c r="BW37">
        <f t="shared" si="13"/>
        <v>121251.74100000001</v>
      </c>
      <c r="BX37">
        <f t="shared" si="14"/>
        <v>5.0075936306660466E-3</v>
      </c>
      <c r="BY37">
        <f>2*SQRT($G$12*$G$13/(PI()*BX37))</f>
        <v>4.2281613745344384E-3</v>
      </c>
      <c r="BZ37">
        <f t="shared" si="85"/>
        <v>1.1293383223634993E-2</v>
      </c>
      <c r="CA37">
        <f t="shared" si="86"/>
        <v>13.531509211700421</v>
      </c>
      <c r="CB37">
        <f t="shared" ref="CB37:CB100" si="246">CB36-CF36*(BU37-BU36)/$G$24</f>
        <v>3.5441789556702702E-6</v>
      </c>
      <c r="CC37">
        <f t="shared" ref="CC37:CC99" si="247">CC36+CF36*(BU37-BU36)/$G$21</f>
        <v>5.2382525364535176E-3</v>
      </c>
      <c r="CD37">
        <f t="shared" si="87"/>
        <v>635.14723984265504</v>
      </c>
      <c r="CE37">
        <f t="shared" ref="CE37:CE99" si="248">$G$10*$G$23*SQRT(CD37)</f>
        <v>9.9130721828088192E-7</v>
      </c>
      <c r="CF37">
        <f t="shared" si="212"/>
        <v>2.7059526583172225E-3</v>
      </c>
      <c r="CG37">
        <f t="shared" si="88"/>
        <v>0.29458086510055503</v>
      </c>
      <c r="CI37">
        <f t="shared" si="89"/>
        <v>11.443093232500077</v>
      </c>
      <c r="CJ37">
        <f t="shared" si="90"/>
        <v>2.4E-2</v>
      </c>
      <c r="CK37">
        <f t="shared" si="15"/>
        <v>121251.74100000001</v>
      </c>
      <c r="CL37">
        <f t="shared" si="16"/>
        <v>5.0075936306660466E-3</v>
      </c>
      <c r="CM37">
        <f>2*SQRT($G$12*$G$13/(PI()*CL37))</f>
        <v>4.2281613745344384E-3</v>
      </c>
      <c r="CN37">
        <f t="shared" si="92"/>
        <v>1.1293383223634993E-2</v>
      </c>
      <c r="CO37">
        <f t="shared" si="93"/>
        <v>13.531509211700421</v>
      </c>
      <c r="CP37">
        <f t="shared" ref="CP37:CP100" si="249">CP36-CT36*(CI37-CI36)/$G$24</f>
        <v>3.4331860667658394E-6</v>
      </c>
      <c r="CQ37">
        <f t="shared" si="213"/>
        <v>5.0617054467814093E-3</v>
      </c>
      <c r="CR37">
        <f t="shared" si="94"/>
        <v>613.74059785142879</v>
      </c>
      <c r="CS37">
        <f t="shared" si="214"/>
        <v>9.7445881139533943E-7</v>
      </c>
      <c r="CT37">
        <f t="shared" si="95"/>
        <v>2.6061628773995874E-3</v>
      </c>
      <c r="CU37">
        <f t="shared" si="96"/>
        <v>0.28535548973366887</v>
      </c>
      <c r="CW37">
        <f t="shared" si="97"/>
        <v>13.340786969233092</v>
      </c>
      <c r="CX37">
        <f t="shared" si="98"/>
        <v>2.4E-2</v>
      </c>
      <c r="CY37">
        <f t="shared" si="17"/>
        <v>121251.74100000001</v>
      </c>
      <c r="CZ37">
        <f t="shared" si="18"/>
        <v>5.0075936306660466E-3</v>
      </c>
      <c r="DA37">
        <f>2*SQRT($G$12*$G$13/(PI()*CZ37))</f>
        <v>4.2281613745344384E-3</v>
      </c>
      <c r="DB37">
        <f t="shared" si="100"/>
        <v>1.1293383223634993E-2</v>
      </c>
      <c r="DC37">
        <f t="shared" si="101"/>
        <v>13.531509211700421</v>
      </c>
      <c r="DD37">
        <f t="shared" ref="DD37:DD100" si="250">DD36-DH36*(CW37-CW36)/$G$24</f>
        <v>3.3278435581678594E-6</v>
      </c>
      <c r="DE37">
        <f t="shared" si="215"/>
        <v>4.8943484786477028E-3</v>
      </c>
      <c r="DF37">
        <f t="shared" si="102"/>
        <v>593.4482740967353</v>
      </c>
      <c r="DG37">
        <f t="shared" si="216"/>
        <v>9.5821396627454565E-7</v>
      </c>
      <c r="DH37">
        <f t="shared" si="103"/>
        <v>2.5117225434788193E-3</v>
      </c>
      <c r="DI37">
        <f t="shared" si="104"/>
        <v>0.27659975597902642</v>
      </c>
      <c r="DK37">
        <f t="shared" si="105"/>
        <v>15.238480705966104</v>
      </c>
      <c r="DL37">
        <f t="shared" si="106"/>
        <v>2.4E-2</v>
      </c>
      <c r="DM37">
        <f t="shared" si="19"/>
        <v>121251.74100000001</v>
      </c>
      <c r="DN37">
        <f t="shared" si="20"/>
        <v>5.0075936306660466E-3</v>
      </c>
      <c r="DO37">
        <f>2*SQRT($G$12*$G$13/(PI()*DN37))</f>
        <v>4.2281613745344384E-3</v>
      </c>
      <c r="DP37">
        <f t="shared" si="108"/>
        <v>1.1293383223634993E-2</v>
      </c>
      <c r="DQ37">
        <f t="shared" si="109"/>
        <v>13.531509211700421</v>
      </c>
      <c r="DR37">
        <f t="shared" ref="DR37:DR100" si="251">DR36-DV36*(DK37-DK36)/$G$24</f>
        <v>3.2277855723444019E-6</v>
      </c>
      <c r="DS37">
        <f t="shared" si="217"/>
        <v>4.7355784054087611E-3</v>
      </c>
      <c r="DT37">
        <f t="shared" si="110"/>
        <v>574.19712629781611</v>
      </c>
      <c r="DU37">
        <f t="shared" si="218"/>
        <v>9.4254385923480933E-7</v>
      </c>
      <c r="DV37">
        <f t="shared" si="111"/>
        <v>2.4222744127403452E-3</v>
      </c>
      <c r="DW37">
        <f t="shared" si="112"/>
        <v>0.26828325492398336</v>
      </c>
      <c r="DY37">
        <f t="shared" si="113"/>
        <v>17.136174442699119</v>
      </c>
      <c r="DZ37">
        <f t="shared" si="114"/>
        <v>2.4E-2</v>
      </c>
      <c r="EA37">
        <f t="shared" si="21"/>
        <v>121251.74100000001</v>
      </c>
      <c r="EB37">
        <f t="shared" si="22"/>
        <v>5.0075936306660466E-3</v>
      </c>
      <c r="EC37">
        <f>2*SQRT($G$12*$G$13/(PI()*EB37))</f>
        <v>4.2281613745344384E-3</v>
      </c>
      <c r="ED37">
        <f t="shared" si="116"/>
        <v>1.1293383223634993E-2</v>
      </c>
      <c r="EE37">
        <f t="shared" si="117"/>
        <v>13.531509211700421</v>
      </c>
      <c r="EF37">
        <f t="shared" ref="EF37:EF100" si="252">EF36-EJ36*(DY37-DY36)/$G$24</f>
        <v>3.1326738037356541E-6</v>
      </c>
      <c r="EG37">
        <f t="shared" si="219"/>
        <v>4.5848378923123902E-3</v>
      </c>
      <c r="EH37">
        <f t="shared" si="118"/>
        <v>555.91957664564791</v>
      </c>
      <c r="EI37">
        <f t="shared" si="220"/>
        <v>9.2742125488714453E-7</v>
      </c>
      <c r="EJ37">
        <f t="shared" si="119"/>
        <v>2.3374887619382438E-3</v>
      </c>
      <c r="EK37">
        <f t="shared" si="120"/>
        <v>0.26037786768805299</v>
      </c>
      <c r="EM37">
        <f t="shared" si="121"/>
        <v>19.033868179432133</v>
      </c>
      <c r="EN37">
        <f t="shared" si="122"/>
        <v>2.4E-2</v>
      </c>
      <c r="EO37">
        <f t="shared" si="23"/>
        <v>121251.74100000001</v>
      </c>
      <c r="EP37">
        <f t="shared" si="24"/>
        <v>5.0075936306660466E-3</v>
      </c>
      <c r="EQ37">
        <f>2*SQRT($G$12*$G$13/(PI()*EP37))</f>
        <v>4.2281613745344384E-3</v>
      </c>
      <c r="ER37">
        <f t="shared" si="124"/>
        <v>1.1293383223634993E-2</v>
      </c>
      <c r="ES37">
        <f t="shared" si="125"/>
        <v>13.531509211700421</v>
      </c>
      <c r="ET37">
        <f t="shared" ref="ET37:ET100" si="253">ET36-EX36*(EM37-EM36)/$G$24</f>
        <v>3.0421951918795E-6</v>
      </c>
      <c r="EU37">
        <f t="shared" si="221"/>
        <v>4.4416116230193139E-3</v>
      </c>
      <c r="EV37">
        <f t="shared" si="126"/>
        <v>538.55314213692748</v>
      </c>
      <c r="EW37">
        <f t="shared" si="222"/>
        <v>9.1282041209177221E-7</v>
      </c>
      <c r="EX37">
        <f t="shared" si="127"/>
        <v>2.2570610428758017E-3</v>
      </c>
      <c r="EY37">
        <f t="shared" si="128"/>
        <v>0.25285757368285294</v>
      </c>
      <c r="FA37">
        <f t="shared" si="129"/>
        <v>20.931561916165148</v>
      </c>
      <c r="FB37">
        <f t="shared" si="130"/>
        <v>2.4E-2</v>
      </c>
      <c r="FC37">
        <f t="shared" si="25"/>
        <v>121251.74100000001</v>
      </c>
      <c r="FD37">
        <f t="shared" si="26"/>
        <v>5.0075936306660466E-3</v>
      </c>
      <c r="FE37">
        <f>2*SQRT($G$12*$G$13/(PI()*FD37))</f>
        <v>4.2281613745344384E-3</v>
      </c>
      <c r="FF37">
        <f t="shared" si="132"/>
        <v>1.1293383223634993E-2</v>
      </c>
      <c r="FG37">
        <f t="shared" si="133"/>
        <v>13.531509211700421</v>
      </c>
      <c r="FH37">
        <f t="shared" ref="FH37:FH100" si="254">FH36-FL36*(FA37-FA36)/$G$24</f>
        <v>2.9560598234224043E-6</v>
      </c>
      <c r="FI37">
        <f t="shared" si="223"/>
        <v>4.3054227791309149E-3</v>
      </c>
      <c r="FJ37">
        <f t="shared" si="134"/>
        <v>522.04000771068195</v>
      </c>
      <c r="FK37">
        <f t="shared" si="224"/>
        <v>8.9871699558680843E-7</v>
      </c>
      <c r="FL37">
        <f t="shared" si="135"/>
        <v>2.1807097522825759E-3</v>
      </c>
      <c r="FM37">
        <f t="shared" si="136"/>
        <v>0.24569827623393289</v>
      </c>
      <c r="FO37">
        <f t="shared" si="137"/>
        <v>22.829255652898162</v>
      </c>
      <c r="FP37">
        <f t="shared" si="138"/>
        <v>2.4E-2</v>
      </c>
      <c r="FQ37">
        <f t="shared" si="27"/>
        <v>121251.74100000001</v>
      </c>
      <c r="FR37">
        <f t="shared" si="28"/>
        <v>5.0075936306660466E-3</v>
      </c>
      <c r="FS37">
        <f>2*SQRT($G$12*$G$13/(PI()*FR37))</f>
        <v>4.2281613745344384E-3</v>
      </c>
      <c r="FT37">
        <f t="shared" si="140"/>
        <v>1.1293383223634993E-2</v>
      </c>
      <c r="FU37">
        <f t="shared" si="141"/>
        <v>13.531509211700421</v>
      </c>
      <c r="FV37">
        <f t="shared" ref="FV37:FV100" si="255">FV36-FZ36*(FO37-FO36)/$G$24</f>
        <v>2.8739990229553134E-6</v>
      </c>
      <c r="FW37">
        <f t="shared" si="225"/>
        <v>4.1758298386480111E-3</v>
      </c>
      <c r="FX37">
        <f t="shared" si="142"/>
        <v>506.32663805582047</v>
      </c>
      <c r="FY37">
        <f t="shared" si="226"/>
        <v>8.8508799296195559E-7</v>
      </c>
      <c r="FZ37">
        <f t="shared" si="143"/>
        <v>2.1081744961737076E-3</v>
      </c>
      <c r="GA37">
        <f t="shared" si="144"/>
        <v>0.238877643897136</v>
      </c>
      <c r="GC37">
        <f t="shared" si="145"/>
        <v>24.726949389631177</v>
      </c>
      <c r="GD37">
        <f t="shared" si="146"/>
        <v>2.4E-2</v>
      </c>
      <c r="GE37">
        <f t="shared" si="29"/>
        <v>121251.74100000001</v>
      </c>
      <c r="GF37">
        <f t="shared" si="30"/>
        <v>5.0075936306660466E-3</v>
      </c>
      <c r="GG37">
        <f>2*SQRT($G$12*$G$13/(PI()*GF37))</f>
        <v>4.2281613745344384E-3</v>
      </c>
      <c r="GH37">
        <f t="shared" si="148"/>
        <v>1.1293383223634993E-2</v>
      </c>
      <c r="GI37">
        <f t="shared" si="149"/>
        <v>13.531509211700421</v>
      </c>
      <c r="GJ37">
        <f t="shared" ref="GJ37:GJ100" si="256">GJ36-GN36*(GC37-GC36)/$G$24</f>
        <v>2.7957636146267611E-6</v>
      </c>
      <c r="GK37">
        <f t="shared" si="227"/>
        <v>4.0524236627200423E-3</v>
      </c>
      <c r="GL37">
        <f t="shared" si="150"/>
        <v>491.36342437440197</v>
      </c>
      <c r="GM37">
        <f t="shared" si="228"/>
        <v>8.7191163666500539E-7</v>
      </c>
      <c r="GN37">
        <f t="shared" si="151"/>
        <v>2.0392142298923548E-3</v>
      </c>
      <c r="GO37">
        <f t="shared" si="152"/>
        <v>0.2323749659694179</v>
      </c>
      <c r="GQ37">
        <f t="shared" si="153"/>
        <v>26.624643126364191</v>
      </c>
      <c r="GR37">
        <f t="shared" si="154"/>
        <v>2.4E-2</v>
      </c>
      <c r="GS37">
        <f t="shared" si="31"/>
        <v>121251.74100000001</v>
      </c>
      <c r="GT37">
        <f t="shared" si="32"/>
        <v>5.0075936306660466E-3</v>
      </c>
      <c r="GU37">
        <f>2*SQRT($G$12*$G$13/(PI()*GT37))</f>
        <v>4.2281613745344384E-3</v>
      </c>
      <c r="GV37">
        <f t="shared" si="156"/>
        <v>1.1293383223634993E-2</v>
      </c>
      <c r="GW37">
        <f t="shared" si="157"/>
        <v>13.531509211700421</v>
      </c>
      <c r="GX37">
        <f t="shared" ref="GX37:GX100" si="257">GX36-HB36*(GQ37-GQ36)/$G$24</f>
        <v>2.7211223382896268E-6</v>
      </c>
      <c r="GY37">
        <f t="shared" si="229"/>
        <v>3.9348248431181308E-3</v>
      </c>
      <c r="GZ37">
        <f t="shared" si="158"/>
        <v>477.10436275812526</v>
      </c>
      <c r="HA37">
        <f t="shared" si="230"/>
        <v>8.5916733074492708E-7</v>
      </c>
      <c r="HB37">
        <f t="shared" si="159"/>
        <v>1.9736056569316569E-3</v>
      </c>
      <c r="HC37">
        <f t="shared" si="160"/>
        <v>0.22617102084401033</v>
      </c>
      <c r="HE37">
        <f t="shared" si="161"/>
        <v>28.522336863097205</v>
      </c>
      <c r="HF37">
        <f t="shared" si="162"/>
        <v>2.4E-2</v>
      </c>
      <c r="HG37">
        <f t="shared" si="33"/>
        <v>121251.74100000001</v>
      </c>
      <c r="HH37">
        <f t="shared" si="34"/>
        <v>5.0075936306660466E-3</v>
      </c>
      <c r="HI37">
        <f>2*SQRT($G$12*$G$13/(PI()*HH37))</f>
        <v>4.2281613745344384E-3</v>
      </c>
      <c r="HJ37">
        <f t="shared" si="164"/>
        <v>1.1293383223634993E-2</v>
      </c>
      <c r="HK37">
        <f t="shared" si="165"/>
        <v>13.531509211700421</v>
      </c>
      <c r="HL37">
        <f t="shared" ref="HL37:HL100" si="258">HL36-HP36*(HE37-HE36)/$G$24</f>
        <v>2.649860405555984E-6</v>
      </c>
      <c r="HM37">
        <f t="shared" si="231"/>
        <v>3.8226812856226753E-3</v>
      </c>
      <c r="HN37">
        <f t="shared" si="166"/>
        <v>463.50676116986767</v>
      </c>
      <c r="HO37">
        <f t="shared" si="232"/>
        <v>8.4683558205085839E-7</v>
      </c>
      <c r="HP37">
        <f t="shared" si="167"/>
        <v>1.9111417713311694E-3</v>
      </c>
      <c r="HQ37">
        <f t="shared" si="168"/>
        <v>0.22024795599429989</v>
      </c>
      <c r="HS37">
        <f t="shared" si="169"/>
        <v>30.420030599830223</v>
      </c>
      <c r="HT37">
        <f t="shared" si="170"/>
        <v>2.4E-2</v>
      </c>
      <c r="HU37">
        <f t="shared" si="35"/>
        <v>121251.74100000001</v>
      </c>
      <c r="HV37">
        <f t="shared" si="36"/>
        <v>5.0075936306660466E-3</v>
      </c>
      <c r="HW37">
        <f>2*SQRT($G$12*$G$13/(PI()*HV37))</f>
        <v>4.2281613745344384E-3</v>
      </c>
      <c r="HX37">
        <f t="shared" si="172"/>
        <v>1.1293383223634993E-2</v>
      </c>
      <c r="HY37">
        <f t="shared" si="173"/>
        <v>13.531509211700421</v>
      </c>
      <c r="HZ37">
        <f t="shared" ref="HZ37:HZ100" si="259">HZ36-ID36*(HS37-HS36)/$G$24</f>
        <v>2.5817781825857312E-6</v>
      </c>
      <c r="IA37">
        <f t="shared" si="233"/>
        <v>3.7156660069884518E-3</v>
      </c>
      <c r="IB37">
        <f t="shared" si="174"/>
        <v>450.53097232186798</v>
      </c>
      <c r="IC37">
        <f t="shared" si="234"/>
        <v>8.3489793562126496E-7</v>
      </c>
      <c r="ID37">
        <f t="shared" si="175"/>
        <v>1.8516305299651412E-3</v>
      </c>
      <c r="IE37">
        <f t="shared" si="176"/>
        <v>0.21458917849141473</v>
      </c>
      <c r="IG37">
        <f t="shared" si="177"/>
        <v>32.317724336563238</v>
      </c>
      <c r="IH37">
        <f t="shared" si="178"/>
        <v>2.4E-2</v>
      </c>
      <c r="II37">
        <f t="shared" si="37"/>
        <v>121251.74100000001</v>
      </c>
      <c r="IJ37">
        <f t="shared" si="38"/>
        <v>5.0075936306660466E-3</v>
      </c>
      <c r="IK37">
        <f>2*SQRT($G$12*$G$13/(PI()*IJ37))</f>
        <v>4.2281613745344384E-3</v>
      </c>
      <c r="IL37">
        <f t="shared" si="180"/>
        <v>1.1293383223634993E-2</v>
      </c>
      <c r="IM37">
        <f t="shared" si="181"/>
        <v>13.531509211700421</v>
      </c>
      <c r="IN37">
        <f t="shared" ref="IN37:IN100" si="260">IN36-IR36*(IG37-IG36)/$G$24</f>
        <v>2.5166899877369858E-6</v>
      </c>
      <c r="IO37">
        <f t="shared" si="235"/>
        <v>3.6134751253658519E-3</v>
      </c>
      <c r="IP37">
        <f t="shared" si="182"/>
        <v>438.14015001080281</v>
      </c>
      <c r="IQ37">
        <f t="shared" si="236"/>
        <v>8.2333691401168936E-7</v>
      </c>
      <c r="IR37">
        <f t="shared" si="183"/>
        <v>1.7948936424053859E-3</v>
      </c>
      <c r="IS37">
        <f t="shared" si="184"/>
        <v>0.2091792550687554</v>
      </c>
      <c r="IU37">
        <f t="shared" si="185"/>
        <v>34.215418073296256</v>
      </c>
      <c r="IV37">
        <f t="shared" si="186"/>
        <v>2.4E-2</v>
      </c>
      <c r="IW37">
        <f t="shared" si="39"/>
        <v>121251.74100000001</v>
      </c>
      <c r="IX37">
        <f t="shared" si="40"/>
        <v>5.0075936306660466E-3</v>
      </c>
      <c r="IY37">
        <f>2*SQRT($G$12*$G$13/(PI()*IX37))</f>
        <v>4.2281613745344384E-3</v>
      </c>
      <c r="IZ37">
        <f t="shared" si="188"/>
        <v>1.1293383223634993E-2</v>
      </c>
      <c r="JA37">
        <f t="shared" si="189"/>
        <v>13.531509211700421</v>
      </c>
      <c r="JB37">
        <f t="shared" ref="JB37:JB100" si="261">JB36-JF36*(IU37-IU36)/$G$24</f>
        <v>2.4544229933750078E-6</v>
      </c>
      <c r="JC37">
        <f t="shared" si="237"/>
        <v>3.5158260260534317E-3</v>
      </c>
      <c r="JD37">
        <f t="shared" si="190"/>
        <v>426.30002671208996</v>
      </c>
      <c r="JE37">
        <f t="shared" si="238"/>
        <v>8.1213596032406795E-7</v>
      </c>
      <c r="JF37">
        <f t="shared" si="191"/>
        <v>1.740765467264939E-3</v>
      </c>
      <c r="JG37">
        <f t="shared" si="192"/>
        <v>0.20400382084385071</v>
      </c>
      <c r="JI37">
        <f t="shared" si="193"/>
        <v>36.113111810029267</v>
      </c>
      <c r="JJ37">
        <f t="shared" si="194"/>
        <v>2.4E-2</v>
      </c>
      <c r="JK37">
        <f t="shared" si="41"/>
        <v>121251.74100000001</v>
      </c>
      <c r="JL37">
        <f t="shared" si="42"/>
        <v>5.0075936306660466E-3</v>
      </c>
      <c r="JM37">
        <f>2*SQRT($G$12*$G$13/(PI()*JL37))</f>
        <v>4.2281613745344384E-3</v>
      </c>
      <c r="JN37">
        <f t="shared" si="196"/>
        <v>1.1293383223634993E-2</v>
      </c>
      <c r="JO37">
        <f t="shared" si="197"/>
        <v>13.531509211700421</v>
      </c>
      <c r="JP37">
        <f t="shared" ref="JP37:JP100" si="262">JP36-JT36*(JI37-JI36)/$G$24</f>
        <v>2.3948162221858455E-6</v>
      </c>
      <c r="JQ37">
        <f t="shared" si="239"/>
        <v>3.4224556862262499E-3</v>
      </c>
      <c r="JR37">
        <f t="shared" si="198"/>
        <v>414.97871045028256</v>
      </c>
      <c r="JS37">
        <f t="shared" si="240"/>
        <v>8.0127938471194498E-7</v>
      </c>
      <c r="JT37">
        <f t="shared" si="199"/>
        <v>1.6890920050290047E-3</v>
      </c>
      <c r="JU37">
        <f t="shared" si="200"/>
        <v>0.1990494958951452</v>
      </c>
    </row>
    <row r="38" spans="2:281">
      <c r="B38">
        <v>0.04</v>
      </c>
      <c r="C38">
        <f t="shared" si="43"/>
        <v>7.5907749469320579E-2</v>
      </c>
      <c r="D38">
        <f t="shared" si="44"/>
        <v>3.2000000000000001E-2</v>
      </c>
      <c r="E38">
        <f t="shared" si="3"/>
        <v>121067.31300000001</v>
      </c>
      <c r="F38">
        <f t="shared" si="4"/>
        <v>5.0101351146636238E-3</v>
      </c>
      <c r="G38">
        <f t="shared" si="45"/>
        <v>4.2270888318460169E-3</v>
      </c>
      <c r="H38">
        <f t="shared" si="46"/>
        <v>1.1310587009112321E-2</v>
      </c>
      <c r="I38">
        <f t="shared" si="47"/>
        <v>13.545247882846814</v>
      </c>
      <c r="J38">
        <f t="shared" si="241"/>
        <v>4.1955949259035362E-6</v>
      </c>
      <c r="K38">
        <f t="shared" si="201"/>
        <v>8.0587863401301047E-3</v>
      </c>
      <c r="L38">
        <f t="shared" si="48"/>
        <v>975.65560824065597</v>
      </c>
      <c r="M38">
        <f t="shared" si="202"/>
        <v>1.2286249591268411E-6</v>
      </c>
      <c r="N38">
        <f t="shared" si="203"/>
        <v>3.147276426112228E-3</v>
      </c>
      <c r="O38">
        <f t="shared" si="49"/>
        <v>0.34872448551357738</v>
      </c>
      <c r="Q38">
        <f t="shared" si="50"/>
        <v>1.973601486202335</v>
      </c>
      <c r="R38">
        <f t="shared" si="51"/>
        <v>3.2000000000000001E-2</v>
      </c>
      <c r="S38">
        <f t="shared" si="5"/>
        <v>121067.31300000001</v>
      </c>
      <c r="T38">
        <f t="shared" si="6"/>
        <v>5.0101351146636238E-3</v>
      </c>
      <c r="U38">
        <f t="shared" si="52"/>
        <v>4.2270888318460169E-3</v>
      </c>
      <c r="V38">
        <f t="shared" si="53"/>
        <v>1.1310587009112321E-2</v>
      </c>
      <c r="W38">
        <f t="shared" si="54"/>
        <v>13.545247882846814</v>
      </c>
      <c r="X38">
        <f t="shared" si="242"/>
        <v>4.0498414447671956E-6</v>
      </c>
      <c r="Y38">
        <f t="shared" si="204"/>
        <v>7.7537386789250278E-3</v>
      </c>
      <c r="Z38">
        <f t="shared" si="55"/>
        <v>938.72430756162294</v>
      </c>
      <c r="AA38">
        <f t="shared" si="205"/>
        <v>1.205147191052823E-6</v>
      </c>
      <c r="AB38">
        <f t="shared" si="56"/>
        <v>3.0175698657100699E-3</v>
      </c>
      <c r="AC38">
        <f t="shared" si="57"/>
        <v>0.33660992044742349</v>
      </c>
      <c r="AE38">
        <f t="shared" si="58"/>
        <v>3.8712952229353497</v>
      </c>
      <c r="AF38">
        <f t="shared" si="59"/>
        <v>3.2000000000000001E-2</v>
      </c>
      <c r="AG38">
        <f t="shared" si="7"/>
        <v>121067.31300000001</v>
      </c>
      <c r="AH38">
        <f t="shared" si="8"/>
        <v>5.0101351146636238E-3</v>
      </c>
      <c r="AI38">
        <f t="shared" si="60"/>
        <v>4.2270888318460169E-3</v>
      </c>
      <c r="AJ38">
        <f t="shared" si="61"/>
        <v>1.1310587009112321E-2</v>
      </c>
      <c r="AK38">
        <f t="shared" si="62"/>
        <v>13.545247882846814</v>
      </c>
      <c r="AL38">
        <f t="shared" si="243"/>
        <v>3.9120714707924513E-6</v>
      </c>
      <c r="AM38">
        <f t="shared" si="206"/>
        <v>7.4658654226089777E-3</v>
      </c>
      <c r="AN38">
        <f t="shared" si="63"/>
        <v>903.87226593487844</v>
      </c>
      <c r="AO38">
        <f t="shared" si="207"/>
        <v>1.1825638297832599E-6</v>
      </c>
      <c r="AP38">
        <f t="shared" si="64"/>
        <v>2.8953832191210647E-3</v>
      </c>
      <c r="AQ38">
        <f t="shared" si="65"/>
        <v>0.32515891906572669</v>
      </c>
      <c r="AS38">
        <f t="shared" si="66"/>
        <v>5.7689889596683637</v>
      </c>
      <c r="AT38">
        <f t="shared" si="67"/>
        <v>3.2000000000000001E-2</v>
      </c>
      <c r="AU38">
        <f t="shared" si="9"/>
        <v>121067.31300000001</v>
      </c>
      <c r="AV38">
        <f t="shared" si="10"/>
        <v>5.0101351146636238E-3</v>
      </c>
      <c r="AW38">
        <f t="shared" si="68"/>
        <v>4.2270888318460169E-3</v>
      </c>
      <c r="AX38">
        <f t="shared" si="69"/>
        <v>1.1310587009112321E-2</v>
      </c>
      <c r="AY38">
        <f t="shared" si="70"/>
        <v>13.545247882846814</v>
      </c>
      <c r="AZ38">
        <f t="shared" si="244"/>
        <v>3.7817383147872744E-6</v>
      </c>
      <c r="BA38">
        <f t="shared" si="208"/>
        <v>7.1939703992075022E-3</v>
      </c>
      <c r="BB38">
        <f t="shared" si="71"/>
        <v>870.95466603358966</v>
      </c>
      <c r="BC38">
        <f t="shared" si="209"/>
        <v>1.1608305687244665E-6</v>
      </c>
      <c r="BD38">
        <f t="shared" si="72"/>
        <v>2.7801835733308041E-3</v>
      </c>
      <c r="BE38">
        <f t="shared" si="73"/>
        <v>0.31432604230427952</v>
      </c>
      <c r="BG38">
        <f t="shared" si="74"/>
        <v>7.6666826964013781</v>
      </c>
      <c r="BH38">
        <f t="shared" si="75"/>
        <v>3.2000000000000001E-2</v>
      </c>
      <c r="BI38">
        <f t="shared" si="11"/>
        <v>121067.31300000001</v>
      </c>
      <c r="BJ38">
        <f t="shared" si="12"/>
        <v>5.0101351146636238E-3</v>
      </c>
      <c r="BK38">
        <f t="shared" si="76"/>
        <v>4.2270888318460169E-3</v>
      </c>
      <c r="BL38">
        <f t="shared" si="77"/>
        <v>1.1310587009112321E-2</v>
      </c>
      <c r="BM38">
        <f t="shared" si="78"/>
        <v>13.545247882846814</v>
      </c>
      <c r="BN38">
        <f t="shared" si="245"/>
        <v>3.6583383375036448E-6</v>
      </c>
      <c r="BO38">
        <f t="shared" si="210"/>
        <v>6.9369528194160165E-3</v>
      </c>
      <c r="BP38">
        <f t="shared" si="79"/>
        <v>839.83823825447143</v>
      </c>
      <c r="BQ38">
        <f t="shared" si="211"/>
        <v>1.139905589402438E-6</v>
      </c>
      <c r="BR38">
        <f t="shared" si="80"/>
        <v>2.6714810421417786E-3</v>
      </c>
      <c r="BS38">
        <f t="shared" si="81"/>
        <v>0.30406942927308855</v>
      </c>
      <c r="BU38">
        <f t="shared" si="82"/>
        <v>9.5643764331343935</v>
      </c>
      <c r="BV38">
        <f t="shared" si="83"/>
        <v>3.2000000000000001E-2</v>
      </c>
      <c r="BW38">
        <f t="shared" si="13"/>
        <v>121067.31300000001</v>
      </c>
      <c r="BX38">
        <f t="shared" si="14"/>
        <v>5.0101351146636238E-3</v>
      </c>
      <c r="BY38">
        <f t="shared" si="84"/>
        <v>4.2270888318460169E-3</v>
      </c>
      <c r="BZ38">
        <f t="shared" si="85"/>
        <v>1.1310587009112321E-2</v>
      </c>
      <c r="CA38">
        <f t="shared" si="86"/>
        <v>13.545247882846814</v>
      </c>
      <c r="CB38">
        <f t="shared" si="246"/>
        <v>3.5414072129755435E-6</v>
      </c>
      <c r="CC38">
        <f t="shared" si="247"/>
        <v>6.6937989164627468E-3</v>
      </c>
      <c r="CD38">
        <f t="shared" si="87"/>
        <v>810.40024857845629</v>
      </c>
      <c r="CE38">
        <f t="shared" si="248"/>
        <v>1.1197494138109485E-6</v>
      </c>
      <c r="CF38">
        <f t="shared" si="212"/>
        <v>2.5688249590546603E-3</v>
      </c>
      <c r="CG38">
        <f t="shared" si="88"/>
        <v>0.29435048667693103</v>
      </c>
      <c r="CI38">
        <f t="shared" si="89"/>
        <v>11.462070169867408</v>
      </c>
      <c r="CJ38">
        <f t="shared" si="90"/>
        <v>3.2000000000000001E-2</v>
      </c>
      <c r="CK38">
        <f t="shared" si="15"/>
        <v>121067.31300000001</v>
      </c>
      <c r="CL38">
        <f t="shared" si="16"/>
        <v>5.0101351146636238E-3</v>
      </c>
      <c r="CM38">
        <f t="shared" si="91"/>
        <v>4.2270888318460169E-3</v>
      </c>
      <c r="CN38">
        <f t="shared" si="92"/>
        <v>1.1310587009112321E-2</v>
      </c>
      <c r="CO38">
        <f t="shared" si="93"/>
        <v>13.545247882846814</v>
      </c>
      <c r="CP38">
        <f t="shared" si="249"/>
        <v>3.4305165400486971E-6</v>
      </c>
      <c r="CQ38">
        <f t="shared" si="213"/>
        <v>6.4635743709304519E-3</v>
      </c>
      <c r="CR38">
        <f t="shared" si="94"/>
        <v>782.52758146421513</v>
      </c>
      <c r="CS38">
        <f t="shared" si="214"/>
        <v>1.100324765514063E-6</v>
      </c>
      <c r="CT38">
        <f t="shared" si="95"/>
        <v>2.471800430214951E-3</v>
      </c>
      <c r="CU38">
        <f t="shared" si="96"/>
        <v>0.28513360717650094</v>
      </c>
      <c r="CW38">
        <f t="shared" si="97"/>
        <v>13.359763906600422</v>
      </c>
      <c r="CX38">
        <f t="shared" si="98"/>
        <v>3.2000000000000001E-2</v>
      </c>
      <c r="CY38">
        <f t="shared" si="17"/>
        <v>121067.31300000001</v>
      </c>
      <c r="CZ38">
        <f t="shared" si="18"/>
        <v>5.0101351146636238E-3</v>
      </c>
      <c r="DA38">
        <f t="shared" si="99"/>
        <v>4.2270888318460169E-3</v>
      </c>
      <c r="DB38">
        <f t="shared" si="100"/>
        <v>1.1310587009112321E-2</v>
      </c>
      <c r="DC38">
        <f t="shared" si="101"/>
        <v>13.545247882846814</v>
      </c>
      <c r="DD38">
        <f t="shared" si="250"/>
        <v>3.325270767919786E-6</v>
      </c>
      <c r="DE38">
        <f t="shared" si="215"/>
        <v>6.2454174430329554E-3</v>
      </c>
      <c r="DF38">
        <f t="shared" si="102"/>
        <v>756.11590839133055</v>
      </c>
      <c r="DG38">
        <f t="shared" si="216"/>
        <v>1.0815964390178538E-6</v>
      </c>
      <c r="DH38">
        <f t="shared" si="103"/>
        <v>2.3800252116801071E-3</v>
      </c>
      <c r="DI38">
        <f t="shared" si="104"/>
        <v>0.27638591384902128</v>
      </c>
      <c r="DK38">
        <f t="shared" si="105"/>
        <v>15.257457643333435</v>
      </c>
      <c r="DL38">
        <f t="shared" si="106"/>
        <v>3.2000000000000001E-2</v>
      </c>
      <c r="DM38">
        <f t="shared" si="19"/>
        <v>121067.31300000001</v>
      </c>
      <c r="DN38">
        <f t="shared" si="20"/>
        <v>5.0101351146636238E-3</v>
      </c>
      <c r="DO38">
        <f t="shared" si="107"/>
        <v>4.2270888318460169E-3</v>
      </c>
      <c r="DP38">
        <f t="shared" si="108"/>
        <v>1.1310587009112321E-2</v>
      </c>
      <c r="DQ38">
        <f t="shared" si="109"/>
        <v>13.545247882846814</v>
      </c>
      <c r="DR38">
        <f t="shared" si="251"/>
        <v>3.2253044049863925E-6</v>
      </c>
      <c r="DS38">
        <f t="shared" si="217"/>
        <v>6.0385327427716967E-3</v>
      </c>
      <c r="DT38">
        <f t="shared" si="110"/>
        <v>731.06893362988956</v>
      </c>
      <c r="DU38">
        <f t="shared" si="218"/>
        <v>1.0635311769484203E-6</v>
      </c>
      <c r="DV38">
        <f t="shared" si="111"/>
        <v>2.2931468789338491E-3</v>
      </c>
      <c r="DW38">
        <f t="shared" si="112"/>
        <v>0.26807702819674306</v>
      </c>
      <c r="DY38">
        <f t="shared" si="113"/>
        <v>17.155151380066449</v>
      </c>
      <c r="DZ38">
        <f t="shared" si="114"/>
        <v>3.2000000000000001E-2</v>
      </c>
      <c r="EA38">
        <f t="shared" si="21"/>
        <v>121067.31300000001</v>
      </c>
      <c r="EB38">
        <f t="shared" si="22"/>
        <v>5.0101351146636238E-3</v>
      </c>
      <c r="EC38">
        <f t="shared" si="115"/>
        <v>4.2270888318460169E-3</v>
      </c>
      <c r="ED38">
        <f t="shared" si="116"/>
        <v>1.1310587009112321E-2</v>
      </c>
      <c r="EE38">
        <f t="shared" si="117"/>
        <v>13.545247882846814</v>
      </c>
      <c r="EF38">
        <f t="shared" si="252"/>
        <v>3.1302794834285365E-6</v>
      </c>
      <c r="EG38">
        <f t="shared" si="219"/>
        <v>5.842185575500352E-3</v>
      </c>
      <c r="EH38">
        <f t="shared" si="118"/>
        <v>707.29770967318632</v>
      </c>
      <c r="EI38">
        <f t="shared" si="220"/>
        <v>1.0460975545953511E-6</v>
      </c>
      <c r="EJ38">
        <f t="shared" si="119"/>
        <v>2.2108402598601329E-3</v>
      </c>
      <c r="EK38">
        <f t="shared" si="120"/>
        <v>0.26017885941103863</v>
      </c>
      <c r="EM38">
        <f t="shared" si="121"/>
        <v>19.052845116799464</v>
      </c>
      <c r="EN38">
        <f t="shared" si="122"/>
        <v>3.2000000000000001E-2</v>
      </c>
      <c r="EO38">
        <f t="shared" si="23"/>
        <v>121067.31300000001</v>
      </c>
      <c r="EP38">
        <f t="shared" si="24"/>
        <v>5.0101351146636238E-3</v>
      </c>
      <c r="EQ38">
        <f t="shared" si="123"/>
        <v>4.2270888318460169E-3</v>
      </c>
      <c r="ER38">
        <f t="shared" si="124"/>
        <v>1.1310587009112321E-2</v>
      </c>
      <c r="ES38">
        <f t="shared" si="125"/>
        <v>13.545247882846814</v>
      </c>
      <c r="ET38">
        <f t="shared" si="253"/>
        <v>3.0398832547368034E-6</v>
      </c>
      <c r="EU38">
        <f t="shared" si="221"/>
        <v>5.655696806778872E-3</v>
      </c>
      <c r="EV38">
        <f t="shared" si="126"/>
        <v>684.72001553939822</v>
      </c>
      <c r="EW38">
        <f t="shared" si="222"/>
        <v>1.0292658714005799E-6</v>
      </c>
      <c r="EX38">
        <f t="shared" si="127"/>
        <v>2.1328051053311576E-3</v>
      </c>
      <c r="EY38">
        <f t="shared" si="128"/>
        <v>0.25266541283204036</v>
      </c>
      <c r="FA38">
        <f t="shared" si="129"/>
        <v>20.950538853532478</v>
      </c>
      <c r="FB38">
        <f t="shared" si="130"/>
        <v>3.2000000000000001E-2</v>
      </c>
      <c r="FC38">
        <f t="shared" si="25"/>
        <v>121067.31300000001</v>
      </c>
      <c r="FD38">
        <f t="shared" si="26"/>
        <v>5.0101351146636238E-3</v>
      </c>
      <c r="FE38">
        <f t="shared" si="131"/>
        <v>4.2270888318460169E-3</v>
      </c>
      <c r="FF38">
        <f t="shared" si="132"/>
        <v>1.1310587009112321E-2</v>
      </c>
      <c r="FG38">
        <f t="shared" si="133"/>
        <v>13.545247882846814</v>
      </c>
      <c r="FH38">
        <f t="shared" si="254"/>
        <v>2.9538260939051382E-6</v>
      </c>
      <c r="FI38">
        <f t="shared" si="223"/>
        <v>5.4784381960967278E-3</v>
      </c>
      <c r="FJ38">
        <f t="shared" si="134"/>
        <v>663.25979183799802</v>
      </c>
      <c r="FK38">
        <f t="shared" si="224"/>
        <v>1.0130080489935432E-6</v>
      </c>
      <c r="FL38">
        <f t="shared" si="135"/>
        <v>2.0587639741967158E-3</v>
      </c>
      <c r="FM38">
        <f t="shared" si="136"/>
        <v>0.24551261575182204</v>
      </c>
      <c r="FO38">
        <f t="shared" si="137"/>
        <v>22.848232590265493</v>
      </c>
      <c r="FP38">
        <f t="shared" si="138"/>
        <v>3.2000000000000001E-2</v>
      </c>
      <c r="FQ38">
        <f t="shared" si="27"/>
        <v>121067.31300000001</v>
      </c>
      <c r="FR38">
        <f t="shared" si="28"/>
        <v>5.0101351146636238E-3</v>
      </c>
      <c r="FS38">
        <f t="shared" si="139"/>
        <v>4.2270888318460169E-3</v>
      </c>
      <c r="FT38">
        <f t="shared" si="140"/>
        <v>1.1310587009112321E-2</v>
      </c>
      <c r="FU38">
        <f t="shared" si="141"/>
        <v>13.545247882846814</v>
      </c>
      <c r="FV38">
        <f t="shared" si="255"/>
        <v>2.8718395922494519E-6</v>
      </c>
      <c r="FW38">
        <f t="shared" si="225"/>
        <v>5.3098281541402292E-3</v>
      </c>
      <c r="FX38">
        <f t="shared" si="142"/>
        <v>642.84662711350745</v>
      </c>
      <c r="FY38">
        <f t="shared" si="226"/>
        <v>9.9729753539299345E-7</v>
      </c>
      <c r="FZ38">
        <f t="shared" si="143"/>
        <v>1.9884603118209766E-3</v>
      </c>
      <c r="GA38">
        <f t="shared" si="144"/>
        <v>0.23869815889555626</v>
      </c>
      <c r="GC38">
        <f t="shared" si="145"/>
        <v>24.745926326998507</v>
      </c>
      <c r="GD38">
        <f t="shared" si="146"/>
        <v>3.2000000000000001E-2</v>
      </c>
      <c r="GE38">
        <f t="shared" si="29"/>
        <v>121067.31300000001</v>
      </c>
      <c r="GF38">
        <f t="shared" si="30"/>
        <v>5.0101351146636238E-3</v>
      </c>
      <c r="GG38">
        <f t="shared" si="147"/>
        <v>4.2270888318460169E-3</v>
      </c>
      <c r="GH38">
        <f t="shared" si="148"/>
        <v>1.1310587009112321E-2</v>
      </c>
      <c r="GI38">
        <f t="shared" si="149"/>
        <v>13.545247882846814</v>
      </c>
      <c r="GJ38">
        <f t="shared" si="256"/>
        <v>2.7936748208234721E-6</v>
      </c>
      <c r="GK38">
        <f t="shared" si="227"/>
        <v>5.1493278828511407E-3</v>
      </c>
      <c r="GL38">
        <f t="shared" si="150"/>
        <v>623.41529053276645</v>
      </c>
      <c r="GM38">
        <f t="shared" si="228"/>
        <v>9.8210921501530605E-7</v>
      </c>
      <c r="GN38">
        <f t="shared" si="151"/>
        <v>1.9216567034245526E-3</v>
      </c>
      <c r="GO38">
        <f t="shared" si="152"/>
        <v>0.23220135208217185</v>
      </c>
      <c r="GQ38">
        <f t="shared" si="153"/>
        <v>26.643620063731522</v>
      </c>
      <c r="GR38">
        <f t="shared" si="154"/>
        <v>3.2000000000000001E-2</v>
      </c>
      <c r="GS38">
        <f t="shared" si="31"/>
        <v>121067.31300000001</v>
      </c>
      <c r="GT38">
        <f t="shared" si="32"/>
        <v>5.0101351146636238E-3</v>
      </c>
      <c r="GU38">
        <f t="shared" si="155"/>
        <v>4.2270888318460169E-3</v>
      </c>
      <c r="GV38">
        <f t="shared" si="156"/>
        <v>1.1310587009112321E-2</v>
      </c>
      <c r="GW38">
        <f t="shared" si="157"/>
        <v>13.545247882846814</v>
      </c>
      <c r="GX38">
        <f t="shared" si="257"/>
        <v>2.7191007482056106E-6</v>
      </c>
      <c r="GY38">
        <f t="shared" si="229"/>
        <v>4.9964378616175267E-3</v>
      </c>
      <c r="GZ38">
        <f t="shared" si="158"/>
        <v>604.90530647749983</v>
      </c>
      <c r="HA38">
        <f t="shared" si="230"/>
        <v>9.6741932414757394E-7</v>
      </c>
      <c r="HB38">
        <f t="shared" si="159"/>
        <v>1.8581332853820176E-3</v>
      </c>
      <c r="HC38">
        <f t="shared" si="160"/>
        <v>0.22600299271583824</v>
      </c>
      <c r="HE38">
        <f t="shared" si="161"/>
        <v>28.541313800464536</v>
      </c>
      <c r="HF38">
        <f t="shared" si="162"/>
        <v>3.2000000000000001E-2</v>
      </c>
      <c r="HG38">
        <f t="shared" si="33"/>
        <v>121067.31300000001</v>
      </c>
      <c r="HH38">
        <f t="shared" si="34"/>
        <v>5.0101351146636238E-3</v>
      </c>
      <c r="HI38">
        <f t="shared" ref="HI38:HI101" si="263">2*SQRT($G$12*$G$13/(PI()*HH38))</f>
        <v>4.2270888318460169E-3</v>
      </c>
      <c r="HJ38">
        <f t="shared" si="164"/>
        <v>1.1310587009112321E-2</v>
      </c>
      <c r="HK38">
        <f t="shared" si="165"/>
        <v>13.545247882846814</v>
      </c>
      <c r="HL38">
        <f t="shared" si="258"/>
        <v>2.6479027980468535E-6</v>
      </c>
      <c r="HM38">
        <f t="shared" si="231"/>
        <v>4.8506946466086096E-3</v>
      </c>
      <c r="HN38">
        <f t="shared" si="166"/>
        <v>587.26056704838902</v>
      </c>
      <c r="HO38">
        <f t="shared" si="232"/>
        <v>9.53205371561702E-7</v>
      </c>
      <c r="HP38">
        <f t="shared" si="167"/>
        <v>1.7976862993204711E-3</v>
      </c>
      <c r="HQ38">
        <f t="shared" si="168"/>
        <v>0.22008524589394099</v>
      </c>
      <c r="HS38">
        <f t="shared" si="169"/>
        <v>30.439007537197551</v>
      </c>
      <c r="HT38">
        <f t="shared" si="170"/>
        <v>3.2000000000000001E-2</v>
      </c>
      <c r="HU38">
        <f t="shared" si="35"/>
        <v>121067.31300000001</v>
      </c>
      <c r="HV38">
        <f t="shared" si="36"/>
        <v>5.0101351146636238E-3</v>
      </c>
      <c r="HW38">
        <f t="shared" ref="HW38:HW101" si="264">2*SQRT($G$12*$G$13/(PI()*HV38))</f>
        <v>4.2270888318460169E-3</v>
      </c>
      <c r="HX38">
        <f t="shared" si="172"/>
        <v>1.1310587009112321E-2</v>
      </c>
      <c r="HY38">
        <f t="shared" si="173"/>
        <v>13.545247882846814</v>
      </c>
      <c r="HZ38">
        <f t="shared" si="259"/>
        <v>2.579881533219384E-6</v>
      </c>
      <c r="IA38">
        <f t="shared" si="233"/>
        <v>4.7116679535564587E-3</v>
      </c>
      <c r="IB38">
        <f t="shared" si="174"/>
        <v>570.42897888528933</v>
      </c>
      <c r="IC38">
        <f t="shared" si="234"/>
        <v>9.3944606396292619E-7</v>
      </c>
      <c r="ID38">
        <f t="shared" si="175"/>
        <v>1.7401267753843019E-3</v>
      </c>
      <c r="IE38">
        <f t="shared" si="176"/>
        <v>0.21443153503770676</v>
      </c>
      <c r="IG38">
        <f t="shared" si="177"/>
        <v>32.336701273930565</v>
      </c>
      <c r="IH38">
        <f t="shared" si="178"/>
        <v>3.2000000000000001E-2</v>
      </c>
      <c r="II38">
        <f t="shared" si="37"/>
        <v>121067.31300000001</v>
      </c>
      <c r="IJ38">
        <f t="shared" si="38"/>
        <v>5.0101351146636238E-3</v>
      </c>
      <c r="IK38">
        <f t="shared" ref="IK38:IK101" si="265">2*SQRT($G$12*$G$13/(PI()*IJ38))</f>
        <v>4.2270888318460169E-3</v>
      </c>
      <c r="IL38">
        <f t="shared" si="180"/>
        <v>1.1310587009112321E-2</v>
      </c>
      <c r="IM38">
        <f t="shared" si="181"/>
        <v>13.545247882846814</v>
      </c>
      <c r="IN38">
        <f t="shared" si="260"/>
        <v>2.514851454706537E-6</v>
      </c>
      <c r="IO38">
        <f t="shared" si="235"/>
        <v>4.5789579972387636E-3</v>
      </c>
      <c r="IP38">
        <f t="shared" si="182"/>
        <v>554.3621410655586</v>
      </c>
      <c r="IQ38">
        <f t="shared" si="236"/>
        <v>9.2612123598270843E-7</v>
      </c>
      <c r="IR38">
        <f t="shared" si="183"/>
        <v>1.6852793323937144E-3</v>
      </c>
      <c r="IS38">
        <f t="shared" si="184"/>
        <v>0.20902644205976242</v>
      </c>
      <c r="IU38">
        <f t="shared" si="185"/>
        <v>34.234395010663576</v>
      </c>
      <c r="IV38">
        <f t="shared" si="186"/>
        <v>3.2000000000000001E-2</v>
      </c>
      <c r="IW38">
        <f t="shared" si="39"/>
        <v>121067.31300000001</v>
      </c>
      <c r="IX38">
        <f t="shared" si="40"/>
        <v>5.0101351146636238E-3</v>
      </c>
      <c r="IY38">
        <f t="shared" ref="IY38:IY101" si="266">2*SQRT($G$12*$G$13/(PI()*IX38))</f>
        <v>4.2270888318460169E-3</v>
      </c>
      <c r="IZ38">
        <f t="shared" si="188"/>
        <v>1.1310587009112321E-2</v>
      </c>
      <c r="JA38">
        <f t="shared" si="189"/>
        <v>13.545247882846814</v>
      </c>
      <c r="JB38">
        <f t="shared" si="261"/>
        <v>2.4526399045422116E-6</v>
      </c>
      <c r="JC38">
        <f t="shared" si="237"/>
        <v>4.4521930635672479E-3</v>
      </c>
      <c r="JD38">
        <f t="shared" si="190"/>
        <v>539.01505116332498</v>
      </c>
      <c r="JE38">
        <f t="shared" si="238"/>
        <v>9.1321178444206138E-7</v>
      </c>
      <c r="JF38">
        <f t="shared" si="191"/>
        <v>1.6329810838459759E-3</v>
      </c>
      <c r="JG38">
        <f t="shared" si="192"/>
        <v>0.20385561617995362</v>
      </c>
      <c r="JI38">
        <f t="shared" si="193"/>
        <v>36.132088747396594</v>
      </c>
      <c r="JJ38">
        <f t="shared" si="194"/>
        <v>3.2000000000000001E-2</v>
      </c>
      <c r="JK38">
        <f t="shared" si="41"/>
        <v>121067.31300000001</v>
      </c>
      <c r="JL38">
        <f t="shared" si="42"/>
        <v>5.0101351146636238E-3</v>
      </c>
      <c r="JM38">
        <f t="shared" ref="JM38:JM101" si="267">2*SQRT($G$12*$G$13/(PI()*JL38))</f>
        <v>4.2270888318460169E-3</v>
      </c>
      <c r="JN38">
        <f t="shared" si="196"/>
        <v>1.1310587009112321E-2</v>
      </c>
      <c r="JO38">
        <f t="shared" si="197"/>
        <v>13.545247882846814</v>
      </c>
      <c r="JP38">
        <f t="shared" si="262"/>
        <v>2.3930860631561708E-6</v>
      </c>
      <c r="JQ38">
        <f t="shared" si="239"/>
        <v>4.3310272925569243E-3</v>
      </c>
      <c r="JR38">
        <f t="shared" si="198"/>
        <v>524.34583683953178</v>
      </c>
      <c r="JS38">
        <f t="shared" si="240"/>
        <v>9.0069960662599172E-7</v>
      </c>
      <c r="JT38">
        <f t="shared" si="199"/>
        <v>1.5830806398048395E-3</v>
      </c>
      <c r="JU38">
        <f t="shared" si="200"/>
        <v>0.19890569058787996</v>
      </c>
    </row>
    <row r="39" spans="2:281">
      <c r="B39">
        <v>0.05</v>
      </c>
      <c r="C39">
        <f t="shared" si="43"/>
        <v>9.4884686836650731E-2</v>
      </c>
      <c r="D39">
        <f t="shared" si="44"/>
        <v>4.0000000000000008E-2</v>
      </c>
      <c r="E39">
        <f t="shared" si="3"/>
        <v>120882.88500000001</v>
      </c>
      <c r="F39">
        <f t="shared" si="4"/>
        <v>5.0126817660064498E-3</v>
      </c>
      <c r="G39">
        <f t="shared" si="45"/>
        <v>4.2260149267432092E-3</v>
      </c>
      <c r="H39">
        <f t="shared" si="46"/>
        <v>1.1327843289361726E-2</v>
      </c>
      <c r="I39">
        <f t="shared" si="47"/>
        <v>13.55902147969768</v>
      </c>
      <c r="J39">
        <f t="shared" si="241"/>
        <v>4.192371129502092E-6</v>
      </c>
      <c r="K39">
        <f t="shared" si="201"/>
        <v>9.7517231307407467E-3</v>
      </c>
      <c r="L39">
        <f t="shared" si="48"/>
        <v>1178.8164257651738</v>
      </c>
      <c r="M39">
        <f t="shared" si="202"/>
        <v>1.3504986374247335E-6</v>
      </c>
      <c r="N39">
        <f t="shared" si="203"/>
        <v>3.0168753777995287E-3</v>
      </c>
      <c r="O39">
        <f t="shared" si="49"/>
        <v>0.34845653382583142</v>
      </c>
      <c r="Q39">
        <f t="shared" si="50"/>
        <v>1.9925784235696653</v>
      </c>
      <c r="R39">
        <f t="shared" si="51"/>
        <v>4.0000000000000008E-2</v>
      </c>
      <c r="S39">
        <f t="shared" si="5"/>
        <v>120882.88500000001</v>
      </c>
      <c r="T39">
        <f t="shared" si="6"/>
        <v>5.0126817660064498E-3</v>
      </c>
      <c r="U39">
        <f t="shared" si="52"/>
        <v>4.2260149267432092E-3</v>
      </c>
      <c r="V39">
        <f t="shared" si="53"/>
        <v>1.1327843289361726E-2</v>
      </c>
      <c r="W39">
        <f t="shared" si="54"/>
        <v>13.55902147969768</v>
      </c>
      <c r="X39">
        <f t="shared" si="242"/>
        <v>4.0467505084917954E-6</v>
      </c>
      <c r="Y39">
        <f t="shared" si="204"/>
        <v>9.3769056182869872E-3</v>
      </c>
      <c r="Z39">
        <f t="shared" si="55"/>
        <v>1133.5074035112398</v>
      </c>
      <c r="AA39">
        <f t="shared" si="205"/>
        <v>1.32429043270506E-6</v>
      </c>
      <c r="AB39">
        <f t="shared" si="56"/>
        <v>2.8901095290448614E-3</v>
      </c>
      <c r="AC39">
        <f t="shared" si="57"/>
        <v>0.3363530116701392</v>
      </c>
      <c r="AE39">
        <f t="shared" si="58"/>
        <v>3.8902721603026791</v>
      </c>
      <c r="AF39">
        <f t="shared" si="59"/>
        <v>4.0000000000000008E-2</v>
      </c>
      <c r="AG39">
        <f t="shared" si="7"/>
        <v>120882.88500000001</v>
      </c>
      <c r="AH39">
        <f t="shared" si="8"/>
        <v>5.0126817660064498E-3</v>
      </c>
      <c r="AI39">
        <f t="shared" si="60"/>
        <v>4.2260149267432092E-3</v>
      </c>
      <c r="AJ39">
        <f t="shared" si="61"/>
        <v>1.1327843289361726E-2</v>
      </c>
      <c r="AK39">
        <f t="shared" si="62"/>
        <v>13.55902147969768</v>
      </c>
      <c r="AL39">
        <f t="shared" si="243"/>
        <v>3.909105691897035E-6</v>
      </c>
      <c r="AM39">
        <f t="shared" si="206"/>
        <v>9.0233075125055792E-3</v>
      </c>
      <c r="AN39">
        <f t="shared" si="63"/>
        <v>1090.7634443538482</v>
      </c>
      <c r="AO39">
        <f t="shared" si="207"/>
        <v>1.2990813510451892E-6</v>
      </c>
      <c r="AP39">
        <f t="shared" si="64"/>
        <v>2.7707499866109538E-3</v>
      </c>
      <c r="AQ39">
        <f t="shared" si="65"/>
        <v>0.32491241297118795</v>
      </c>
      <c r="AS39">
        <f t="shared" si="66"/>
        <v>5.7879658970356935</v>
      </c>
      <c r="AT39">
        <f t="shared" si="67"/>
        <v>4.0000000000000008E-2</v>
      </c>
      <c r="AU39">
        <f t="shared" si="9"/>
        <v>120882.88500000001</v>
      </c>
      <c r="AV39">
        <f t="shared" si="10"/>
        <v>5.0126817660064498E-3</v>
      </c>
      <c r="AW39">
        <f t="shared" si="68"/>
        <v>4.2260149267432092E-3</v>
      </c>
      <c r="AX39">
        <f t="shared" si="69"/>
        <v>1.1327843289361726E-2</v>
      </c>
      <c r="AY39">
        <f t="shared" si="70"/>
        <v>13.55902147969768</v>
      </c>
      <c r="AZ39">
        <f t="shared" si="244"/>
        <v>3.7788905363955524E-6</v>
      </c>
      <c r="BA39">
        <f t="shared" si="208"/>
        <v>8.6894459846669821E-3</v>
      </c>
      <c r="BB39">
        <f t="shared" si="71"/>
        <v>1050.4052996782107</v>
      </c>
      <c r="BC39">
        <f t="shared" si="209"/>
        <v>1.2748218928285956E-6</v>
      </c>
      <c r="BD39">
        <f t="shared" si="72"/>
        <v>2.6582695234066739E-3</v>
      </c>
      <c r="BE39">
        <f t="shared" si="73"/>
        <v>0.3140893440357268</v>
      </c>
      <c r="BG39">
        <f t="shared" si="74"/>
        <v>7.685659633768708</v>
      </c>
      <c r="BH39">
        <f t="shared" si="75"/>
        <v>4.0000000000000008E-2</v>
      </c>
      <c r="BI39">
        <f t="shared" si="11"/>
        <v>120882.88500000001</v>
      </c>
      <c r="BJ39">
        <f t="shared" si="12"/>
        <v>5.0126817660064498E-3</v>
      </c>
      <c r="BK39">
        <f t="shared" si="76"/>
        <v>4.2260149267432092E-3</v>
      </c>
      <c r="BL39">
        <f t="shared" si="77"/>
        <v>1.1327843289361726E-2</v>
      </c>
      <c r="BM39">
        <f t="shared" si="78"/>
        <v>13.55902147969768</v>
      </c>
      <c r="BN39">
        <f t="shared" si="245"/>
        <v>3.6556019045361658E-6</v>
      </c>
      <c r="BO39">
        <f t="shared" si="210"/>
        <v>8.3739567330656829E-3</v>
      </c>
      <c r="BP39">
        <f t="shared" si="79"/>
        <v>1012.2680487581547</v>
      </c>
      <c r="BQ39">
        <f t="shared" si="211"/>
        <v>1.2514653382169764E-6</v>
      </c>
      <c r="BR39">
        <f t="shared" si="80"/>
        <v>2.5521836155618883E-3</v>
      </c>
      <c r="BS39">
        <f t="shared" si="81"/>
        <v>0.3038419856815171</v>
      </c>
      <c r="BU39">
        <f t="shared" si="82"/>
        <v>9.5833533705017224</v>
      </c>
      <c r="BV39">
        <f t="shared" si="83"/>
        <v>4.0000000000000008E-2</v>
      </c>
      <c r="BW39">
        <f t="shared" si="13"/>
        <v>120882.88500000001</v>
      </c>
      <c r="BX39">
        <f t="shared" si="14"/>
        <v>5.0126817660064498E-3</v>
      </c>
      <c r="BY39">
        <f t="shared" si="84"/>
        <v>4.2260149267432092E-3</v>
      </c>
      <c r="BZ39">
        <f t="shared" si="85"/>
        <v>1.1327843289361726E-2</v>
      </c>
      <c r="CA39">
        <f t="shared" si="86"/>
        <v>13.55902147969768</v>
      </c>
      <c r="CB39">
        <f t="shared" si="246"/>
        <v>3.5387759319764451E-6</v>
      </c>
      <c r="CC39">
        <f t="shared" si="247"/>
        <v>8.07558357501411E-3</v>
      </c>
      <c r="CD39">
        <f t="shared" si="87"/>
        <v>976.19984060631964</v>
      </c>
      <c r="CE39">
        <f t="shared" si="248"/>
        <v>1.2289675822010525E-6</v>
      </c>
      <c r="CF39">
        <f t="shared" si="212"/>
        <v>2.4520466549079281E-3</v>
      </c>
      <c r="CG39">
        <f t="shared" si="88"/>
        <v>0.29413178298201831</v>
      </c>
      <c r="CI39">
        <f t="shared" si="89"/>
        <v>11.481047107234737</v>
      </c>
      <c r="CJ39">
        <f t="shared" si="90"/>
        <v>4.0000000000000008E-2</v>
      </c>
      <c r="CK39">
        <f t="shared" si="15"/>
        <v>120882.88500000001</v>
      </c>
      <c r="CL39">
        <f t="shared" si="16"/>
        <v>5.0126817660064498E-3</v>
      </c>
      <c r="CM39">
        <f t="shared" si="91"/>
        <v>4.2260149267432092E-3</v>
      </c>
      <c r="CN39">
        <f t="shared" si="92"/>
        <v>1.1327843289361726E-2</v>
      </c>
      <c r="CO39">
        <f t="shared" si="93"/>
        <v>13.55902147969768</v>
      </c>
      <c r="CP39">
        <f t="shared" si="249"/>
        <v>3.427984642543317E-6</v>
      </c>
      <c r="CQ39">
        <f t="shared" si="213"/>
        <v>7.7931690174760058E-3</v>
      </c>
      <c r="CR39">
        <f t="shared" si="94"/>
        <v>942.06075412511507</v>
      </c>
      <c r="CS39">
        <f t="shared" si="214"/>
        <v>1.2072869794300684E-6</v>
      </c>
      <c r="CT39">
        <f t="shared" si="95"/>
        <v>2.3574485203190967E-3</v>
      </c>
      <c r="CU39">
        <f t="shared" si="96"/>
        <v>0.28492316392100797</v>
      </c>
      <c r="CW39">
        <f t="shared" si="97"/>
        <v>13.378740843967751</v>
      </c>
      <c r="CX39">
        <f t="shared" si="98"/>
        <v>4.0000000000000008E-2</v>
      </c>
      <c r="CY39">
        <f t="shared" si="17"/>
        <v>120882.88500000001</v>
      </c>
      <c r="CZ39">
        <f t="shared" si="18"/>
        <v>5.0126817660064498E-3</v>
      </c>
      <c r="DA39">
        <f t="shared" si="99"/>
        <v>4.2260149267432092E-3</v>
      </c>
      <c r="DB39">
        <f t="shared" si="100"/>
        <v>1.1327843289361726E-2</v>
      </c>
      <c r="DC39">
        <f t="shared" si="101"/>
        <v>13.55902147969768</v>
      </c>
      <c r="DD39">
        <f t="shared" si="250"/>
        <v>3.3228328769709323E-6</v>
      </c>
      <c r="DE39">
        <f t="shared" si="215"/>
        <v>7.5256457096079124E-3</v>
      </c>
      <c r="DF39">
        <f t="shared" si="102"/>
        <v>909.72176486527678</v>
      </c>
      <c r="DG39">
        <f t="shared" si="216"/>
        <v>1.1863841982780977E-6</v>
      </c>
      <c r="DH39">
        <f t="shared" si="103"/>
        <v>2.268011472242119E-3</v>
      </c>
      <c r="DI39">
        <f t="shared" si="104"/>
        <v>0.27618328411905657</v>
      </c>
      <c r="DK39">
        <f t="shared" si="105"/>
        <v>15.276434580700768</v>
      </c>
      <c r="DL39">
        <f t="shared" si="106"/>
        <v>4.0000000000000008E-2</v>
      </c>
      <c r="DM39">
        <f t="shared" si="19"/>
        <v>120882.88500000001</v>
      </c>
      <c r="DN39">
        <f t="shared" si="20"/>
        <v>5.0126817660064498E-3</v>
      </c>
      <c r="DO39">
        <f t="shared" si="107"/>
        <v>4.2260149267432092E-3</v>
      </c>
      <c r="DP39">
        <f t="shared" si="108"/>
        <v>1.1327843289361726E-2</v>
      </c>
      <c r="DQ39">
        <f t="shared" si="109"/>
        <v>13.55902147969768</v>
      </c>
      <c r="DR39">
        <f t="shared" si="251"/>
        <v>3.2229555046499126E-6</v>
      </c>
      <c r="DS39">
        <f t="shared" si="217"/>
        <v>7.2720286903828566E-3</v>
      </c>
      <c r="DT39">
        <f t="shared" si="110"/>
        <v>879.06380789625155</v>
      </c>
      <c r="DU39">
        <f t="shared" si="218"/>
        <v>1.1662220836303034E-6</v>
      </c>
      <c r="DV39">
        <f t="shared" si="111"/>
        <v>2.1833873384079143E-3</v>
      </c>
      <c r="DW39">
        <f t="shared" si="112"/>
        <v>0.26788179508300647</v>
      </c>
      <c r="DY39">
        <f t="shared" si="113"/>
        <v>17.174128317433784</v>
      </c>
      <c r="DZ39">
        <f t="shared" si="114"/>
        <v>4.0000000000000008E-2</v>
      </c>
      <c r="EA39">
        <f t="shared" si="21"/>
        <v>120882.88500000001</v>
      </c>
      <c r="EB39">
        <f t="shared" si="22"/>
        <v>5.0126817660064498E-3</v>
      </c>
      <c r="EC39">
        <f t="shared" si="115"/>
        <v>4.2260149267432092E-3</v>
      </c>
      <c r="ED39">
        <f t="shared" si="116"/>
        <v>1.1327843289361726E-2</v>
      </c>
      <c r="EE39">
        <f t="shared" si="117"/>
        <v>13.55902147969768</v>
      </c>
      <c r="EF39">
        <f t="shared" si="252"/>
        <v>3.1280148908383297E-6</v>
      </c>
      <c r="EG39">
        <f t="shared" si="219"/>
        <v>7.0314083533370786E-3</v>
      </c>
      <c r="EH39">
        <f t="shared" si="118"/>
        <v>849.9769273644855</v>
      </c>
      <c r="EI39">
        <f t="shared" si="220"/>
        <v>1.1467655278965767E-6</v>
      </c>
      <c r="EJ39">
        <f t="shared" si="119"/>
        <v>2.1032549620024518E-3</v>
      </c>
      <c r="EK39">
        <f t="shared" si="120"/>
        <v>0.25999063368861675</v>
      </c>
      <c r="EM39">
        <f t="shared" si="121"/>
        <v>19.071822054166798</v>
      </c>
      <c r="EN39">
        <f t="shared" si="122"/>
        <v>4.0000000000000008E-2</v>
      </c>
      <c r="EO39">
        <f t="shared" si="23"/>
        <v>120882.88500000001</v>
      </c>
      <c r="EP39">
        <f t="shared" si="24"/>
        <v>5.0126817660064498E-3</v>
      </c>
      <c r="EQ39">
        <f t="shared" si="123"/>
        <v>4.2260149267432092E-3</v>
      </c>
      <c r="ER39">
        <f t="shared" si="124"/>
        <v>1.1327843289361726E-2</v>
      </c>
      <c r="ES39">
        <f t="shared" si="125"/>
        <v>13.55902147969768</v>
      </c>
      <c r="ET39">
        <f t="shared" si="253"/>
        <v>3.0376985945758773E-6</v>
      </c>
      <c r="EU39">
        <f t="shared" si="221"/>
        <v>6.8029440584218897E-3</v>
      </c>
      <c r="EV39">
        <f t="shared" si="126"/>
        <v>822.3595042756466</v>
      </c>
      <c r="EW39">
        <f t="shared" si="222"/>
        <v>1.1279813497837376E-6</v>
      </c>
      <c r="EX39">
        <f t="shared" si="127"/>
        <v>2.0273178865111911E-3</v>
      </c>
      <c r="EY39">
        <f t="shared" si="128"/>
        <v>0.25248383083852205</v>
      </c>
      <c r="FA39">
        <f t="shared" si="129"/>
        <v>20.969515790899813</v>
      </c>
      <c r="FB39">
        <f t="shared" si="130"/>
        <v>4.0000000000000008E-2</v>
      </c>
      <c r="FC39">
        <f t="shared" si="25"/>
        <v>120882.88500000001</v>
      </c>
      <c r="FD39">
        <f t="shared" si="26"/>
        <v>5.0126817660064498E-3</v>
      </c>
      <c r="FE39">
        <f t="shared" si="131"/>
        <v>4.2260149267432092E-3</v>
      </c>
      <c r="FF39">
        <f t="shared" si="132"/>
        <v>1.1327843289361726E-2</v>
      </c>
      <c r="FG39">
        <f t="shared" si="133"/>
        <v>13.55902147969768</v>
      </c>
      <c r="FH39">
        <f t="shared" si="254"/>
        <v>2.951717275043098E-6</v>
      </c>
      <c r="FI39">
        <f t="shared" si="223"/>
        <v>6.5858583280511227E-3</v>
      </c>
      <c r="FJ39">
        <f t="shared" si="134"/>
        <v>796.11755489609618</v>
      </c>
      <c r="FK39">
        <f t="shared" si="224"/>
        <v>1.1098381803802657E-6</v>
      </c>
      <c r="FL39">
        <f t="shared" si="135"/>
        <v>1.9553022540818232E-3</v>
      </c>
      <c r="FM39">
        <f t="shared" si="136"/>
        <v>0.24533733744548081</v>
      </c>
      <c r="FO39">
        <f t="shared" si="137"/>
        <v>22.867209527632827</v>
      </c>
      <c r="FP39">
        <f t="shared" si="138"/>
        <v>4.0000000000000008E-2</v>
      </c>
      <c r="FQ39">
        <f t="shared" si="27"/>
        <v>120882.88500000001</v>
      </c>
      <c r="FR39">
        <f t="shared" si="28"/>
        <v>5.0126817660064498E-3</v>
      </c>
      <c r="FS39">
        <f t="shared" si="139"/>
        <v>4.2260149267432092E-3</v>
      </c>
      <c r="FT39">
        <f t="shared" si="140"/>
        <v>1.1327843289361726E-2</v>
      </c>
      <c r="FU39">
        <f t="shared" si="141"/>
        <v>13.55902147969768</v>
      </c>
      <c r="FV39">
        <f t="shared" si="255"/>
        <v>2.8698027863481718E-6</v>
      </c>
      <c r="FW39">
        <f t="shared" si="225"/>
        <v>6.3794315708029185E-3</v>
      </c>
      <c r="FX39">
        <f t="shared" si="142"/>
        <v>771.16409293873858</v>
      </c>
      <c r="FY39">
        <f t="shared" si="226"/>
        <v>1.0923063561297009E-6</v>
      </c>
      <c r="FZ39">
        <f t="shared" si="143"/>
        <v>1.8869548966050837E-3</v>
      </c>
      <c r="GA39">
        <f t="shared" si="144"/>
        <v>0.23852886607712195</v>
      </c>
      <c r="GC39">
        <f t="shared" si="145"/>
        <v>24.764903264365842</v>
      </c>
      <c r="GD39">
        <f t="shared" si="146"/>
        <v>4.0000000000000008E-2</v>
      </c>
      <c r="GE39">
        <f t="shared" si="29"/>
        <v>120882.88500000001</v>
      </c>
      <c r="GF39">
        <f t="shared" si="30"/>
        <v>5.0126817660064498E-3</v>
      </c>
      <c r="GG39">
        <f t="shared" si="147"/>
        <v>4.2260149267432092E-3</v>
      </c>
      <c r="GH39">
        <f t="shared" si="148"/>
        <v>1.1327843289361726E-2</v>
      </c>
      <c r="GI39">
        <f t="shared" si="149"/>
        <v>13.55902147969768</v>
      </c>
      <c r="GJ39">
        <f t="shared" si="256"/>
        <v>2.79170644273189E-6</v>
      </c>
      <c r="GK39">
        <f t="shared" si="227"/>
        <v>6.182997281941824E-3</v>
      </c>
      <c r="GL39">
        <f t="shared" si="150"/>
        <v>747.41854938828612</v>
      </c>
      <c r="GM39">
        <f t="shared" si="228"/>
        <v>1.0753578182904514E-6</v>
      </c>
      <c r="GN39">
        <f t="shared" si="151"/>
        <v>1.8220416008222922E-3</v>
      </c>
      <c r="GO39">
        <f t="shared" si="152"/>
        <v>0.23203774676530839</v>
      </c>
      <c r="GQ39">
        <f t="shared" si="153"/>
        <v>26.662597001098856</v>
      </c>
      <c r="GR39">
        <f t="shared" si="154"/>
        <v>4.0000000000000008E-2</v>
      </c>
      <c r="GS39">
        <f t="shared" si="31"/>
        <v>120882.88500000001</v>
      </c>
      <c r="GT39">
        <f t="shared" si="32"/>
        <v>5.0126817660064498E-3</v>
      </c>
      <c r="GU39">
        <f t="shared" si="155"/>
        <v>4.2260149267432092E-3</v>
      </c>
      <c r="GV39">
        <f t="shared" si="156"/>
        <v>1.1327843289361726E-2</v>
      </c>
      <c r="GW39">
        <f t="shared" si="157"/>
        <v>13.55902147969768</v>
      </c>
      <c r="GX39">
        <f t="shared" si="257"/>
        <v>2.71719743798185E-6</v>
      </c>
      <c r="GY39">
        <f t="shared" si="229"/>
        <v>5.9959376750380964E-3</v>
      </c>
      <c r="GZ39">
        <f t="shared" si="158"/>
        <v>724.80624443879765</v>
      </c>
      <c r="HA39">
        <f t="shared" si="230"/>
        <v>1.0589660185003383E-6</v>
      </c>
      <c r="HB39">
        <f t="shared" si="159"/>
        <v>1.7603455306576638E-3</v>
      </c>
      <c r="HC39">
        <f t="shared" si="160"/>
        <v>0.22584479563287971</v>
      </c>
      <c r="HE39">
        <f t="shared" si="161"/>
        <v>28.56029073783187</v>
      </c>
      <c r="HF39">
        <f t="shared" si="162"/>
        <v>4.0000000000000008E-2</v>
      </c>
      <c r="HG39">
        <f t="shared" si="33"/>
        <v>120882.88500000001</v>
      </c>
      <c r="HH39">
        <f t="shared" si="34"/>
        <v>5.0126817660064498E-3</v>
      </c>
      <c r="HI39">
        <f t="shared" si="263"/>
        <v>4.2260149267432092E-3</v>
      </c>
      <c r="HJ39">
        <f t="shared" si="164"/>
        <v>1.1327843289361726E-2</v>
      </c>
      <c r="HK39">
        <f t="shared" si="165"/>
        <v>13.55902147969768</v>
      </c>
      <c r="HL39">
        <f t="shared" si="258"/>
        <v>2.6460614044614052E-6</v>
      </c>
      <c r="HM39">
        <f t="shared" si="231"/>
        <v>5.817679703544458E-3</v>
      </c>
      <c r="HN39">
        <f t="shared" si="166"/>
        <v>703.25790657039886</v>
      </c>
      <c r="HO39">
        <f t="shared" si="232"/>
        <v>1.0431058300842347E-6</v>
      </c>
      <c r="HP39">
        <f t="shared" si="167"/>
        <v>1.70166579166612E-3</v>
      </c>
      <c r="HQ39">
        <f t="shared" si="168"/>
        <v>0.21993219512472853</v>
      </c>
      <c r="HS39">
        <f t="shared" si="169"/>
        <v>30.457984474564885</v>
      </c>
      <c r="HT39">
        <f t="shared" si="170"/>
        <v>4.0000000000000008E-2</v>
      </c>
      <c r="HU39">
        <f t="shared" si="35"/>
        <v>120882.88500000001</v>
      </c>
      <c r="HV39">
        <f t="shared" si="36"/>
        <v>5.0126817660064498E-3</v>
      </c>
      <c r="HW39">
        <f t="shared" si="264"/>
        <v>4.2260149267432092E-3</v>
      </c>
      <c r="HX39">
        <f t="shared" si="172"/>
        <v>1.1327843289361726E-2</v>
      </c>
      <c r="HY39">
        <f t="shared" si="173"/>
        <v>13.55902147969768</v>
      </c>
      <c r="HZ39">
        <f t="shared" si="259"/>
        <v>2.5780990986070319E-6</v>
      </c>
      <c r="IA39">
        <f t="shared" si="233"/>
        <v>5.6476914352988732E-3</v>
      </c>
      <c r="IB39">
        <f t="shared" si="174"/>
        <v>682.70923428871868</v>
      </c>
      <c r="IC39">
        <f t="shared" si="234"/>
        <v>1.0277534647623865E-6</v>
      </c>
      <c r="ID39">
        <f t="shared" si="175"/>
        <v>1.6458161240042002E-3</v>
      </c>
      <c r="IE39">
        <f t="shared" si="176"/>
        <v>0.21428338475052902</v>
      </c>
      <c r="IG39">
        <f t="shared" si="177"/>
        <v>32.355678211297899</v>
      </c>
      <c r="IH39">
        <f t="shared" si="178"/>
        <v>4.0000000000000008E-2</v>
      </c>
      <c r="II39">
        <f t="shared" si="37"/>
        <v>120882.88500000001</v>
      </c>
      <c r="IJ39">
        <f t="shared" si="38"/>
        <v>5.0126817660064498E-3</v>
      </c>
      <c r="IK39">
        <f t="shared" si="265"/>
        <v>4.2260149267432092E-3</v>
      </c>
      <c r="IL39">
        <f t="shared" si="180"/>
        <v>1.1327843289361726E-2</v>
      </c>
      <c r="IM39">
        <f t="shared" si="181"/>
        <v>13.55902147969768</v>
      </c>
      <c r="IN39">
        <f t="shared" si="260"/>
        <v>2.5131252010473021E-6</v>
      </c>
      <c r="IO39">
        <f t="shared" si="235"/>
        <v>5.4854787466061877E-3</v>
      </c>
      <c r="IP39">
        <f t="shared" si="182"/>
        <v>663.10049649593998</v>
      </c>
      <c r="IQ39">
        <f t="shared" si="236"/>
        <v>1.0128863944354487E-6</v>
      </c>
      <c r="IR39">
        <f t="shared" si="183"/>
        <v>1.5926237116916527E-3</v>
      </c>
      <c r="IS39">
        <f t="shared" si="184"/>
        <v>0.20888296135444792</v>
      </c>
      <c r="IU39">
        <f t="shared" si="185"/>
        <v>34.25337194803091</v>
      </c>
      <c r="IV39">
        <f t="shared" si="186"/>
        <v>4.0000000000000008E-2</v>
      </c>
      <c r="IW39">
        <f t="shared" si="39"/>
        <v>120882.88500000001</v>
      </c>
      <c r="IX39">
        <f t="shared" si="40"/>
        <v>5.0126817660064498E-3</v>
      </c>
      <c r="IY39">
        <f t="shared" si="266"/>
        <v>4.2260149267432092E-3</v>
      </c>
      <c r="IZ39">
        <f t="shared" si="188"/>
        <v>1.1327843289361726E-2</v>
      </c>
      <c r="JA39">
        <f t="shared" si="189"/>
        <v>13.55902147969768</v>
      </c>
      <c r="JB39">
        <f t="shared" si="261"/>
        <v>2.4509672206628888E-6</v>
      </c>
      <c r="JC39">
        <f t="shared" si="237"/>
        <v>5.3305823058587727E-3</v>
      </c>
      <c r="JD39">
        <f t="shared" si="190"/>
        <v>644.37616786216086</v>
      </c>
      <c r="JE39">
        <f t="shared" si="238"/>
        <v>9.9848327774020479E-7</v>
      </c>
      <c r="JF39">
        <f t="shared" si="191"/>
        <v>1.5419280971502999E-3</v>
      </c>
      <c r="JG39">
        <f t="shared" si="192"/>
        <v>0.20371658802410322</v>
      </c>
      <c r="JI39">
        <f t="shared" si="193"/>
        <v>36.151065684763928</v>
      </c>
      <c r="JJ39">
        <f t="shared" si="194"/>
        <v>4.0000000000000008E-2</v>
      </c>
      <c r="JK39">
        <f t="shared" si="41"/>
        <v>120882.88500000001</v>
      </c>
      <c r="JL39">
        <f t="shared" si="42"/>
        <v>5.0126817660064498E-3</v>
      </c>
      <c r="JM39">
        <f t="shared" si="267"/>
        <v>4.2260149267432092E-3</v>
      </c>
      <c r="JN39">
        <f t="shared" si="196"/>
        <v>1.1327843289361726E-2</v>
      </c>
      <c r="JO39">
        <f t="shared" si="197"/>
        <v>13.55902147969768</v>
      </c>
      <c r="JP39">
        <f t="shared" si="262"/>
        <v>2.3914644929542472E-6</v>
      </c>
      <c r="JQ39">
        <f t="shared" si="239"/>
        <v>5.1825748196167752E-3</v>
      </c>
      <c r="JR39">
        <f t="shared" si="198"/>
        <v>626.48459592363042</v>
      </c>
      <c r="JS39">
        <f t="shared" si="240"/>
        <v>9.8452389108643485E-7</v>
      </c>
      <c r="JT39">
        <f t="shared" si="199"/>
        <v>1.4935801911009567E-3</v>
      </c>
      <c r="JU39">
        <f t="shared" si="200"/>
        <v>0.19877091083807652</v>
      </c>
    </row>
    <row r="40" spans="2:281">
      <c r="B40">
        <v>0.06</v>
      </c>
      <c r="C40">
        <f t="shared" si="43"/>
        <v>0.11386162420398087</v>
      </c>
      <c r="D40">
        <f t="shared" si="44"/>
        <v>4.8000000000000001E-2</v>
      </c>
      <c r="E40">
        <f t="shared" si="3"/>
        <v>120698.45700000001</v>
      </c>
      <c r="F40">
        <f t="shared" si="4"/>
        <v>5.0152336031085362E-3</v>
      </c>
      <c r="G40">
        <f t="shared" si="45"/>
        <v>4.2249396554128226E-3</v>
      </c>
      <c r="H40">
        <f t="shared" si="46"/>
        <v>1.134515230502023E-2</v>
      </c>
      <c r="I40">
        <f t="shared" si="47"/>
        <v>13.572830144528014</v>
      </c>
      <c r="J40">
        <f t="shared" si="241"/>
        <v>4.1892809045997409E-6</v>
      </c>
      <c r="K40">
        <f t="shared" si="201"/>
        <v>1.1374516501348251E-2</v>
      </c>
      <c r="L40">
        <f t="shared" si="48"/>
        <v>1372.8865908337723</v>
      </c>
      <c r="M40">
        <f t="shared" si="202"/>
        <v>1.4574323078922958E-6</v>
      </c>
      <c r="N40">
        <f t="shared" si="203"/>
        <v>2.9022910179060005E-3</v>
      </c>
      <c r="O40">
        <f t="shared" si="49"/>
        <v>0.34819968417560893</v>
      </c>
      <c r="Q40">
        <f t="shared" si="50"/>
        <v>2.0115553609369954</v>
      </c>
      <c r="R40">
        <f t="shared" si="51"/>
        <v>4.8000000000000001E-2</v>
      </c>
      <c r="S40">
        <f t="shared" si="5"/>
        <v>120698.45700000001</v>
      </c>
      <c r="T40">
        <f t="shared" si="6"/>
        <v>5.0152336031085362E-3</v>
      </c>
      <c r="U40">
        <f t="shared" si="52"/>
        <v>4.2249396554128226E-3</v>
      </c>
      <c r="V40">
        <f t="shared" si="53"/>
        <v>1.134515230502023E-2</v>
      </c>
      <c r="W40">
        <f t="shared" si="54"/>
        <v>13.572830144528014</v>
      </c>
      <c r="X40">
        <f t="shared" si="242"/>
        <v>4.0437901315060904E-6</v>
      </c>
      <c r="Y40">
        <f t="shared" si="204"/>
        <v>1.0931510962139283E-2</v>
      </c>
      <c r="Z40">
        <f t="shared" si="55"/>
        <v>1319.416505808797</v>
      </c>
      <c r="AA40">
        <f t="shared" si="205"/>
        <v>1.4287689954176917E-6</v>
      </c>
      <c r="AB40">
        <f t="shared" si="56"/>
        <v>2.7781745899282256E-3</v>
      </c>
      <c r="AC40">
        <f t="shared" si="57"/>
        <v>0.33610695456512829</v>
      </c>
      <c r="AE40">
        <f t="shared" si="58"/>
        <v>3.9092490976700098</v>
      </c>
      <c r="AF40">
        <f t="shared" si="59"/>
        <v>4.8000000000000001E-2</v>
      </c>
      <c r="AG40">
        <f t="shared" si="7"/>
        <v>120698.45700000001</v>
      </c>
      <c r="AH40">
        <f t="shared" si="8"/>
        <v>5.0152336031085362E-3</v>
      </c>
      <c r="AI40">
        <f t="shared" si="60"/>
        <v>4.2249396554128226E-3</v>
      </c>
      <c r="AJ40">
        <f t="shared" si="61"/>
        <v>1.134515230502023E-2</v>
      </c>
      <c r="AK40">
        <f t="shared" si="62"/>
        <v>13.572830144528014</v>
      </c>
      <c r="AL40">
        <f t="shared" si="243"/>
        <v>3.906267576451557E-6</v>
      </c>
      <c r="AM40">
        <f t="shared" si="206"/>
        <v>1.0513708721309509E-2</v>
      </c>
      <c r="AN40">
        <f t="shared" si="63"/>
        <v>1268.9884200095007</v>
      </c>
      <c r="AO40">
        <f t="shared" si="207"/>
        <v>1.401199231612122E-6</v>
      </c>
      <c r="AP40">
        <f t="shared" si="64"/>
        <v>2.6613617479500232E-3</v>
      </c>
      <c r="AQ40">
        <f t="shared" si="65"/>
        <v>0.32467651785594648</v>
      </c>
      <c r="AS40">
        <f t="shared" si="66"/>
        <v>5.8069428344030243</v>
      </c>
      <c r="AT40">
        <f t="shared" si="67"/>
        <v>4.8000000000000001E-2</v>
      </c>
      <c r="AU40">
        <f t="shared" si="9"/>
        <v>120698.45700000001</v>
      </c>
      <c r="AV40">
        <f t="shared" si="10"/>
        <v>5.0152336031085362E-3</v>
      </c>
      <c r="AW40">
        <f t="shared" si="68"/>
        <v>4.2249396554128226E-3</v>
      </c>
      <c r="AX40">
        <f t="shared" si="69"/>
        <v>1.134515230502023E-2</v>
      </c>
      <c r="AY40">
        <f t="shared" si="70"/>
        <v>13.572830144528014</v>
      </c>
      <c r="AZ40">
        <f t="shared" si="244"/>
        <v>3.776167636159486E-6</v>
      </c>
      <c r="BA40">
        <f t="shared" si="208"/>
        <v>1.0119343351862476E-2</v>
      </c>
      <c r="BB40">
        <f t="shared" si="71"/>
        <v>1221.389128423009</v>
      </c>
      <c r="BC40">
        <f t="shared" si="209"/>
        <v>1.3746688320447923E-6</v>
      </c>
      <c r="BD40">
        <f t="shared" si="72"/>
        <v>2.5513304130743088E-3</v>
      </c>
      <c r="BE40">
        <f t="shared" si="73"/>
        <v>0.31386302524168291</v>
      </c>
      <c r="BG40">
        <f t="shared" si="74"/>
        <v>7.7046365711360378</v>
      </c>
      <c r="BH40">
        <f t="shared" si="75"/>
        <v>4.8000000000000001E-2</v>
      </c>
      <c r="BI40">
        <f t="shared" si="11"/>
        <v>120698.45700000001</v>
      </c>
      <c r="BJ40">
        <f t="shared" si="12"/>
        <v>5.0152336031085362E-3</v>
      </c>
      <c r="BK40">
        <f t="shared" si="76"/>
        <v>4.2249396554128226E-3</v>
      </c>
      <c r="BL40">
        <f t="shared" si="77"/>
        <v>1.134515230502023E-2</v>
      </c>
      <c r="BM40">
        <f t="shared" si="78"/>
        <v>13.572830144528014</v>
      </c>
      <c r="BN40">
        <f t="shared" si="245"/>
        <v>3.6529876694828321E-6</v>
      </c>
      <c r="BO40">
        <f t="shared" si="210"/>
        <v>9.7467899241163985E-3</v>
      </c>
      <c r="BP40">
        <f t="shared" si="79"/>
        <v>1176.4225045439964</v>
      </c>
      <c r="BQ40">
        <f t="shared" si="211"/>
        <v>1.3491266551890401E-6</v>
      </c>
      <c r="BR40">
        <f t="shared" si="80"/>
        <v>2.447600916224838E-3</v>
      </c>
      <c r="BS40">
        <f t="shared" si="81"/>
        <v>0.30362469879131782</v>
      </c>
      <c r="BU40">
        <f t="shared" si="82"/>
        <v>9.6023303078690532</v>
      </c>
      <c r="BV40">
        <f t="shared" si="83"/>
        <v>4.8000000000000001E-2</v>
      </c>
      <c r="BW40">
        <f t="shared" si="13"/>
        <v>120698.45700000001</v>
      </c>
      <c r="BX40">
        <f t="shared" si="14"/>
        <v>5.0152336031085362E-3</v>
      </c>
      <c r="BY40">
        <f t="shared" si="84"/>
        <v>4.2249396554128226E-3</v>
      </c>
      <c r="BZ40">
        <f t="shared" si="85"/>
        <v>1.134515230502023E-2</v>
      </c>
      <c r="CA40">
        <f t="shared" si="86"/>
        <v>13.572830144528014</v>
      </c>
      <c r="CB40">
        <f t="shared" si="246"/>
        <v>3.5362642685214397E-6</v>
      </c>
      <c r="CC40">
        <f t="shared" si="247"/>
        <v>9.3945525603711943E-3</v>
      </c>
      <c r="CD40">
        <f t="shared" si="87"/>
        <v>1133.9079982422027</v>
      </c>
      <c r="CE40">
        <f t="shared" si="248"/>
        <v>1.3245244218720869E-6</v>
      </c>
      <c r="CF40">
        <f t="shared" si="212"/>
        <v>2.3497322284301678E-3</v>
      </c>
      <c r="CG40">
        <f t="shared" si="88"/>
        <v>0.29392302151633859</v>
      </c>
      <c r="CI40">
        <f t="shared" si="89"/>
        <v>11.500024044602068</v>
      </c>
      <c r="CJ40">
        <f t="shared" si="90"/>
        <v>4.8000000000000001E-2</v>
      </c>
      <c r="CK40">
        <f t="shared" si="15"/>
        <v>120698.45700000001</v>
      </c>
      <c r="CL40">
        <f t="shared" si="16"/>
        <v>5.0152336031085362E-3</v>
      </c>
      <c r="CM40">
        <f t="shared" si="91"/>
        <v>4.2249396554128226E-3</v>
      </c>
      <c r="CN40">
        <f t="shared" si="92"/>
        <v>1.134515230502023E-2</v>
      </c>
      <c r="CO40">
        <f t="shared" si="93"/>
        <v>13.572830144528014</v>
      </c>
      <c r="CP40">
        <f t="shared" si="249"/>
        <v>3.4255698771946683E-6</v>
      </c>
      <c r="CQ40">
        <f t="shared" si="213"/>
        <v>9.0612531612475674E-3</v>
      </c>
      <c r="CR40">
        <f t="shared" si="94"/>
        <v>1093.6792750489537</v>
      </c>
      <c r="CS40">
        <f t="shared" si="214"/>
        <v>1.3008165454268306E-6</v>
      </c>
      <c r="CT40">
        <f t="shared" si="95"/>
        <v>2.2573185488712622E-3</v>
      </c>
      <c r="CU40">
        <f t="shared" si="96"/>
        <v>0.28472245631726756</v>
      </c>
      <c r="CW40">
        <f t="shared" si="97"/>
        <v>13.397717781335082</v>
      </c>
      <c r="CX40">
        <f t="shared" si="98"/>
        <v>4.8000000000000001E-2</v>
      </c>
      <c r="CY40">
        <f t="shared" si="17"/>
        <v>120698.45700000001</v>
      </c>
      <c r="CZ40">
        <f t="shared" si="18"/>
        <v>5.0152336031085362E-3</v>
      </c>
      <c r="DA40">
        <f t="shared" si="99"/>
        <v>4.2249396554128226E-3</v>
      </c>
      <c r="DB40">
        <f t="shared" si="100"/>
        <v>1.134515230502023E-2</v>
      </c>
      <c r="DC40">
        <f t="shared" si="101"/>
        <v>13.572830144528014</v>
      </c>
      <c r="DD40">
        <f t="shared" si="250"/>
        <v>3.3205097231602324E-6</v>
      </c>
      <c r="DE40">
        <f t="shared" si="215"/>
        <v>8.7456211877799395E-3</v>
      </c>
      <c r="DF40">
        <f t="shared" si="102"/>
        <v>1055.5829828715459</v>
      </c>
      <c r="DG40">
        <f t="shared" si="216"/>
        <v>1.2779599719528571E-6</v>
      </c>
      <c r="DH40">
        <f t="shared" si="103"/>
        <v>2.169986215085309E-3</v>
      </c>
      <c r="DI40">
        <f t="shared" si="104"/>
        <v>0.27599019097452931</v>
      </c>
      <c r="DK40">
        <f t="shared" si="105"/>
        <v>15.295411518068097</v>
      </c>
      <c r="DL40">
        <f t="shared" si="106"/>
        <v>4.8000000000000001E-2</v>
      </c>
      <c r="DM40">
        <f t="shared" si="19"/>
        <v>120698.45700000001</v>
      </c>
      <c r="DN40">
        <f t="shared" si="20"/>
        <v>5.0152336031085362E-3</v>
      </c>
      <c r="DO40">
        <f t="shared" si="107"/>
        <v>4.2249396554128226E-3</v>
      </c>
      <c r="DP40">
        <f t="shared" si="108"/>
        <v>1.134515230502023E-2</v>
      </c>
      <c r="DQ40">
        <f t="shared" si="109"/>
        <v>13.572830144528014</v>
      </c>
      <c r="DR40">
        <f t="shared" si="251"/>
        <v>3.2207190324461627E-6</v>
      </c>
      <c r="DS40">
        <f t="shared" si="217"/>
        <v>8.4464843952190508E-3</v>
      </c>
      <c r="DT40">
        <f t="shared" si="110"/>
        <v>1019.4776335775177</v>
      </c>
      <c r="DU40">
        <f t="shared" si="218"/>
        <v>1.2559140301209635E-6</v>
      </c>
      <c r="DV40">
        <f t="shared" si="111"/>
        <v>2.0873909033824398E-3</v>
      </c>
      <c r="DW40">
        <f t="shared" si="112"/>
        <v>0.26769590663753168</v>
      </c>
      <c r="DY40">
        <f t="shared" si="113"/>
        <v>17.193105254801111</v>
      </c>
      <c r="DZ40">
        <f t="shared" si="114"/>
        <v>4.8000000000000001E-2</v>
      </c>
      <c r="EA40">
        <f t="shared" si="21"/>
        <v>120698.45700000001</v>
      </c>
      <c r="EB40">
        <f t="shared" si="22"/>
        <v>5.0152336031085362E-3</v>
      </c>
      <c r="EC40">
        <f t="shared" si="115"/>
        <v>4.2249396554128226E-3</v>
      </c>
      <c r="ED40">
        <f t="shared" si="116"/>
        <v>1.134515230502023E-2</v>
      </c>
      <c r="EE40">
        <f t="shared" si="117"/>
        <v>13.572830144528014</v>
      </c>
      <c r="EF40">
        <f t="shared" si="252"/>
        <v>3.1258604992756546E-6</v>
      </c>
      <c r="EG40">
        <f t="shared" si="219"/>
        <v>8.1627604251365751E-3</v>
      </c>
      <c r="EH40">
        <f t="shared" si="118"/>
        <v>985.23258817464875</v>
      </c>
      <c r="EI40">
        <f t="shared" si="220"/>
        <v>1.234640289982335E-6</v>
      </c>
      <c r="EJ40">
        <f t="shared" si="119"/>
        <v>2.0092150908105812E-3</v>
      </c>
      <c r="EK40">
        <f t="shared" si="120"/>
        <v>0.25981156752456686</v>
      </c>
      <c r="EM40">
        <f t="shared" si="121"/>
        <v>19.090798991534125</v>
      </c>
      <c r="EN40">
        <f t="shared" si="122"/>
        <v>4.8000000000000001E-2</v>
      </c>
      <c r="EO40">
        <f t="shared" si="23"/>
        <v>120698.45700000001</v>
      </c>
      <c r="EP40">
        <f t="shared" si="24"/>
        <v>5.0152336031085362E-3</v>
      </c>
      <c r="EQ40">
        <f t="shared" si="123"/>
        <v>4.2249396554128226E-3</v>
      </c>
      <c r="ER40">
        <f t="shared" si="124"/>
        <v>1.134515230502023E-2</v>
      </c>
      <c r="ES40">
        <f t="shared" si="125"/>
        <v>13.572830144528014</v>
      </c>
      <c r="ET40">
        <f t="shared" si="253"/>
        <v>3.0356219863526873E-6</v>
      </c>
      <c r="EU40">
        <f t="shared" si="221"/>
        <v>7.8934491719421865E-3</v>
      </c>
      <c r="EV40">
        <f t="shared" si="126"/>
        <v>952.72713546134969</v>
      </c>
      <c r="EW40">
        <f t="shared" si="222"/>
        <v>1.2141024302692594E-6</v>
      </c>
      <c r="EX40">
        <f t="shared" si="127"/>
        <v>1.9351657529383941E-3</v>
      </c>
      <c r="EY40">
        <f t="shared" si="128"/>
        <v>0.25231122977787762</v>
      </c>
      <c r="FA40">
        <f t="shared" si="129"/>
        <v>20.98849272826714</v>
      </c>
      <c r="FB40">
        <f t="shared" si="130"/>
        <v>4.8000000000000001E-2</v>
      </c>
      <c r="FC40">
        <f t="shared" si="25"/>
        <v>120698.45700000001</v>
      </c>
      <c r="FD40">
        <f t="shared" si="26"/>
        <v>5.0152336031085362E-3</v>
      </c>
      <c r="FE40">
        <f t="shared" si="131"/>
        <v>4.2249396554128226E-3</v>
      </c>
      <c r="FF40">
        <f t="shared" si="132"/>
        <v>1.134515230502023E-2</v>
      </c>
      <c r="FG40">
        <f t="shared" si="133"/>
        <v>13.572830144528014</v>
      </c>
      <c r="FH40">
        <f t="shared" si="254"/>
        <v>2.949714433373982E-6</v>
      </c>
      <c r="FI40">
        <f t="shared" si="223"/>
        <v>7.6376258484489269E-3</v>
      </c>
      <c r="FJ40">
        <f t="shared" si="134"/>
        <v>921.84965505110142</v>
      </c>
      <c r="FK40">
        <f t="shared" si="224"/>
        <v>1.1942661136993569E-6</v>
      </c>
      <c r="FL40">
        <f t="shared" si="135"/>
        <v>1.8649722743531137E-3</v>
      </c>
      <c r="FM40">
        <f t="shared" si="136"/>
        <v>0.24517086762583365</v>
      </c>
      <c r="FO40">
        <f t="shared" si="137"/>
        <v>22.886186465000154</v>
      </c>
      <c r="FP40">
        <f t="shared" si="138"/>
        <v>4.8000000000000001E-2</v>
      </c>
      <c r="FQ40">
        <f t="shared" si="27"/>
        <v>120698.45700000001</v>
      </c>
      <c r="FR40">
        <f t="shared" si="28"/>
        <v>5.0152336031085362E-3</v>
      </c>
      <c r="FS40">
        <f t="shared" si="139"/>
        <v>4.2249396554128226E-3</v>
      </c>
      <c r="FT40">
        <f t="shared" si="140"/>
        <v>1.134515230502023E-2</v>
      </c>
      <c r="FU40">
        <f t="shared" si="141"/>
        <v>13.572830144528014</v>
      </c>
      <c r="FV40">
        <f t="shared" si="255"/>
        <v>2.8678699537711247E-6</v>
      </c>
      <c r="FW40">
        <f t="shared" si="225"/>
        <v>7.3944346827574826E-3</v>
      </c>
      <c r="FX40">
        <f t="shared" si="142"/>
        <v>892.49685659611271</v>
      </c>
      <c r="FY40">
        <f t="shared" si="226"/>
        <v>1.1750988698195518E-6</v>
      </c>
      <c r="FZ40">
        <f t="shared" si="143"/>
        <v>1.7983845511222454E-3</v>
      </c>
      <c r="GA40">
        <f t="shared" si="144"/>
        <v>0.2383682151901993</v>
      </c>
      <c r="GC40">
        <f t="shared" si="145"/>
        <v>24.783880201733169</v>
      </c>
      <c r="GD40">
        <f t="shared" si="146"/>
        <v>4.8000000000000001E-2</v>
      </c>
      <c r="GE40">
        <f t="shared" si="29"/>
        <v>120698.45700000001</v>
      </c>
      <c r="GF40">
        <f t="shared" si="30"/>
        <v>5.0152336031085362E-3</v>
      </c>
      <c r="GG40">
        <f t="shared" si="147"/>
        <v>4.2249396554128226E-3</v>
      </c>
      <c r="GH40">
        <f t="shared" si="148"/>
        <v>1.134515230502023E-2</v>
      </c>
      <c r="GI40">
        <f t="shared" si="149"/>
        <v>13.572830144528014</v>
      </c>
      <c r="GJ40">
        <f t="shared" si="256"/>
        <v>2.78984010169261E-6</v>
      </c>
      <c r="GK40">
        <f t="shared" si="227"/>
        <v>7.1630831855702629E-3</v>
      </c>
      <c r="GL40">
        <f t="shared" si="150"/>
        <v>864.57308786097542</v>
      </c>
      <c r="GM40">
        <f t="shared" si="228"/>
        <v>1.1565699849495083E-6</v>
      </c>
      <c r="GN40">
        <f t="shared" si="151"/>
        <v>1.735171266574193E-3</v>
      </c>
      <c r="GO40">
        <f t="shared" si="152"/>
        <v>0.23188262244320151</v>
      </c>
      <c r="GQ40">
        <f t="shared" si="153"/>
        <v>26.681573938466183</v>
      </c>
      <c r="GR40">
        <f t="shared" si="154"/>
        <v>4.8000000000000001E-2</v>
      </c>
      <c r="GS40">
        <f t="shared" si="31"/>
        <v>120698.45700000001</v>
      </c>
      <c r="GT40">
        <f t="shared" si="32"/>
        <v>5.0152336031085362E-3</v>
      </c>
      <c r="GU40">
        <f t="shared" si="155"/>
        <v>4.2249396554128226E-3</v>
      </c>
      <c r="GV40">
        <f t="shared" si="156"/>
        <v>1.134515230502023E-2</v>
      </c>
      <c r="GW40">
        <f t="shared" si="157"/>
        <v>13.572830144528014</v>
      </c>
      <c r="GX40">
        <f t="shared" si="257"/>
        <v>2.7153942930340637E-6</v>
      </c>
      <c r="GY40">
        <f t="shared" si="229"/>
        <v>6.9428369331748334E-3</v>
      </c>
      <c r="GZ40">
        <f t="shared" si="158"/>
        <v>837.9897050368146</v>
      </c>
      <c r="HA40">
        <f t="shared" si="230"/>
        <v>1.1386503988069118E-6</v>
      </c>
      <c r="HB40">
        <f t="shared" si="159"/>
        <v>1.6751183236395351E-3</v>
      </c>
      <c r="HC40">
        <f t="shared" si="160"/>
        <v>0.22569492396859175</v>
      </c>
      <c r="HE40">
        <f t="shared" si="161"/>
        <v>28.579267675199198</v>
      </c>
      <c r="HF40">
        <f t="shared" si="162"/>
        <v>4.8000000000000001E-2</v>
      </c>
      <c r="HG40">
        <f t="shared" si="33"/>
        <v>120698.45700000001</v>
      </c>
      <c r="HH40">
        <f t="shared" si="34"/>
        <v>5.0152336031085362E-3</v>
      </c>
      <c r="HI40">
        <f t="shared" si="263"/>
        <v>4.2249396554128226E-3</v>
      </c>
      <c r="HJ40">
        <f t="shared" si="164"/>
        <v>1.134515230502023E-2</v>
      </c>
      <c r="HK40">
        <f t="shared" si="165"/>
        <v>13.572830144528014</v>
      </c>
      <c r="HL40">
        <f t="shared" si="258"/>
        <v>2.6443183659376458E-6</v>
      </c>
      <c r="HM40">
        <f t="shared" si="231"/>
        <v>6.733014816829478E-3</v>
      </c>
      <c r="HN40">
        <f t="shared" si="166"/>
        <v>812.6644993494557</v>
      </c>
      <c r="HO40">
        <f t="shared" si="232"/>
        <v>1.1213126074188327E-6</v>
      </c>
      <c r="HP40">
        <f t="shared" si="167"/>
        <v>1.6180274186848097E-3</v>
      </c>
      <c r="HQ40">
        <f t="shared" si="168"/>
        <v>0.21978731931494158</v>
      </c>
      <c r="HS40">
        <f t="shared" si="169"/>
        <v>30.476961411932209</v>
      </c>
      <c r="HT40">
        <f t="shared" si="170"/>
        <v>4.8000000000000001E-2</v>
      </c>
      <c r="HU40">
        <f t="shared" si="35"/>
        <v>120698.45700000001</v>
      </c>
      <c r="HV40">
        <f t="shared" si="36"/>
        <v>5.0152336031085362E-3</v>
      </c>
      <c r="HW40">
        <f t="shared" si="264"/>
        <v>4.2249396554128226E-3</v>
      </c>
      <c r="HX40">
        <f t="shared" si="172"/>
        <v>1.134515230502023E-2</v>
      </c>
      <c r="HY40">
        <f t="shared" si="173"/>
        <v>13.572830144528014</v>
      </c>
      <c r="HZ40">
        <f t="shared" si="259"/>
        <v>2.5764132676282274E-6</v>
      </c>
      <c r="IA40">
        <f t="shared" si="233"/>
        <v>6.5329847142078946E-3</v>
      </c>
      <c r="IB40">
        <f t="shared" si="174"/>
        <v>788.52117460947886</v>
      </c>
      <c r="IC40">
        <f t="shared" si="234"/>
        <v>1.104530571944439E-6</v>
      </c>
      <c r="ID40">
        <f t="shared" si="175"/>
        <v>1.5637147432851686E-3</v>
      </c>
      <c r="IE40">
        <f t="shared" si="176"/>
        <v>0.21414326384964871</v>
      </c>
      <c r="IG40">
        <f t="shared" si="177"/>
        <v>32.374655148665227</v>
      </c>
      <c r="IH40">
        <f t="shared" si="178"/>
        <v>4.8000000000000001E-2</v>
      </c>
      <c r="II40">
        <f t="shared" si="37"/>
        <v>120698.45700000001</v>
      </c>
      <c r="IJ40">
        <f t="shared" si="38"/>
        <v>5.0152336031085362E-3</v>
      </c>
      <c r="IK40">
        <f t="shared" si="265"/>
        <v>4.2249396554128226E-3</v>
      </c>
      <c r="IL40">
        <f t="shared" si="180"/>
        <v>1.134515230502023E-2</v>
      </c>
      <c r="IM40">
        <f t="shared" si="181"/>
        <v>13.572830144528014</v>
      </c>
      <c r="IN40">
        <f t="shared" si="260"/>
        <v>2.5114938557520469E-6</v>
      </c>
      <c r="IO40">
        <f t="shared" si="235"/>
        <v>6.3421595429771103E-3</v>
      </c>
      <c r="IP40">
        <f t="shared" si="182"/>
        <v>765.48887088516244</v>
      </c>
      <c r="IQ40">
        <f t="shared" si="236"/>
        <v>1.0882796330546312E-6</v>
      </c>
      <c r="IR40">
        <f t="shared" si="183"/>
        <v>1.5120098017398019E-3</v>
      </c>
      <c r="IS40">
        <f t="shared" si="184"/>
        <v>0.20874736913002451</v>
      </c>
      <c r="IU40">
        <f t="shared" si="185"/>
        <v>34.272348885398237</v>
      </c>
      <c r="IV40">
        <f t="shared" si="186"/>
        <v>4.8000000000000001E-2</v>
      </c>
      <c r="IW40">
        <f t="shared" si="39"/>
        <v>120698.45700000001</v>
      </c>
      <c r="IX40">
        <f t="shared" si="40"/>
        <v>5.0152336031085362E-3</v>
      </c>
      <c r="IY40">
        <f t="shared" si="266"/>
        <v>4.2249396554128226E-3</v>
      </c>
      <c r="IZ40">
        <f t="shared" si="188"/>
        <v>1.134515230502023E-2</v>
      </c>
      <c r="JA40">
        <f t="shared" si="189"/>
        <v>13.572830144528014</v>
      </c>
      <c r="JB40">
        <f t="shared" si="261"/>
        <v>2.4493878035485751E-6</v>
      </c>
      <c r="JC40">
        <f t="shared" si="237"/>
        <v>6.1599936605411321E-3</v>
      </c>
      <c r="JD40">
        <f t="shared" si="190"/>
        <v>743.50172995709647</v>
      </c>
      <c r="JE40">
        <f t="shared" si="238"/>
        <v>1.0725364305333535E-6</v>
      </c>
      <c r="JF40">
        <f t="shared" si="191"/>
        <v>1.4627543333513508E-3</v>
      </c>
      <c r="JG40">
        <f t="shared" si="192"/>
        <v>0.20358531190466664</v>
      </c>
      <c r="JI40">
        <f t="shared" si="193"/>
        <v>36.170042622131255</v>
      </c>
      <c r="JJ40">
        <f t="shared" si="194"/>
        <v>4.8000000000000001E-2</v>
      </c>
      <c r="JK40">
        <f t="shared" si="41"/>
        <v>120698.45700000001</v>
      </c>
      <c r="JL40">
        <f t="shared" si="42"/>
        <v>5.0152336031085362E-3</v>
      </c>
      <c r="JM40">
        <f t="shared" si="267"/>
        <v>4.2249396554128226E-3</v>
      </c>
      <c r="JN40">
        <f t="shared" si="196"/>
        <v>1.134515230502023E-2</v>
      </c>
      <c r="JO40">
        <f t="shared" si="197"/>
        <v>13.572830144528014</v>
      </c>
      <c r="JP40">
        <f t="shared" si="262"/>
        <v>2.3899345992323645E-6</v>
      </c>
      <c r="JQ40">
        <f t="shared" si="239"/>
        <v>5.9859795775411189E-3</v>
      </c>
      <c r="JR40">
        <f t="shared" si="198"/>
        <v>722.49849864272494</v>
      </c>
      <c r="JS40">
        <f t="shared" si="240"/>
        <v>1.0572788277842763E-6</v>
      </c>
      <c r="JT40">
        <f t="shared" si="199"/>
        <v>1.415801329581728E-3</v>
      </c>
      <c r="JU40">
        <f t="shared" si="200"/>
        <v>0.19864375094526604</v>
      </c>
    </row>
    <row r="41" spans="2:281">
      <c r="B41">
        <v>7.0000000000000007E-2</v>
      </c>
      <c r="C41">
        <f t="shared" si="43"/>
        <v>0.13283856157131102</v>
      </c>
      <c r="D41">
        <f t="shared" si="44"/>
        <v>5.6000000000000008E-2</v>
      </c>
      <c r="E41">
        <f t="shared" si="3"/>
        <v>120514.02900000001</v>
      </c>
      <c r="F41">
        <f t="shared" si="4"/>
        <v>5.0177906444777822E-3</v>
      </c>
      <c r="G41">
        <f t="shared" si="45"/>
        <v>4.2238630140251383E-3</v>
      </c>
      <c r="H41">
        <f t="shared" si="46"/>
        <v>1.1362514298197891E-2</v>
      </c>
      <c r="I41">
        <f t="shared" si="47"/>
        <v>13.586674020410941</v>
      </c>
      <c r="J41">
        <f t="shared" si="241"/>
        <v>4.1863080499556936E-6</v>
      </c>
      <c r="K41">
        <f t="shared" si="201"/>
        <v>1.2935674333087011E-2</v>
      </c>
      <c r="L41">
        <f t="shared" si="48"/>
        <v>1558.9302317122037</v>
      </c>
      <c r="M41">
        <f t="shared" si="202"/>
        <v>1.5530462904291236E-6</v>
      </c>
      <c r="N41">
        <f t="shared" si="203"/>
        <v>2.7996930537996893E-3</v>
      </c>
      <c r="O41">
        <f t="shared" si="49"/>
        <v>0.34795258996738321</v>
      </c>
      <c r="Q41">
        <f t="shared" si="50"/>
        <v>2.0305322983043257</v>
      </c>
      <c r="R41">
        <f t="shared" si="51"/>
        <v>5.6000000000000008E-2</v>
      </c>
      <c r="S41">
        <f t="shared" si="5"/>
        <v>120514.02900000001</v>
      </c>
      <c r="T41">
        <f t="shared" si="6"/>
        <v>5.0177906444777822E-3</v>
      </c>
      <c r="U41">
        <f t="shared" si="52"/>
        <v>4.2238630140251383E-3</v>
      </c>
      <c r="V41">
        <f t="shared" si="53"/>
        <v>1.1362514298197891E-2</v>
      </c>
      <c r="W41">
        <f t="shared" si="54"/>
        <v>13.586674020410941</v>
      </c>
      <c r="X41">
        <f t="shared" si="242"/>
        <v>4.0409444109423399E-6</v>
      </c>
      <c r="Y41">
        <f t="shared" si="204"/>
        <v>1.2425905904702061E-2</v>
      </c>
      <c r="Z41">
        <f t="shared" si="55"/>
        <v>1497.4959845505355</v>
      </c>
      <c r="AA41">
        <f t="shared" si="205"/>
        <v>1.5221375304897921E-6</v>
      </c>
      <c r="AB41">
        <f t="shared" si="56"/>
        <v>2.6780042286163415E-3</v>
      </c>
      <c r="AC41">
        <f t="shared" si="57"/>
        <v>0.33587042733668154</v>
      </c>
      <c r="AE41">
        <f t="shared" si="58"/>
        <v>3.9282260350373397</v>
      </c>
      <c r="AF41">
        <f t="shared" si="59"/>
        <v>5.6000000000000008E-2</v>
      </c>
      <c r="AG41">
        <f t="shared" si="7"/>
        <v>120514.02900000001</v>
      </c>
      <c r="AH41">
        <f t="shared" si="8"/>
        <v>5.0177906444777822E-3</v>
      </c>
      <c r="AI41">
        <f t="shared" si="60"/>
        <v>4.2238630140251383E-3</v>
      </c>
      <c r="AJ41">
        <f t="shared" si="61"/>
        <v>1.1362514298197891E-2</v>
      </c>
      <c r="AK41">
        <f t="shared" si="62"/>
        <v>13.586674020410941</v>
      </c>
      <c r="AL41">
        <f t="shared" si="243"/>
        <v>3.9035415088094528E-6</v>
      </c>
      <c r="AM41">
        <f t="shared" si="206"/>
        <v>1.1945269412593926E-2</v>
      </c>
      <c r="AN41">
        <f t="shared" si="63"/>
        <v>1439.5725444021575</v>
      </c>
      <c r="AO41">
        <f t="shared" si="207"/>
        <v>1.49240892842064E-6</v>
      </c>
      <c r="AP41">
        <f t="shared" si="64"/>
        <v>2.563524538600496E-3</v>
      </c>
      <c r="AQ41">
        <f t="shared" si="65"/>
        <v>0.32444993579720227</v>
      </c>
      <c r="AS41">
        <f t="shared" si="66"/>
        <v>5.8259197717703541</v>
      </c>
      <c r="AT41">
        <f t="shared" si="67"/>
        <v>5.6000000000000008E-2</v>
      </c>
      <c r="AU41">
        <f t="shared" si="9"/>
        <v>120514.02900000001</v>
      </c>
      <c r="AV41">
        <f t="shared" si="10"/>
        <v>5.0177906444777822E-3</v>
      </c>
      <c r="AW41">
        <f t="shared" si="68"/>
        <v>4.2238630140251383E-3</v>
      </c>
      <c r="AX41">
        <f t="shared" si="69"/>
        <v>1.1362514298197891E-2</v>
      </c>
      <c r="AY41">
        <f t="shared" si="70"/>
        <v>13.586674020410941</v>
      </c>
      <c r="AZ41">
        <f t="shared" si="244"/>
        <v>3.7735542750526181E-6</v>
      </c>
      <c r="BA41">
        <f t="shared" si="208"/>
        <v>1.1491717600740499E-2</v>
      </c>
      <c r="BB41">
        <f t="shared" si="71"/>
        <v>1384.9131881954511</v>
      </c>
      <c r="BC41">
        <f t="shared" si="209"/>
        <v>1.4638020008872765E-6</v>
      </c>
      <c r="BD41">
        <f t="shared" si="72"/>
        <v>2.4557366447084095E-3</v>
      </c>
      <c r="BE41">
        <f t="shared" si="73"/>
        <v>0.31364581099113004</v>
      </c>
      <c r="BG41">
        <f t="shared" si="74"/>
        <v>7.7236135085033695</v>
      </c>
      <c r="BH41">
        <f t="shared" si="75"/>
        <v>5.6000000000000008E-2</v>
      </c>
      <c r="BI41">
        <f t="shared" si="11"/>
        <v>120514.02900000001</v>
      </c>
      <c r="BJ41">
        <f t="shared" si="12"/>
        <v>5.0177906444777822E-3</v>
      </c>
      <c r="BK41">
        <f t="shared" si="76"/>
        <v>4.2238630140251383E-3</v>
      </c>
      <c r="BL41">
        <f t="shared" si="77"/>
        <v>1.1362514298197891E-2</v>
      </c>
      <c r="BM41">
        <f t="shared" si="78"/>
        <v>13.586674020410941</v>
      </c>
      <c r="BN41">
        <f t="shared" si="245"/>
        <v>3.6504805598560987E-6</v>
      </c>
      <c r="BO41">
        <f t="shared" si="210"/>
        <v>1.1063367522903367E-2</v>
      </c>
      <c r="BP41">
        <f t="shared" si="79"/>
        <v>1333.2909944928347</v>
      </c>
      <c r="BQ41">
        <f t="shared" si="211"/>
        <v>1.4362615489170135E-6</v>
      </c>
      <c r="BR41">
        <f t="shared" si="80"/>
        <v>2.354165347250517E-3</v>
      </c>
      <c r="BS41">
        <f t="shared" si="81"/>
        <v>0.30341631582533823</v>
      </c>
      <c r="BU41">
        <f t="shared" si="82"/>
        <v>9.6213072452363839</v>
      </c>
      <c r="BV41">
        <f t="shared" si="83"/>
        <v>5.6000000000000008E-2</v>
      </c>
      <c r="BW41">
        <f t="shared" si="13"/>
        <v>120514.02900000001</v>
      </c>
      <c r="BX41">
        <f t="shared" si="14"/>
        <v>5.0177906444777822E-3</v>
      </c>
      <c r="BY41">
        <f t="shared" si="84"/>
        <v>4.2238630140251383E-3</v>
      </c>
      <c r="BZ41">
        <f t="shared" si="85"/>
        <v>1.1362514298197891E-2</v>
      </c>
      <c r="CA41">
        <f t="shared" si="86"/>
        <v>13.586674020410941</v>
      </c>
      <c r="CB41">
        <f t="shared" si="246"/>
        <v>3.5338574070714819E-6</v>
      </c>
      <c r="CC41">
        <f t="shared" si="247"/>
        <v>1.0658486069544067E-2</v>
      </c>
      <c r="CD41">
        <f t="shared" si="87"/>
        <v>1284.4970992811297</v>
      </c>
      <c r="CE41">
        <f t="shared" si="248"/>
        <v>1.409735463036104E-6</v>
      </c>
      <c r="CF41">
        <f t="shared" si="212"/>
        <v>2.2583738326145447E-3</v>
      </c>
      <c r="CG41">
        <f t="shared" si="88"/>
        <v>0.29372297085948013</v>
      </c>
      <c r="CI41">
        <f t="shared" si="89"/>
        <v>11.519000981969398</v>
      </c>
      <c r="CJ41">
        <f t="shared" si="90"/>
        <v>5.6000000000000008E-2</v>
      </c>
      <c r="CK41">
        <f t="shared" si="15"/>
        <v>120514.02900000001</v>
      </c>
      <c r="CL41">
        <f t="shared" si="16"/>
        <v>5.0177906444777822E-3</v>
      </c>
      <c r="CM41">
        <f t="shared" si="91"/>
        <v>4.2238630140251383E-3</v>
      </c>
      <c r="CN41">
        <f t="shared" si="92"/>
        <v>1.1362514298197891E-2</v>
      </c>
      <c r="CO41">
        <f t="shared" si="93"/>
        <v>13.586674020410941</v>
      </c>
      <c r="CP41">
        <f t="shared" si="249"/>
        <v>3.4232576762852126E-6</v>
      </c>
      <c r="CQ41">
        <f t="shared" si="213"/>
        <v>1.0275476858856719E-2</v>
      </c>
      <c r="CR41">
        <f t="shared" si="94"/>
        <v>1238.3391161570876</v>
      </c>
      <c r="CS41">
        <f t="shared" si="214"/>
        <v>1.3841745399557948E-6</v>
      </c>
      <c r="CT41">
        <f t="shared" si="95"/>
        <v>2.1679602767360026E-3</v>
      </c>
      <c r="CU41">
        <f t="shared" si="96"/>
        <v>0.2845302735430022</v>
      </c>
      <c r="CW41">
        <f t="shared" si="97"/>
        <v>13.416694718702413</v>
      </c>
      <c r="CX41">
        <f t="shared" si="98"/>
        <v>5.6000000000000008E-2</v>
      </c>
      <c r="CY41">
        <f t="shared" si="17"/>
        <v>120514.02900000001</v>
      </c>
      <c r="CZ41">
        <f t="shared" si="18"/>
        <v>5.0177906444777822E-3</v>
      </c>
      <c r="DA41">
        <f t="shared" si="99"/>
        <v>4.2238630140251383E-3</v>
      </c>
      <c r="DB41">
        <f t="shared" si="100"/>
        <v>1.1362514298197891E-2</v>
      </c>
      <c r="DC41">
        <f t="shared" si="101"/>
        <v>13.586674020410941</v>
      </c>
      <c r="DD41">
        <f t="shared" si="250"/>
        <v>3.3182869779023532E-6</v>
      </c>
      <c r="DE41">
        <f t="shared" si="215"/>
        <v>9.9128683568422277E-3</v>
      </c>
      <c r="DF41">
        <f t="shared" si="102"/>
        <v>1194.6397046296668</v>
      </c>
      <c r="DG41">
        <f t="shared" si="216"/>
        <v>1.3595323101673794E-6</v>
      </c>
      <c r="DH41">
        <f t="shared" si="103"/>
        <v>2.0825547697701226E-3</v>
      </c>
      <c r="DI41">
        <f t="shared" si="104"/>
        <v>0.27580544346906927</v>
      </c>
      <c r="DK41">
        <f t="shared" si="105"/>
        <v>15.314388455435427</v>
      </c>
      <c r="DL41">
        <f t="shared" si="106"/>
        <v>5.6000000000000008E-2</v>
      </c>
      <c r="DM41">
        <f t="shared" si="19"/>
        <v>120514.02900000001</v>
      </c>
      <c r="DN41">
        <f t="shared" si="20"/>
        <v>5.0177906444777822E-3</v>
      </c>
      <c r="DO41">
        <f t="shared" si="107"/>
        <v>4.2238630140251383E-3</v>
      </c>
      <c r="DP41">
        <f t="shared" si="108"/>
        <v>1.1362514298197891E-2</v>
      </c>
      <c r="DQ41">
        <f t="shared" si="109"/>
        <v>13.586674020410941</v>
      </c>
      <c r="DR41">
        <f t="shared" si="251"/>
        <v>3.2185808906461924E-6</v>
      </c>
      <c r="DS41">
        <f t="shared" si="217"/>
        <v>9.5693031052004589E-3</v>
      </c>
      <c r="DT41">
        <f t="shared" si="110"/>
        <v>1153.2352719299183</v>
      </c>
      <c r="DU41">
        <f t="shared" si="218"/>
        <v>1.3357648758361184E-6</v>
      </c>
      <c r="DV41">
        <f t="shared" si="111"/>
        <v>2.0018165300795228E-3</v>
      </c>
      <c r="DW41">
        <f t="shared" si="112"/>
        <v>0.26751819110199554</v>
      </c>
      <c r="DY41">
        <f t="shared" si="113"/>
        <v>17.212082192168442</v>
      </c>
      <c r="DZ41">
        <f t="shared" si="114"/>
        <v>5.6000000000000008E-2</v>
      </c>
      <c r="EA41">
        <f t="shared" si="21"/>
        <v>120514.02900000001</v>
      </c>
      <c r="EB41">
        <f t="shared" si="22"/>
        <v>5.0177906444777822E-3</v>
      </c>
      <c r="EC41">
        <f t="shared" si="115"/>
        <v>4.2238630140251383E-3</v>
      </c>
      <c r="ED41">
        <f t="shared" si="116"/>
        <v>1.1362514298197891E-2</v>
      </c>
      <c r="EE41">
        <f t="shared" si="117"/>
        <v>13.586674020410941</v>
      </c>
      <c r="EF41">
        <f t="shared" si="252"/>
        <v>3.1238024339828376E-6</v>
      </c>
      <c r="EG41">
        <f t="shared" si="219"/>
        <v>9.2435279482121439E-3</v>
      </c>
      <c r="EH41">
        <f t="shared" si="118"/>
        <v>1113.9747952131488</v>
      </c>
      <c r="EI41">
        <f t="shared" si="220"/>
        <v>1.3128307584125359E-6</v>
      </c>
      <c r="EJ41">
        <f t="shared" si="119"/>
        <v>1.9254313789274467E-3</v>
      </c>
      <c r="EK41">
        <f t="shared" si="120"/>
        <v>0.25964050769322805</v>
      </c>
      <c r="EM41">
        <f t="shared" si="121"/>
        <v>19.109775928901456</v>
      </c>
      <c r="EN41">
        <f t="shared" si="122"/>
        <v>5.6000000000000008E-2</v>
      </c>
      <c r="EO41">
        <f t="shared" si="23"/>
        <v>120514.02900000001</v>
      </c>
      <c r="EP41">
        <f t="shared" si="24"/>
        <v>5.0177906444777822E-3</v>
      </c>
      <c r="EQ41">
        <f t="shared" si="123"/>
        <v>4.2238630140251383E-3</v>
      </c>
      <c r="ER41">
        <f t="shared" si="124"/>
        <v>1.1362514298197891E-2</v>
      </c>
      <c r="ES41">
        <f t="shared" si="125"/>
        <v>13.586674020410941</v>
      </c>
      <c r="ET41">
        <f t="shared" si="253"/>
        <v>3.033639770765025E-6</v>
      </c>
      <c r="EU41">
        <f t="shared" si="221"/>
        <v>8.9343851608810979E-3</v>
      </c>
      <c r="EV41">
        <f t="shared" si="126"/>
        <v>1076.7187523755945</v>
      </c>
      <c r="EW41">
        <f t="shared" si="222"/>
        <v>1.2906907554075006E-6</v>
      </c>
      <c r="EX41">
        <f t="shared" si="127"/>
        <v>1.8531094501979123E-3</v>
      </c>
      <c r="EY41">
        <f t="shared" si="128"/>
        <v>0.25214647433241821</v>
      </c>
      <c r="FA41">
        <f t="shared" si="129"/>
        <v>21.007469665634471</v>
      </c>
      <c r="FB41">
        <f t="shared" si="130"/>
        <v>5.6000000000000008E-2</v>
      </c>
      <c r="FC41">
        <f t="shared" si="25"/>
        <v>120514.02900000001</v>
      </c>
      <c r="FD41">
        <f t="shared" si="26"/>
        <v>5.0177906444777822E-3</v>
      </c>
      <c r="FE41">
        <f t="shared" si="131"/>
        <v>4.2238630140251383E-3</v>
      </c>
      <c r="FF41">
        <f t="shared" si="132"/>
        <v>1.1362514298197891E-2</v>
      </c>
      <c r="FG41">
        <f t="shared" si="133"/>
        <v>13.586674020410941</v>
      </c>
      <c r="FH41">
        <f t="shared" si="254"/>
        <v>2.9478041178843828E-6</v>
      </c>
      <c r="FI41">
        <f t="shared" si="223"/>
        <v>8.6408043905452179E-3</v>
      </c>
      <c r="FJ41">
        <f t="shared" si="134"/>
        <v>1041.3381509054939</v>
      </c>
      <c r="FK41">
        <f t="shared" si="224"/>
        <v>1.2693078058045431E-6</v>
      </c>
      <c r="FL41">
        <f t="shared" si="135"/>
        <v>1.7845831120880281E-3</v>
      </c>
      <c r="FM41">
        <f t="shared" si="136"/>
        <v>0.2450120882874933</v>
      </c>
      <c r="FO41">
        <f t="shared" si="137"/>
        <v>22.905163402367485</v>
      </c>
      <c r="FP41">
        <f t="shared" si="138"/>
        <v>5.6000000000000008E-2</v>
      </c>
      <c r="FQ41">
        <f t="shared" si="27"/>
        <v>120514.02900000001</v>
      </c>
      <c r="FR41">
        <f t="shared" si="28"/>
        <v>5.0177906444777822E-3</v>
      </c>
      <c r="FS41">
        <f t="shared" si="139"/>
        <v>4.2238630140251383E-3</v>
      </c>
      <c r="FT41">
        <f t="shared" si="140"/>
        <v>1.1362514298197891E-2</v>
      </c>
      <c r="FU41">
        <f t="shared" si="141"/>
        <v>13.586674020410941</v>
      </c>
      <c r="FV41">
        <f t="shared" si="255"/>
        <v>2.8660278449572247E-6</v>
      </c>
      <c r="FW41">
        <f t="shared" si="225"/>
        <v>8.3617953330647789E-3</v>
      </c>
      <c r="FX41">
        <f t="shared" si="142"/>
        <v>1007.7136452610335</v>
      </c>
      <c r="FY41">
        <f t="shared" si="226"/>
        <v>1.2486468636090225E-6</v>
      </c>
      <c r="FZ41">
        <f t="shared" si="143"/>
        <v>1.7196050800670872E-3</v>
      </c>
      <c r="GA41">
        <f t="shared" si="144"/>
        <v>0.23821510497347623</v>
      </c>
      <c r="GC41">
        <f t="shared" si="145"/>
        <v>24.802857139100499</v>
      </c>
      <c r="GD41">
        <f t="shared" si="146"/>
        <v>5.6000000000000008E-2</v>
      </c>
      <c r="GE41">
        <f t="shared" si="29"/>
        <v>120514.02900000001</v>
      </c>
      <c r="GF41">
        <f t="shared" si="30"/>
        <v>5.0177906444777822E-3</v>
      </c>
      <c r="GG41">
        <f t="shared" si="147"/>
        <v>4.2238630140251383E-3</v>
      </c>
      <c r="GH41">
        <f t="shared" si="148"/>
        <v>1.1362514298197891E-2</v>
      </c>
      <c r="GI41">
        <f t="shared" si="149"/>
        <v>13.586674020410941</v>
      </c>
      <c r="GJ41">
        <f t="shared" si="256"/>
        <v>2.7880627430727378E-6</v>
      </c>
      <c r="GK41">
        <f t="shared" si="227"/>
        <v>8.0964410726697099E-3</v>
      </c>
      <c r="GL41">
        <f t="shared" si="150"/>
        <v>975.73473422850861</v>
      </c>
      <c r="GM41">
        <f t="shared" si="228"/>
        <v>1.2286747790590921E-6</v>
      </c>
      <c r="GN41">
        <f t="shared" si="151"/>
        <v>1.6579467025005388E-3</v>
      </c>
      <c r="GO41">
        <f t="shared" si="152"/>
        <v>0.23173489405634956</v>
      </c>
      <c r="GQ41">
        <f t="shared" si="153"/>
        <v>26.700550875833514</v>
      </c>
      <c r="GR41">
        <f t="shared" si="154"/>
        <v>5.6000000000000008E-2</v>
      </c>
      <c r="GS41">
        <f t="shared" si="31"/>
        <v>120514.02900000001</v>
      </c>
      <c r="GT41">
        <f t="shared" si="32"/>
        <v>5.0177906444777822E-3</v>
      </c>
      <c r="GU41">
        <f t="shared" si="155"/>
        <v>4.2238630140251383E-3</v>
      </c>
      <c r="GV41">
        <f t="shared" si="156"/>
        <v>1.1362514298197891E-2</v>
      </c>
      <c r="GW41">
        <f t="shared" si="157"/>
        <v>13.586674020410941</v>
      </c>
      <c r="GX41">
        <f t="shared" si="257"/>
        <v>2.7136784474289754E-6</v>
      </c>
      <c r="GY41">
        <f t="shared" si="229"/>
        <v>7.8438920216910273E-3</v>
      </c>
      <c r="GZ41">
        <f t="shared" si="158"/>
        <v>945.29903057494118</v>
      </c>
      <c r="HA41">
        <f t="shared" si="230"/>
        <v>1.2093601870478486E-6</v>
      </c>
      <c r="HB41">
        <f t="shared" si="159"/>
        <v>1.5993964022210519E-3</v>
      </c>
      <c r="HC41">
        <f t="shared" si="160"/>
        <v>0.22555230834758391</v>
      </c>
      <c r="HE41">
        <f t="shared" si="161"/>
        <v>28.598244612566528</v>
      </c>
      <c r="HF41">
        <f t="shared" si="162"/>
        <v>5.6000000000000008E-2</v>
      </c>
      <c r="HG41">
        <f t="shared" si="33"/>
        <v>120514.02900000001</v>
      </c>
      <c r="HH41">
        <f t="shared" si="34"/>
        <v>5.0177906444777822E-3</v>
      </c>
      <c r="HI41">
        <f t="shared" si="263"/>
        <v>4.2238630140251383E-3</v>
      </c>
      <c r="HJ41">
        <f t="shared" si="164"/>
        <v>1.1362514298197891E-2</v>
      </c>
      <c r="HK41">
        <f t="shared" si="165"/>
        <v>13.586674020410941</v>
      </c>
      <c r="HL41">
        <f t="shared" si="258"/>
        <v>2.6426609992931033E-6</v>
      </c>
      <c r="HM41">
        <f t="shared" si="231"/>
        <v>7.6033604028039759E-3</v>
      </c>
      <c r="HN41">
        <f t="shared" si="166"/>
        <v>916.31159608097016</v>
      </c>
      <c r="HO41">
        <f t="shared" si="232"/>
        <v>1.1906734023296495E-6</v>
      </c>
      <c r="HP41">
        <f t="shared" si="167"/>
        <v>1.5437582590166598E-3</v>
      </c>
      <c r="HQ41">
        <f t="shared" si="168"/>
        <v>0.21964956427885429</v>
      </c>
      <c r="HS41">
        <f t="shared" si="169"/>
        <v>30.495938349299543</v>
      </c>
      <c r="HT41">
        <f t="shared" si="170"/>
        <v>5.6000000000000008E-2</v>
      </c>
      <c r="HU41">
        <f t="shared" si="35"/>
        <v>120514.02900000001</v>
      </c>
      <c r="HV41">
        <f t="shared" si="36"/>
        <v>5.0177906444777822E-3</v>
      </c>
      <c r="HW41">
        <f t="shared" si="264"/>
        <v>4.2238630140251383E-3</v>
      </c>
      <c r="HX41">
        <f t="shared" si="172"/>
        <v>1.1362514298197891E-2</v>
      </c>
      <c r="HY41">
        <f t="shared" si="173"/>
        <v>13.586674020410941</v>
      </c>
      <c r="HZ41">
        <f t="shared" si="259"/>
        <v>2.5748115341673644E-6</v>
      </c>
      <c r="IA41">
        <f t="shared" si="233"/>
        <v>7.3741152221494678E-3</v>
      </c>
      <c r="IB41">
        <f t="shared" si="174"/>
        <v>888.68433573146251</v>
      </c>
      <c r="IC41">
        <f t="shared" si="234"/>
        <v>1.1725863211062544E-6</v>
      </c>
      <c r="ID41">
        <f t="shared" si="175"/>
        <v>1.4908507195182117E-3</v>
      </c>
      <c r="IE41">
        <f t="shared" si="176"/>
        <v>0.21401013286657389</v>
      </c>
      <c r="IG41">
        <f t="shared" si="177"/>
        <v>32.393632086032554</v>
      </c>
      <c r="IH41">
        <f t="shared" si="178"/>
        <v>5.6000000000000008E-2</v>
      </c>
      <c r="II41">
        <f t="shared" si="37"/>
        <v>120514.02900000001</v>
      </c>
      <c r="IJ41">
        <f t="shared" si="38"/>
        <v>5.0177906444777822E-3</v>
      </c>
      <c r="IK41">
        <f t="shared" si="265"/>
        <v>4.2238630140251383E-3</v>
      </c>
      <c r="IL41">
        <f t="shared" si="180"/>
        <v>1.1362514298197891E-2</v>
      </c>
      <c r="IM41">
        <f t="shared" si="181"/>
        <v>13.586674020410941</v>
      </c>
      <c r="IN41">
        <f t="shared" si="260"/>
        <v>2.5099450843389753E-6</v>
      </c>
      <c r="IO41">
        <f t="shared" si="235"/>
        <v>7.1554776868462877E-3</v>
      </c>
      <c r="IP41">
        <f t="shared" si="182"/>
        <v>862.33544546144651</v>
      </c>
      <c r="IQ41">
        <f t="shared" si="236"/>
        <v>1.1550723286102383E-6</v>
      </c>
      <c r="IR41">
        <f t="shared" si="183"/>
        <v>1.4405054223238965E-3</v>
      </c>
      <c r="IS41">
        <f t="shared" si="184"/>
        <v>0.20861864018365578</v>
      </c>
      <c r="IU41">
        <f t="shared" si="185"/>
        <v>34.291325822765572</v>
      </c>
      <c r="IV41">
        <f t="shared" si="186"/>
        <v>5.6000000000000008E-2</v>
      </c>
      <c r="IW41">
        <f t="shared" si="39"/>
        <v>120514.02900000001</v>
      </c>
      <c r="IX41">
        <f t="shared" si="40"/>
        <v>5.0177906444777822E-3</v>
      </c>
      <c r="IY41">
        <f t="shared" si="266"/>
        <v>4.2238630140251383E-3</v>
      </c>
      <c r="IZ41">
        <f t="shared" si="188"/>
        <v>1.1362514298197891E-2</v>
      </c>
      <c r="JA41">
        <f t="shared" si="189"/>
        <v>13.586674020410941</v>
      </c>
      <c r="JB41">
        <f t="shared" si="261"/>
        <v>2.4478894851559068E-6</v>
      </c>
      <c r="JC41">
        <f t="shared" si="237"/>
        <v>6.946817025025572E-3</v>
      </c>
      <c r="JD41">
        <f t="shared" si="190"/>
        <v>837.18890841162556</v>
      </c>
      <c r="JE41">
        <f t="shared" si="238"/>
        <v>1.1381062123243201E-6</v>
      </c>
      <c r="JF41">
        <f t="shared" si="191"/>
        <v>1.392566127413364E-3</v>
      </c>
      <c r="JG41">
        <f t="shared" si="192"/>
        <v>0.20346077645263982</v>
      </c>
      <c r="JI41">
        <f t="shared" si="193"/>
        <v>36.189019559498583</v>
      </c>
      <c r="JJ41">
        <f t="shared" si="194"/>
        <v>5.6000000000000008E-2</v>
      </c>
      <c r="JK41">
        <f t="shared" si="41"/>
        <v>120514.02900000001</v>
      </c>
      <c r="JL41">
        <f t="shared" si="42"/>
        <v>5.0177906444777822E-3</v>
      </c>
      <c r="JM41">
        <f t="shared" si="267"/>
        <v>4.2238630140251383E-3</v>
      </c>
      <c r="JN41">
        <f t="shared" si="196"/>
        <v>1.1362514298197891E-2</v>
      </c>
      <c r="JO41">
        <f t="shared" si="197"/>
        <v>13.586674020410941</v>
      </c>
      <c r="JP41">
        <f t="shared" si="262"/>
        <v>2.3884843754154805E-6</v>
      </c>
      <c r="JQ41">
        <f t="shared" si="239"/>
        <v>6.7475466706498725E-3</v>
      </c>
      <c r="JR41">
        <f t="shared" si="198"/>
        <v>813.17403514555224</v>
      </c>
      <c r="JS41">
        <f t="shared" si="240"/>
        <v>1.1216640804944537E-6</v>
      </c>
      <c r="JT41">
        <f t="shared" si="199"/>
        <v>1.3468877399945721E-3</v>
      </c>
      <c r="JU41">
        <f t="shared" si="200"/>
        <v>0.19852321296117706</v>
      </c>
    </row>
    <row r="42" spans="2:281">
      <c r="B42">
        <v>0.08</v>
      </c>
      <c r="C42">
        <f t="shared" si="43"/>
        <v>0.15181549893864116</v>
      </c>
      <c r="D42">
        <f t="shared" si="44"/>
        <v>6.4000000000000001E-2</v>
      </c>
      <c r="E42">
        <f t="shared" si="3"/>
        <v>120329.60100000001</v>
      </c>
      <c r="F42">
        <f t="shared" si="4"/>
        <v>5.0203529087165929E-3</v>
      </c>
      <c r="G42">
        <f t="shared" si="45"/>
        <v>4.2227849987338277E-3</v>
      </c>
      <c r="H42">
        <f t="shared" si="46"/>
        <v>1.1379929512489078E-2</v>
      </c>
      <c r="I42">
        <f t="shared" si="47"/>
        <v>13.600553251223431</v>
      </c>
      <c r="J42">
        <f t="shared" si="241"/>
        <v>4.1834402877479942E-6</v>
      </c>
      <c r="K42">
        <f t="shared" si="201"/>
        <v>1.4441644172237561E-2</v>
      </c>
      <c r="L42">
        <f t="shared" si="48"/>
        <v>1737.7572810293211</v>
      </c>
      <c r="M42">
        <f t="shared" si="202"/>
        <v>1.6397046164855326E-6</v>
      </c>
      <c r="N42">
        <f t="shared" si="203"/>
        <v>2.7065803990025364E-3</v>
      </c>
      <c r="O42">
        <f t="shared" si="49"/>
        <v>0.34771423070770324</v>
      </c>
      <c r="Q42">
        <f t="shared" si="50"/>
        <v>2.0495092356716555</v>
      </c>
      <c r="R42">
        <f t="shared" si="51"/>
        <v>6.4000000000000001E-2</v>
      </c>
      <c r="S42">
        <f t="shared" si="5"/>
        <v>120329.60100000001</v>
      </c>
      <c r="T42">
        <f t="shared" si="6"/>
        <v>5.0203529087165929E-3</v>
      </c>
      <c r="U42">
        <f t="shared" si="52"/>
        <v>4.2227849987338277E-3</v>
      </c>
      <c r="V42">
        <f t="shared" si="53"/>
        <v>1.1379929512489078E-2</v>
      </c>
      <c r="W42">
        <f t="shared" si="54"/>
        <v>13.600553251223431</v>
      </c>
      <c r="X42">
        <f t="shared" si="242"/>
        <v>4.0382012961896492E-6</v>
      </c>
      <c r="Y42">
        <f t="shared" si="204"/>
        <v>1.3866418675178911E-2</v>
      </c>
      <c r="Z42">
        <f t="shared" si="55"/>
        <v>1668.540626483227</v>
      </c>
      <c r="AA42">
        <f t="shared" si="205"/>
        <v>1.6067172403105202E-6</v>
      </c>
      <c r="AB42">
        <f t="shared" si="56"/>
        <v>2.5871426659922841E-3</v>
      </c>
      <c r="AC42">
        <f t="shared" si="57"/>
        <v>0.33564242837640756</v>
      </c>
      <c r="AE42">
        <f t="shared" si="58"/>
        <v>3.94720297240467</v>
      </c>
      <c r="AF42">
        <f t="shared" si="59"/>
        <v>6.4000000000000001E-2</v>
      </c>
      <c r="AG42">
        <f t="shared" si="7"/>
        <v>120329.60100000001</v>
      </c>
      <c r="AH42">
        <f t="shared" si="8"/>
        <v>5.0203529087165929E-3</v>
      </c>
      <c r="AI42">
        <f t="shared" si="60"/>
        <v>4.2227849987338277E-3</v>
      </c>
      <c r="AJ42">
        <f t="shared" si="61"/>
        <v>1.1379929512489078E-2</v>
      </c>
      <c r="AK42">
        <f t="shared" si="62"/>
        <v>13.600553251223431</v>
      </c>
      <c r="AL42">
        <f t="shared" si="243"/>
        <v>3.9009156571003409E-6</v>
      </c>
      <c r="AM42">
        <f t="shared" si="206"/>
        <v>1.3324202946688027E-2</v>
      </c>
      <c r="AN42">
        <f t="shared" si="63"/>
        <v>1603.2960242179947</v>
      </c>
      <c r="AO42">
        <f t="shared" si="207"/>
        <v>1.5749904283034152E-6</v>
      </c>
      <c r="AP42">
        <f t="shared" si="64"/>
        <v>2.4748261798297911E-3</v>
      </c>
      <c r="AQ42">
        <f t="shared" si="65"/>
        <v>0.32423168336757863</v>
      </c>
      <c r="AS42">
        <f t="shared" si="66"/>
        <v>5.8448967091376849</v>
      </c>
      <c r="AT42">
        <f t="shared" si="67"/>
        <v>6.4000000000000001E-2</v>
      </c>
      <c r="AU42">
        <f t="shared" si="9"/>
        <v>120329.60100000001</v>
      </c>
      <c r="AV42">
        <f t="shared" si="10"/>
        <v>5.0203529087165929E-3</v>
      </c>
      <c r="AW42">
        <f t="shared" si="68"/>
        <v>4.2227849987338277E-3</v>
      </c>
      <c r="AX42">
        <f t="shared" si="69"/>
        <v>1.1379929512489078E-2</v>
      </c>
      <c r="AY42">
        <f t="shared" si="70"/>
        <v>13.600553251223431</v>
      </c>
      <c r="AZ42">
        <f t="shared" si="244"/>
        <v>3.7710388318928048E-6</v>
      </c>
      <c r="BA42">
        <f t="shared" si="208"/>
        <v>1.2812671451309418E-2</v>
      </c>
      <c r="BB42">
        <f t="shared" si="71"/>
        <v>1541.7436434801534</v>
      </c>
      <c r="BC42">
        <f t="shared" si="209"/>
        <v>1.5444617043852325E-6</v>
      </c>
      <c r="BD42">
        <f t="shared" si="72"/>
        <v>2.3691180173561212E-3</v>
      </c>
      <c r="BE42">
        <f t="shared" si="73"/>
        <v>0.31343673536842659</v>
      </c>
      <c r="BG42">
        <f t="shared" si="74"/>
        <v>7.7425904458706993</v>
      </c>
      <c r="BH42">
        <f t="shared" si="75"/>
        <v>6.4000000000000001E-2</v>
      </c>
      <c r="BI42">
        <f t="shared" si="11"/>
        <v>120329.60100000001</v>
      </c>
      <c r="BJ42">
        <f t="shared" si="12"/>
        <v>5.0203529087165929E-3</v>
      </c>
      <c r="BK42">
        <f t="shared" si="76"/>
        <v>4.2227849987338277E-3</v>
      </c>
      <c r="BL42">
        <f t="shared" si="77"/>
        <v>1.1379929512489078E-2</v>
      </c>
      <c r="BM42">
        <f t="shared" si="78"/>
        <v>13.600553251223431</v>
      </c>
      <c r="BN42">
        <f t="shared" si="245"/>
        <v>3.6480691575045594E-6</v>
      </c>
      <c r="BO42">
        <f t="shared" si="210"/>
        <v>1.2329685630354822E-2</v>
      </c>
      <c r="BP42">
        <f t="shared" si="79"/>
        <v>1483.6261523560293</v>
      </c>
      <c r="BQ42">
        <f t="shared" si="211"/>
        <v>1.5150721011039833E-6</v>
      </c>
      <c r="BR42">
        <f t="shared" si="80"/>
        <v>2.2695471424979824E-3</v>
      </c>
      <c r="BS42">
        <f t="shared" si="81"/>
        <v>0.30321588774320501</v>
      </c>
      <c r="BU42">
        <f t="shared" si="82"/>
        <v>9.6402841826037129</v>
      </c>
      <c r="BV42">
        <f t="shared" si="83"/>
        <v>6.4000000000000001E-2</v>
      </c>
      <c r="BW42">
        <f t="shared" si="13"/>
        <v>120329.60100000001</v>
      </c>
      <c r="BX42">
        <f t="shared" si="14"/>
        <v>5.0203529087165929E-3</v>
      </c>
      <c r="BY42">
        <f t="shared" si="84"/>
        <v>4.2227849987338277E-3</v>
      </c>
      <c r="BZ42">
        <f t="shared" si="85"/>
        <v>1.1379929512489078E-2</v>
      </c>
      <c r="CA42">
        <f t="shared" si="86"/>
        <v>13.600553251223431</v>
      </c>
      <c r="CB42">
        <f t="shared" si="246"/>
        <v>3.5315441252210882E-6</v>
      </c>
      <c r="CC42">
        <f t="shared" si="247"/>
        <v>1.1873277409912003E-2</v>
      </c>
      <c r="CD42">
        <f t="shared" si="87"/>
        <v>1428.706733297025</v>
      </c>
      <c r="CE42">
        <f t="shared" si="248"/>
        <v>1.4867659514821491E-6</v>
      </c>
      <c r="CF42">
        <f t="shared" si="212"/>
        <v>2.1756806683468416E-3</v>
      </c>
      <c r="CG42">
        <f t="shared" si="88"/>
        <v>0.29353069824084721</v>
      </c>
      <c r="CI42">
        <f t="shared" si="89"/>
        <v>11.537977919336727</v>
      </c>
      <c r="CJ42">
        <f t="shared" si="90"/>
        <v>6.4000000000000001E-2</v>
      </c>
      <c r="CK42">
        <f t="shared" si="15"/>
        <v>120329.60100000001</v>
      </c>
      <c r="CL42">
        <f t="shared" si="16"/>
        <v>5.0203529087165929E-3</v>
      </c>
      <c r="CM42">
        <f t="shared" si="91"/>
        <v>4.2227849987338277E-3</v>
      </c>
      <c r="CN42">
        <f t="shared" si="92"/>
        <v>1.1379929512489078E-2</v>
      </c>
      <c r="CO42">
        <f t="shared" si="93"/>
        <v>13.600553251223431</v>
      </c>
      <c r="CP42">
        <f t="shared" si="249"/>
        <v>3.4210370062224788E-6</v>
      </c>
      <c r="CQ42">
        <f t="shared" si="213"/>
        <v>1.1441634264865804E-2</v>
      </c>
      <c r="CR42">
        <f t="shared" si="94"/>
        <v>1376.7672858792305</v>
      </c>
      <c r="CS42">
        <f t="shared" si="214"/>
        <v>1.4594906931987253E-6</v>
      </c>
      <c r="CT42">
        <f t="shared" si="95"/>
        <v>2.0871204750338213E-3</v>
      </c>
      <c r="CU42">
        <f t="shared" si="96"/>
        <v>0.28434569852115221</v>
      </c>
      <c r="CW42">
        <f t="shared" si="97"/>
        <v>13.435671656069742</v>
      </c>
      <c r="CX42">
        <f t="shared" si="98"/>
        <v>6.4000000000000001E-2</v>
      </c>
      <c r="CY42">
        <f t="shared" si="17"/>
        <v>120329.60100000001</v>
      </c>
      <c r="CZ42">
        <f t="shared" si="18"/>
        <v>5.0203529087165929E-3</v>
      </c>
      <c r="DA42">
        <f t="shared" si="99"/>
        <v>4.2227849987338277E-3</v>
      </c>
      <c r="DB42">
        <f t="shared" si="100"/>
        <v>1.1379929512489078E-2</v>
      </c>
      <c r="DC42">
        <f t="shared" si="101"/>
        <v>13.600553251223431</v>
      </c>
      <c r="DD42">
        <f t="shared" si="250"/>
        <v>3.3161537898172861E-6</v>
      </c>
      <c r="DE42">
        <f t="shared" si="215"/>
        <v>1.1033085684736888E-2</v>
      </c>
      <c r="DF42">
        <f t="shared" si="102"/>
        <v>1327.6067982432016</v>
      </c>
      <c r="DG42">
        <f t="shared" si="216"/>
        <v>1.4331966844226664E-6</v>
      </c>
      <c r="DH42">
        <f t="shared" si="103"/>
        <v>2.0035001479121015E-3</v>
      </c>
      <c r="DI42">
        <f t="shared" si="104"/>
        <v>0.27562813967053618</v>
      </c>
      <c r="DK42">
        <f t="shared" si="105"/>
        <v>15.333365392802756</v>
      </c>
      <c r="DL42">
        <f t="shared" si="106"/>
        <v>6.4000000000000001E-2</v>
      </c>
      <c r="DM42">
        <f t="shared" si="19"/>
        <v>120329.60100000001</v>
      </c>
      <c r="DN42">
        <f t="shared" si="20"/>
        <v>5.0203529087165929E-3</v>
      </c>
      <c r="DO42">
        <f t="shared" si="107"/>
        <v>4.2227849987338277E-3</v>
      </c>
      <c r="DP42">
        <f t="shared" si="108"/>
        <v>1.1379929512489078E-2</v>
      </c>
      <c r="DQ42">
        <f t="shared" si="109"/>
        <v>13.600553251223431</v>
      </c>
      <c r="DR42">
        <f t="shared" si="251"/>
        <v>3.2165304037958864E-6</v>
      </c>
      <c r="DS42">
        <f t="shared" si="217"/>
        <v>1.0646090902963191E-2</v>
      </c>
      <c r="DT42">
        <f t="shared" si="110"/>
        <v>1281.0398705632906</v>
      </c>
      <c r="DU42">
        <f t="shared" si="218"/>
        <v>1.4078370306462188E-6</v>
      </c>
      <c r="DV42">
        <f t="shared" si="111"/>
        <v>1.9244822042154583E-3</v>
      </c>
      <c r="DW42">
        <f t="shared" si="112"/>
        <v>0.26734776116665776</v>
      </c>
      <c r="DY42">
        <f t="shared" si="113"/>
        <v>17.231059129535772</v>
      </c>
      <c r="DZ42">
        <f t="shared" si="114"/>
        <v>6.4000000000000001E-2</v>
      </c>
      <c r="EA42">
        <f t="shared" si="21"/>
        <v>120329.60100000001</v>
      </c>
      <c r="EB42">
        <f t="shared" si="22"/>
        <v>5.0203529087165929E-3</v>
      </c>
      <c r="EC42">
        <f t="shared" si="115"/>
        <v>4.2227849987338277E-3</v>
      </c>
      <c r="ED42">
        <f t="shared" si="116"/>
        <v>1.1379929512489078E-2</v>
      </c>
      <c r="EE42">
        <f t="shared" si="117"/>
        <v>13.600553251223431</v>
      </c>
      <c r="EF42">
        <f t="shared" si="252"/>
        <v>3.1218301894417752E-6</v>
      </c>
      <c r="EG42">
        <f t="shared" si="219"/>
        <v>1.0279227765405869E-2</v>
      </c>
      <c r="EH42">
        <f t="shared" si="118"/>
        <v>1236.8953755994098</v>
      </c>
      <c r="EI42">
        <f t="shared" si="220"/>
        <v>1.3833674218971735E-6</v>
      </c>
      <c r="EJ42">
        <f t="shared" si="119"/>
        <v>1.8497555796340567E-3</v>
      </c>
      <c r="EK42">
        <f t="shared" si="120"/>
        <v>0.25947658100940008</v>
      </c>
      <c r="EM42">
        <f t="shared" si="121"/>
        <v>19.128752866268787</v>
      </c>
      <c r="EN42">
        <f t="shared" si="122"/>
        <v>6.4000000000000001E-2</v>
      </c>
      <c r="EO42">
        <f t="shared" si="23"/>
        <v>120329.60100000001</v>
      </c>
      <c r="EP42">
        <f t="shared" si="24"/>
        <v>5.0203529087165929E-3</v>
      </c>
      <c r="EQ42">
        <f t="shared" si="123"/>
        <v>4.2227849987338277E-3</v>
      </c>
      <c r="ER42">
        <f t="shared" si="124"/>
        <v>1.1379929512489078E-2</v>
      </c>
      <c r="ES42">
        <f t="shared" si="125"/>
        <v>13.600553251223431</v>
      </c>
      <c r="ET42">
        <f t="shared" si="253"/>
        <v>3.0317416065213429E-6</v>
      </c>
      <c r="EU42">
        <f t="shared" si="221"/>
        <v>9.9311826265373708E-3</v>
      </c>
      <c r="EV42">
        <f t="shared" si="126"/>
        <v>1195.0152429093739</v>
      </c>
      <c r="EW42">
        <f t="shared" si="222"/>
        <v>1.3597459797388782E-6</v>
      </c>
      <c r="EX42">
        <f t="shared" si="127"/>
        <v>1.7790333491771249E-3</v>
      </c>
      <c r="EY42">
        <f t="shared" si="128"/>
        <v>0.25198870496693171</v>
      </c>
      <c r="FA42">
        <f t="shared" si="129"/>
        <v>21.026446603001801</v>
      </c>
      <c r="FB42">
        <f t="shared" si="130"/>
        <v>6.4000000000000001E-2</v>
      </c>
      <c r="FC42">
        <f t="shared" si="25"/>
        <v>120329.60100000001</v>
      </c>
      <c r="FD42">
        <f t="shared" si="26"/>
        <v>5.0203529087165929E-3</v>
      </c>
      <c r="FE42">
        <f t="shared" si="131"/>
        <v>4.2227849987338277E-3</v>
      </c>
      <c r="FF42">
        <f t="shared" si="132"/>
        <v>1.1379929512489078E-2</v>
      </c>
      <c r="FG42">
        <f t="shared" si="133"/>
        <v>13.600553251223431</v>
      </c>
      <c r="FH42">
        <f t="shared" si="254"/>
        <v>2.9459761460649724E-6</v>
      </c>
      <c r="FI42">
        <f t="shared" si="223"/>
        <v>9.6007411731202294E-3</v>
      </c>
      <c r="FJ42">
        <f t="shared" si="134"/>
        <v>1155.2533546658292</v>
      </c>
      <c r="FK42">
        <f t="shared" si="224"/>
        <v>1.3369331134958025E-6</v>
      </c>
      <c r="FL42">
        <f t="shared" si="135"/>
        <v>1.7120506593131654E-3</v>
      </c>
      <c r="FM42">
        <f t="shared" si="136"/>
        <v>0.24486015309271997</v>
      </c>
      <c r="FO42">
        <f t="shared" si="137"/>
        <v>22.924140339734816</v>
      </c>
      <c r="FP42">
        <f t="shared" si="138"/>
        <v>6.4000000000000001E-2</v>
      </c>
      <c r="FQ42">
        <f t="shared" si="27"/>
        <v>120329.60100000001</v>
      </c>
      <c r="FR42">
        <f t="shared" si="28"/>
        <v>5.0203529087165929E-3</v>
      </c>
      <c r="FS42">
        <f t="shared" si="139"/>
        <v>4.2227849987338277E-3</v>
      </c>
      <c r="FT42">
        <f t="shared" si="140"/>
        <v>1.1379929512489078E-2</v>
      </c>
      <c r="FU42">
        <f t="shared" si="141"/>
        <v>13.600553251223431</v>
      </c>
      <c r="FV42">
        <f t="shared" si="255"/>
        <v>2.8642664309857569E-6</v>
      </c>
      <c r="FW42">
        <f t="shared" si="225"/>
        <v>9.2867800853455792E-3</v>
      </c>
      <c r="FX42">
        <f t="shared" si="142"/>
        <v>1117.4745422443796</v>
      </c>
      <c r="FY42">
        <f t="shared" si="226"/>
        <v>1.3148913851701851E-6</v>
      </c>
      <c r="FZ42">
        <f t="shared" si="143"/>
        <v>1.6485628507253017E-3</v>
      </c>
      <c r="GA42">
        <f t="shared" si="144"/>
        <v>0.23806870185500922</v>
      </c>
      <c r="GC42">
        <f t="shared" si="145"/>
        <v>24.82183407646783</v>
      </c>
      <c r="GD42">
        <f t="shared" si="146"/>
        <v>6.4000000000000001E-2</v>
      </c>
      <c r="GE42">
        <f t="shared" si="29"/>
        <v>120329.60100000001</v>
      </c>
      <c r="GF42">
        <f t="shared" si="30"/>
        <v>5.0203529087165929E-3</v>
      </c>
      <c r="GG42">
        <f t="shared" si="147"/>
        <v>4.2227849987338277E-3</v>
      </c>
      <c r="GH42">
        <f t="shared" si="148"/>
        <v>1.1379929512489078E-2</v>
      </c>
      <c r="GI42">
        <f t="shared" si="149"/>
        <v>13.600553251223431</v>
      </c>
      <c r="GJ42">
        <f t="shared" si="256"/>
        <v>2.7863644865837423E-6</v>
      </c>
      <c r="GK42">
        <f t="shared" si="227"/>
        <v>8.988259454508523E-3</v>
      </c>
      <c r="GL42">
        <f t="shared" si="150"/>
        <v>1081.5536738454882</v>
      </c>
      <c r="GM42">
        <f t="shared" si="228"/>
        <v>1.2935853825425478E-6</v>
      </c>
      <c r="GN42">
        <f t="shared" si="151"/>
        <v>1.5883437531200879E-3</v>
      </c>
      <c r="GO42">
        <f t="shared" si="152"/>
        <v>0.23159374038664263</v>
      </c>
      <c r="GQ42">
        <f t="shared" si="153"/>
        <v>26.719527813200845</v>
      </c>
      <c r="GR42">
        <f t="shared" si="154"/>
        <v>6.4000000000000001E-2</v>
      </c>
      <c r="GS42">
        <f t="shared" si="31"/>
        <v>120329.60100000001</v>
      </c>
      <c r="GT42">
        <f t="shared" si="32"/>
        <v>5.0203529087165929E-3</v>
      </c>
      <c r="GU42">
        <f t="shared" si="155"/>
        <v>4.2227849987338277E-3</v>
      </c>
      <c r="GV42">
        <f t="shared" si="156"/>
        <v>1.1379929512489078E-2</v>
      </c>
      <c r="GW42">
        <f t="shared" si="157"/>
        <v>13.600553251223431</v>
      </c>
      <c r="GX42">
        <f t="shared" si="257"/>
        <v>2.7120401647782416E-6</v>
      </c>
      <c r="GY42">
        <f t="shared" si="229"/>
        <v>8.7042158844523113E-3</v>
      </c>
      <c r="GZ42">
        <f t="shared" si="158"/>
        <v>1047.3748243940088</v>
      </c>
      <c r="HA42">
        <f t="shared" si="230"/>
        <v>1.2729815999748273E-6</v>
      </c>
      <c r="HB42">
        <f t="shared" si="159"/>
        <v>1.5311841354100212E-3</v>
      </c>
      <c r="HC42">
        <f t="shared" si="160"/>
        <v>0.22541613951227149</v>
      </c>
      <c r="HE42">
        <f t="shared" si="161"/>
        <v>28.617221549933859</v>
      </c>
      <c r="HF42">
        <f t="shared" si="162"/>
        <v>6.4000000000000001E-2</v>
      </c>
      <c r="HG42">
        <f t="shared" si="33"/>
        <v>120329.60100000001</v>
      </c>
      <c r="HH42">
        <f t="shared" si="34"/>
        <v>5.0203529087165929E-3</v>
      </c>
      <c r="HI42">
        <f t="shared" si="263"/>
        <v>4.2227849987338277E-3</v>
      </c>
      <c r="HJ42">
        <f t="shared" si="164"/>
        <v>1.1379929512489078E-2</v>
      </c>
      <c r="HK42">
        <f t="shared" si="165"/>
        <v>13.600553251223431</v>
      </c>
      <c r="HL42">
        <f t="shared" si="258"/>
        <v>2.6410797075200556E-6</v>
      </c>
      <c r="HM42">
        <f t="shared" si="231"/>
        <v>8.4337562113242989E-3</v>
      </c>
      <c r="HN42">
        <f t="shared" si="166"/>
        <v>1014.8305198399247</v>
      </c>
      <c r="HO42">
        <f t="shared" si="232"/>
        <v>1.2530483264600965E-6</v>
      </c>
      <c r="HP42">
        <f t="shared" si="167"/>
        <v>1.4768902962754725E-3</v>
      </c>
      <c r="HQ42">
        <f t="shared" si="168"/>
        <v>0.21951813234375531</v>
      </c>
      <c r="HS42">
        <f t="shared" si="169"/>
        <v>30.51491528666687</v>
      </c>
      <c r="HT42">
        <f t="shared" si="170"/>
        <v>6.4000000000000001E-2</v>
      </c>
      <c r="HU42">
        <f t="shared" si="35"/>
        <v>120329.60100000001</v>
      </c>
      <c r="HV42">
        <f t="shared" si="36"/>
        <v>5.0203529087165929E-3</v>
      </c>
      <c r="HW42">
        <f t="shared" si="264"/>
        <v>4.2227849987338277E-3</v>
      </c>
      <c r="HX42">
        <f t="shared" si="172"/>
        <v>1.1379929512489078E-2</v>
      </c>
      <c r="HY42">
        <f t="shared" si="173"/>
        <v>13.600553251223431</v>
      </c>
      <c r="HZ42">
        <f t="shared" si="259"/>
        <v>2.5732844362789181E-6</v>
      </c>
      <c r="IA42">
        <f t="shared" si="233"/>
        <v>8.1760517827388027E-3</v>
      </c>
      <c r="IB42">
        <f t="shared" si="174"/>
        <v>983.82104877229892</v>
      </c>
      <c r="IC42">
        <f t="shared" si="234"/>
        <v>1.2337555404870556E-6</v>
      </c>
      <c r="ID42">
        <f t="shared" si="175"/>
        <v>1.4252827816218817E-3</v>
      </c>
      <c r="IE42">
        <f t="shared" si="176"/>
        <v>0.21388320535453276</v>
      </c>
      <c r="IG42">
        <f t="shared" si="177"/>
        <v>32.412609023399881</v>
      </c>
      <c r="IH42">
        <f t="shared" si="178"/>
        <v>6.4000000000000001E-2</v>
      </c>
      <c r="II42">
        <f t="shared" si="37"/>
        <v>120329.60100000001</v>
      </c>
      <c r="IJ42">
        <f t="shared" si="38"/>
        <v>5.0203529087165929E-3</v>
      </c>
      <c r="IK42">
        <f t="shared" si="265"/>
        <v>4.2227849987338277E-3</v>
      </c>
      <c r="IL42">
        <f t="shared" si="180"/>
        <v>1.1379929512489078E-2</v>
      </c>
      <c r="IM42">
        <f t="shared" si="181"/>
        <v>13.600553251223431</v>
      </c>
      <c r="IN42">
        <f t="shared" si="260"/>
        <v>2.5084695557968306E-6</v>
      </c>
      <c r="IO42">
        <f t="shared" si="235"/>
        <v>7.9303332433181186E-3</v>
      </c>
      <c r="IP42">
        <f t="shared" si="182"/>
        <v>954.25383496550523</v>
      </c>
      <c r="IQ42">
        <f t="shared" si="236"/>
        <v>1.215074811310808E-6</v>
      </c>
      <c r="IR42">
        <f t="shared" si="183"/>
        <v>1.3761952168015038E-3</v>
      </c>
      <c r="IS42">
        <f t="shared" si="184"/>
        <v>0.20849599895140924</v>
      </c>
      <c r="IU42">
        <f t="shared" si="185"/>
        <v>34.310302760132899</v>
      </c>
      <c r="IV42">
        <f t="shared" si="186"/>
        <v>6.4000000000000001E-2</v>
      </c>
      <c r="IW42">
        <f t="shared" si="39"/>
        <v>120329.60100000001</v>
      </c>
      <c r="IX42">
        <f t="shared" si="40"/>
        <v>5.0203529087165929E-3</v>
      </c>
      <c r="IY42">
        <f t="shared" si="266"/>
        <v>4.2227849987338277E-3</v>
      </c>
      <c r="IZ42">
        <f t="shared" si="188"/>
        <v>1.1379929512489078E-2</v>
      </c>
      <c r="JA42">
        <f t="shared" si="189"/>
        <v>13.600553251223431</v>
      </c>
      <c r="JB42">
        <f t="shared" si="261"/>
        <v>2.4464630614604602E-6</v>
      </c>
      <c r="JC42">
        <f t="shared" si="237"/>
        <v>7.6958857788522296E-3</v>
      </c>
      <c r="JD42">
        <f t="shared" si="190"/>
        <v>926.04286511086309</v>
      </c>
      <c r="JE42">
        <f t="shared" si="238"/>
        <v>1.1969792062437895E-6</v>
      </c>
      <c r="JF42">
        <f t="shared" si="191"/>
        <v>1.3294732426821511E-3</v>
      </c>
      <c r="JG42">
        <f t="shared" si="192"/>
        <v>0.20334221665883137</v>
      </c>
      <c r="JI42">
        <f t="shared" si="193"/>
        <v>36.20799649686591</v>
      </c>
      <c r="JJ42">
        <f t="shared" si="194"/>
        <v>6.4000000000000001E-2</v>
      </c>
      <c r="JK42">
        <f t="shared" si="41"/>
        <v>120329.60100000001</v>
      </c>
      <c r="JL42">
        <f t="shared" si="42"/>
        <v>5.0203529087165929E-3</v>
      </c>
      <c r="JM42">
        <f t="shared" si="267"/>
        <v>4.2227849987338277E-3</v>
      </c>
      <c r="JN42">
        <f t="shared" si="196"/>
        <v>1.1379929512489078E-2</v>
      </c>
      <c r="JO42">
        <f t="shared" si="197"/>
        <v>13.600553251223431</v>
      </c>
      <c r="JP42">
        <f t="shared" si="262"/>
        <v>2.387104740689621E-6</v>
      </c>
      <c r="JQ42">
        <f t="shared" si="239"/>
        <v>7.4720447760404946E-3</v>
      </c>
      <c r="JR42">
        <f t="shared" si="198"/>
        <v>899.10816655508711</v>
      </c>
      <c r="JS42">
        <f t="shared" si="240"/>
        <v>1.1794432036017667E-6</v>
      </c>
      <c r="JT42">
        <f t="shared" si="199"/>
        <v>1.2849735457336378E-3</v>
      </c>
      <c r="JU42">
        <f t="shared" si="200"/>
        <v>0.19840854211747819</v>
      </c>
    </row>
    <row r="43" spans="2:281">
      <c r="B43">
        <v>0.09</v>
      </c>
      <c r="C43">
        <f t="shared" si="43"/>
        <v>0.1707924363059713</v>
      </c>
      <c r="D43">
        <f t="shared" si="44"/>
        <v>7.1999999999999995E-2</v>
      </c>
      <c r="E43">
        <f t="shared" si="3"/>
        <v>120145.17300000001</v>
      </c>
      <c r="F43">
        <f t="shared" si="4"/>
        <v>5.022920414522512E-3</v>
      </c>
      <c r="G43">
        <f t="shared" si="45"/>
        <v>4.2217056056758429E-3</v>
      </c>
      <c r="H43">
        <f t="shared" si="46"/>
        <v>1.1397398192983877E-2</v>
      </c>
      <c r="I43">
        <f t="shared" si="47"/>
        <v>13.614467981652066</v>
      </c>
      <c r="J43">
        <f t="shared" si="241"/>
        <v>4.1806679020502742E-6</v>
      </c>
      <c r="K43">
        <f t="shared" si="201"/>
        <v>1.5897528217312423E-2</v>
      </c>
      <c r="L43">
        <f t="shared" si="48"/>
        <v>1910.0112779413828</v>
      </c>
      <c r="M43">
        <f t="shared" si="202"/>
        <v>1.719052050770331E-6</v>
      </c>
      <c r="N43">
        <f t="shared" si="203"/>
        <v>2.6212129609795034E-3</v>
      </c>
      <c r="O43">
        <f t="shared" si="49"/>
        <v>0.34748379883971864</v>
      </c>
      <c r="Q43">
        <f t="shared" si="50"/>
        <v>2.0684861730389859</v>
      </c>
      <c r="R43">
        <f t="shared" si="51"/>
        <v>7.1999999999999995E-2</v>
      </c>
      <c r="S43">
        <f t="shared" si="5"/>
        <v>120145.17300000001</v>
      </c>
      <c r="T43">
        <f t="shared" si="6"/>
        <v>5.022920414522512E-3</v>
      </c>
      <c r="U43">
        <f t="shared" si="52"/>
        <v>4.2217056056758429E-3</v>
      </c>
      <c r="V43">
        <f t="shared" si="53"/>
        <v>1.1397398192983877E-2</v>
      </c>
      <c r="W43">
        <f t="shared" si="54"/>
        <v>13.614467981652066</v>
      </c>
      <c r="X43">
        <f t="shared" si="242"/>
        <v>4.035551252123786E-6</v>
      </c>
      <c r="Y43">
        <f t="shared" si="204"/>
        <v>1.5258056526076948E-2</v>
      </c>
      <c r="Z43">
        <f t="shared" si="55"/>
        <v>1833.1818409692942</v>
      </c>
      <c r="AA43">
        <f t="shared" si="205"/>
        <v>1.6841231056066384E-6</v>
      </c>
      <c r="AB43">
        <f t="shared" si="56"/>
        <v>2.5038813148923838E-3</v>
      </c>
      <c r="AC43">
        <f t="shared" si="57"/>
        <v>0.33542216515515355</v>
      </c>
      <c r="AE43">
        <f t="shared" si="58"/>
        <v>3.9661799097719999</v>
      </c>
      <c r="AF43">
        <f t="shared" si="59"/>
        <v>7.1999999999999995E-2</v>
      </c>
      <c r="AG43">
        <f t="shared" si="7"/>
        <v>120145.17300000001</v>
      </c>
      <c r="AH43">
        <f t="shared" si="8"/>
        <v>5.022920414522512E-3</v>
      </c>
      <c r="AI43">
        <f t="shared" si="60"/>
        <v>4.2217056056758429E-3</v>
      </c>
      <c r="AJ43">
        <f t="shared" si="61"/>
        <v>1.1397398192983877E-2</v>
      </c>
      <c r="AK43">
        <f t="shared" si="62"/>
        <v>13.614467981652066</v>
      </c>
      <c r="AL43">
        <f t="shared" si="243"/>
        <v>3.8983806602800617E-6</v>
      </c>
      <c r="AM43">
        <f t="shared" si="206"/>
        <v>1.4655425160103729E-2</v>
      </c>
      <c r="AN43">
        <f t="shared" si="63"/>
        <v>1760.7785912492154</v>
      </c>
      <c r="AO43">
        <f t="shared" si="207"/>
        <v>1.6505300497058764E-6</v>
      </c>
      <c r="AP43">
        <f t="shared" si="64"/>
        <v>2.3935884032104718E-3</v>
      </c>
      <c r="AQ43">
        <f t="shared" si="65"/>
        <v>0.32402098250690392</v>
      </c>
      <c r="AS43">
        <f t="shared" si="66"/>
        <v>5.8638736465050147</v>
      </c>
      <c r="AT43">
        <f t="shared" si="67"/>
        <v>7.1999999999999995E-2</v>
      </c>
      <c r="AU43">
        <f t="shared" si="9"/>
        <v>120145.17300000001</v>
      </c>
      <c r="AV43">
        <f t="shared" si="10"/>
        <v>5.022920414522512E-3</v>
      </c>
      <c r="AW43">
        <f t="shared" si="68"/>
        <v>4.2217056056758429E-3</v>
      </c>
      <c r="AX43">
        <f t="shared" si="69"/>
        <v>1.1397398192983877E-2</v>
      </c>
      <c r="AY43">
        <f t="shared" si="70"/>
        <v>13.614467981652066</v>
      </c>
      <c r="AZ43">
        <f t="shared" si="244"/>
        <v>3.7686121133257346E-6</v>
      </c>
      <c r="BA43">
        <f t="shared" si="208"/>
        <v>1.4087032679832037E-2</v>
      </c>
      <c r="BB43">
        <f t="shared" si="71"/>
        <v>1692.4889783750739</v>
      </c>
      <c r="BC43">
        <f t="shared" si="209"/>
        <v>1.6182066649621336E-6</v>
      </c>
      <c r="BD43">
        <f t="shared" si="72"/>
        <v>2.2898254533422692E-3</v>
      </c>
      <c r="BE43">
        <f t="shared" si="73"/>
        <v>0.31323503425124699</v>
      </c>
      <c r="BG43">
        <f t="shared" si="74"/>
        <v>7.7615673832380292</v>
      </c>
      <c r="BH43">
        <f t="shared" si="75"/>
        <v>7.1999999999999995E-2</v>
      </c>
      <c r="BI43">
        <f t="shared" si="11"/>
        <v>120145.17300000001</v>
      </c>
      <c r="BJ43">
        <f t="shared" si="12"/>
        <v>5.022920414522512E-3</v>
      </c>
      <c r="BK43">
        <f t="shared" si="76"/>
        <v>4.2217056056758429E-3</v>
      </c>
      <c r="BL43">
        <f t="shared" si="77"/>
        <v>1.1397398192983877E-2</v>
      </c>
      <c r="BM43">
        <f t="shared" si="78"/>
        <v>13.614467981652066</v>
      </c>
      <c r="BN43">
        <f t="shared" si="245"/>
        <v>3.6457444306867342E-6</v>
      </c>
      <c r="BO43">
        <f t="shared" si="210"/>
        <v>1.3550487153755239E-2</v>
      </c>
      <c r="BP43">
        <f t="shared" si="79"/>
        <v>1628.025623322201</v>
      </c>
      <c r="BQ43">
        <f t="shared" si="211"/>
        <v>1.5870904520809419E-6</v>
      </c>
      <c r="BR43">
        <f t="shared" si="80"/>
        <v>2.1921253424199913E-3</v>
      </c>
      <c r="BS43">
        <f t="shared" si="81"/>
        <v>0.30302266385533616</v>
      </c>
      <c r="BU43">
        <f t="shared" si="82"/>
        <v>9.6592611199710436</v>
      </c>
      <c r="BV43">
        <f t="shared" si="83"/>
        <v>7.1999999999999995E-2</v>
      </c>
      <c r="BW43">
        <f t="shared" si="13"/>
        <v>120145.17300000001</v>
      </c>
      <c r="BX43">
        <f t="shared" si="14"/>
        <v>5.022920414522512E-3</v>
      </c>
      <c r="BY43">
        <f t="shared" si="84"/>
        <v>4.2217056056758429E-3</v>
      </c>
      <c r="BZ43">
        <f t="shared" si="85"/>
        <v>1.1397398192983877E-2</v>
      </c>
      <c r="CA43">
        <f t="shared" si="86"/>
        <v>13.614467981652066</v>
      </c>
      <c r="CB43">
        <f t="shared" si="246"/>
        <v>3.5293155470602647E-6</v>
      </c>
      <c r="CC43">
        <f t="shared" si="247"/>
        <v>1.3043587655782188E-2</v>
      </c>
      <c r="CD43">
        <f t="shared" si="87"/>
        <v>1567.1240954446155</v>
      </c>
      <c r="CE43">
        <f t="shared" si="248"/>
        <v>1.5571224099748972E-6</v>
      </c>
      <c r="CF43">
        <f t="shared" si="212"/>
        <v>2.1000588738470452E-3</v>
      </c>
      <c r="CG43">
        <f t="shared" si="88"/>
        <v>0.29334546592307464</v>
      </c>
      <c r="CI43">
        <f t="shared" si="89"/>
        <v>11.556954856704058</v>
      </c>
      <c r="CJ43">
        <f t="shared" si="90"/>
        <v>7.1999999999999995E-2</v>
      </c>
      <c r="CK43">
        <f t="shared" si="15"/>
        <v>120145.17300000001</v>
      </c>
      <c r="CL43">
        <f t="shared" si="16"/>
        <v>5.022920414522512E-3</v>
      </c>
      <c r="CM43">
        <f t="shared" si="91"/>
        <v>4.2217056056758429E-3</v>
      </c>
      <c r="CN43">
        <f t="shared" si="92"/>
        <v>1.1397398192983877E-2</v>
      </c>
      <c r="CO43">
        <f t="shared" si="93"/>
        <v>13.614467981652066</v>
      </c>
      <c r="CP43">
        <f t="shared" si="249"/>
        <v>3.4188991414258024E-6</v>
      </c>
      <c r="CQ43">
        <f t="shared" si="213"/>
        <v>1.2564307509994871E-2</v>
      </c>
      <c r="CR43">
        <f t="shared" si="94"/>
        <v>1509.5408994135332</v>
      </c>
      <c r="CS43">
        <f t="shared" si="214"/>
        <v>1.5282468282296743E-6</v>
      </c>
      <c r="CT43">
        <f t="shared" si="95"/>
        <v>2.0132314087426555E-3</v>
      </c>
      <c r="CU43">
        <f t="shared" si="96"/>
        <v>0.28416800600924746</v>
      </c>
      <c r="CW43">
        <f t="shared" si="97"/>
        <v>13.454648593437073</v>
      </c>
      <c r="CX43">
        <f t="shared" si="98"/>
        <v>7.1999999999999995E-2</v>
      </c>
      <c r="CY43">
        <f t="shared" si="17"/>
        <v>120145.17300000001</v>
      </c>
      <c r="CZ43">
        <f t="shared" si="18"/>
        <v>5.022920414522512E-3</v>
      </c>
      <c r="DA43">
        <f t="shared" si="99"/>
        <v>4.2217056056758429E-3</v>
      </c>
      <c r="DB43">
        <f t="shared" si="100"/>
        <v>1.1397398192983877E-2</v>
      </c>
      <c r="DC43">
        <f t="shared" si="101"/>
        <v>13.614467981652066</v>
      </c>
      <c r="DD43">
        <f t="shared" si="250"/>
        <v>3.3141015784152166E-6</v>
      </c>
      <c r="DE43">
        <f t="shared" si="215"/>
        <v>1.2110779109519468E-2</v>
      </c>
      <c r="DF43">
        <f t="shared" si="102"/>
        <v>1455.0516512780025</v>
      </c>
      <c r="DG43">
        <f t="shared" si="216"/>
        <v>1.5004110919167401E-6</v>
      </c>
      <c r="DH43">
        <f t="shared" si="103"/>
        <v>1.9312798168500173E-3</v>
      </c>
      <c r="DI43">
        <f t="shared" si="104"/>
        <v>0.27545756639594926</v>
      </c>
      <c r="DK43">
        <f t="shared" si="105"/>
        <v>15.352342330170087</v>
      </c>
      <c r="DL43">
        <f t="shared" si="106"/>
        <v>7.1999999999999995E-2</v>
      </c>
      <c r="DM43">
        <f t="shared" si="19"/>
        <v>120145.17300000001</v>
      </c>
      <c r="DN43">
        <f t="shared" si="20"/>
        <v>5.022920414522512E-3</v>
      </c>
      <c r="DO43">
        <f t="shared" si="107"/>
        <v>4.2217056056758429E-3</v>
      </c>
      <c r="DP43">
        <f t="shared" si="108"/>
        <v>1.1397398192983877E-2</v>
      </c>
      <c r="DQ43">
        <f t="shared" si="109"/>
        <v>13.614467981652066</v>
      </c>
      <c r="DR43">
        <f t="shared" si="251"/>
        <v>3.2145591315068944E-6</v>
      </c>
      <c r="DS43">
        <f t="shared" si="217"/>
        <v>1.1681280154012388E-2</v>
      </c>
      <c r="DT43">
        <f t="shared" si="110"/>
        <v>1403.4494249652851</v>
      </c>
      <c r="DU43">
        <f t="shared" si="218"/>
        <v>1.4735654980624337E-6</v>
      </c>
      <c r="DV43">
        <f t="shared" si="111"/>
        <v>1.853869715128204E-3</v>
      </c>
      <c r="DW43">
        <f t="shared" si="112"/>
        <v>0.2671839152933248</v>
      </c>
      <c r="DY43">
        <f t="shared" si="113"/>
        <v>17.2500360669031</v>
      </c>
      <c r="DZ43">
        <f t="shared" si="114"/>
        <v>7.1999999999999995E-2</v>
      </c>
      <c r="EA43">
        <f t="shared" si="21"/>
        <v>120145.17300000001</v>
      </c>
      <c r="EB43">
        <f t="shared" si="22"/>
        <v>5.022920414522512E-3</v>
      </c>
      <c r="EC43">
        <f t="shared" si="115"/>
        <v>4.2217056056758429E-3</v>
      </c>
      <c r="ED43">
        <f t="shared" si="116"/>
        <v>1.1397398192983877E-2</v>
      </c>
      <c r="EE43">
        <f t="shared" si="117"/>
        <v>13.614467981652066</v>
      </c>
      <c r="EF43">
        <f t="shared" si="252"/>
        <v>3.1199354606115716E-6</v>
      </c>
      <c r="EG43">
        <f t="shared" si="219"/>
        <v>1.1274221166181798E-2</v>
      </c>
      <c r="EH43">
        <f t="shared" si="118"/>
        <v>1354.5432524511741</v>
      </c>
      <c r="EI43">
        <f t="shared" si="220"/>
        <v>1.4476630831155791E-6</v>
      </c>
      <c r="EJ43">
        <f t="shared" si="119"/>
        <v>1.7806929655174747E-3</v>
      </c>
      <c r="EK43">
        <f t="shared" si="120"/>
        <v>0.25931909718453866</v>
      </c>
      <c r="EM43">
        <f t="shared" si="121"/>
        <v>19.147729803636114</v>
      </c>
      <c r="EN43">
        <f t="shared" si="122"/>
        <v>7.1999999999999995E-2</v>
      </c>
      <c r="EO43">
        <f t="shared" si="23"/>
        <v>120145.17300000001</v>
      </c>
      <c r="EP43">
        <f t="shared" si="24"/>
        <v>5.022920414522512E-3</v>
      </c>
      <c r="EQ43">
        <f t="shared" si="123"/>
        <v>4.2217056056758429E-3</v>
      </c>
      <c r="ER43">
        <f t="shared" si="124"/>
        <v>1.1397398192983877E-2</v>
      </c>
      <c r="ES43">
        <f t="shared" si="125"/>
        <v>13.614467981652066</v>
      </c>
      <c r="ET43">
        <f t="shared" si="253"/>
        <v>3.0299193193966591E-6</v>
      </c>
      <c r="EU43">
        <f t="shared" si="221"/>
        <v>1.0888134162016307E-2</v>
      </c>
      <c r="EV43">
        <f t="shared" si="126"/>
        <v>1308.1567625426594</v>
      </c>
      <c r="EW43">
        <f t="shared" si="222"/>
        <v>1.4226594607873583E-6</v>
      </c>
      <c r="EX43">
        <f t="shared" si="127"/>
        <v>1.7114654062932709E-3</v>
      </c>
      <c r="EY43">
        <f t="shared" si="128"/>
        <v>0.25183724226587589</v>
      </c>
      <c r="FA43">
        <f t="shared" si="129"/>
        <v>21.045423540369129</v>
      </c>
      <c r="FB43">
        <f t="shared" si="130"/>
        <v>7.1999999999999995E-2</v>
      </c>
      <c r="FC43">
        <f t="shared" si="25"/>
        <v>120145.17300000001</v>
      </c>
      <c r="FD43">
        <f t="shared" si="26"/>
        <v>5.022920414522512E-3</v>
      </c>
      <c r="FE43">
        <f t="shared" si="131"/>
        <v>4.2217056056758429E-3</v>
      </c>
      <c r="FF43">
        <f t="shared" si="132"/>
        <v>1.1397398192983877E-2</v>
      </c>
      <c r="FG43">
        <f t="shared" si="133"/>
        <v>13.614467981652066</v>
      </c>
      <c r="FH43">
        <f t="shared" si="254"/>
        <v>2.9442224701854753E-6</v>
      </c>
      <c r="FI43">
        <f t="shared" si="223"/>
        <v>1.0521662362149801E-2</v>
      </c>
      <c r="FJ43">
        <f t="shared" si="134"/>
        <v>1264.1269447480765</v>
      </c>
      <c r="FK43">
        <f t="shared" si="224"/>
        <v>1.3985126696676171E-6</v>
      </c>
      <c r="FL43">
        <f t="shared" si="135"/>
        <v>1.6459247940428085E-3</v>
      </c>
      <c r="FM43">
        <f t="shared" si="136"/>
        <v>0.24471439313980853</v>
      </c>
      <c r="FO43">
        <f t="shared" si="137"/>
        <v>22.943117277102143</v>
      </c>
      <c r="FP43">
        <f t="shared" si="138"/>
        <v>7.1999999999999995E-2</v>
      </c>
      <c r="FQ43">
        <f t="shared" si="27"/>
        <v>120145.17300000001</v>
      </c>
      <c r="FR43">
        <f t="shared" si="28"/>
        <v>5.022920414522512E-3</v>
      </c>
      <c r="FS43">
        <f t="shared" si="139"/>
        <v>4.2217056056758429E-3</v>
      </c>
      <c r="FT43">
        <f t="shared" si="140"/>
        <v>1.1397398192983877E-2</v>
      </c>
      <c r="FU43">
        <f t="shared" si="141"/>
        <v>13.614467981652066</v>
      </c>
      <c r="FV43">
        <f t="shared" si="255"/>
        <v>2.8625777864988516E-6</v>
      </c>
      <c r="FW43">
        <f t="shared" si="225"/>
        <v>1.0173550843220811E-2</v>
      </c>
      <c r="FX43">
        <f t="shared" si="142"/>
        <v>1222.3030260830603</v>
      </c>
      <c r="FY43">
        <f t="shared" si="226"/>
        <v>1.375183030051586E-6</v>
      </c>
      <c r="FZ43">
        <f t="shared" si="143"/>
        <v>1.5838289356421367E-3</v>
      </c>
      <c r="GA43">
        <f t="shared" si="144"/>
        <v>0.23792834710429778</v>
      </c>
      <c r="GC43">
        <f t="shared" si="145"/>
        <v>24.840811013835157</v>
      </c>
      <c r="GD43">
        <f t="shared" si="146"/>
        <v>7.1999999999999995E-2</v>
      </c>
      <c r="GE43">
        <f t="shared" si="29"/>
        <v>120145.17300000001</v>
      </c>
      <c r="GF43">
        <f t="shared" si="30"/>
        <v>5.022920414522512E-3</v>
      </c>
      <c r="GG43">
        <f t="shared" si="147"/>
        <v>4.2217056056758429E-3</v>
      </c>
      <c r="GH43">
        <f t="shared" si="148"/>
        <v>1.1397398192983877E-2</v>
      </c>
      <c r="GI43">
        <f t="shared" si="149"/>
        <v>13.614467981652066</v>
      </c>
      <c r="GJ43">
        <f t="shared" si="256"/>
        <v>2.7847375253060227E-6</v>
      </c>
      <c r="GK43">
        <f t="shared" si="227"/>
        <v>9.8426380383162364E-3</v>
      </c>
      <c r="GL43">
        <f t="shared" si="150"/>
        <v>1182.545449889885</v>
      </c>
      <c r="GM43">
        <f t="shared" si="228"/>
        <v>1.3526330094394197E-6</v>
      </c>
      <c r="GN43">
        <f t="shared" si="151"/>
        <v>1.5249539917103485E-3</v>
      </c>
      <c r="GO43">
        <f t="shared" si="152"/>
        <v>0.23145851254779184</v>
      </c>
      <c r="GQ43">
        <f t="shared" si="153"/>
        <v>26.738504750568172</v>
      </c>
      <c r="GR43">
        <f t="shared" si="154"/>
        <v>7.1999999999999995E-2</v>
      </c>
      <c r="GS43">
        <f t="shared" si="31"/>
        <v>120145.17300000001</v>
      </c>
      <c r="GT43">
        <f t="shared" si="32"/>
        <v>5.022920414522512E-3</v>
      </c>
      <c r="GU43">
        <f t="shared" si="155"/>
        <v>4.2217056056758429E-3</v>
      </c>
      <c r="GV43">
        <f t="shared" si="156"/>
        <v>1.1397398192983877E-2</v>
      </c>
      <c r="GW43">
        <f t="shared" si="157"/>
        <v>13.614467981652066</v>
      </c>
      <c r="GX43">
        <f t="shared" si="257"/>
        <v>2.7104717528444416E-6</v>
      </c>
      <c r="GY43">
        <f t="shared" si="229"/>
        <v>9.5278480047604284E-3</v>
      </c>
      <c r="GZ43">
        <f t="shared" si="158"/>
        <v>1144.7249468496466</v>
      </c>
      <c r="HA43">
        <f t="shared" si="230"/>
        <v>1.3308270961987362E-6</v>
      </c>
      <c r="HB43">
        <f t="shared" si="159"/>
        <v>1.4690929348970046E-3</v>
      </c>
      <c r="HC43">
        <f t="shared" si="160"/>
        <v>0.2252857781083831</v>
      </c>
      <c r="HE43">
        <f t="shared" si="161"/>
        <v>28.636198487301186</v>
      </c>
      <c r="HF43">
        <f t="shared" si="162"/>
        <v>7.1999999999999995E-2</v>
      </c>
      <c r="HG43">
        <f t="shared" si="33"/>
        <v>120145.17300000001</v>
      </c>
      <c r="HH43">
        <f t="shared" si="34"/>
        <v>5.022920414522512E-3</v>
      </c>
      <c r="HI43">
        <f t="shared" si="263"/>
        <v>4.2217056056758429E-3</v>
      </c>
      <c r="HJ43">
        <f t="shared" si="164"/>
        <v>1.1397398192983877E-2</v>
      </c>
      <c r="HK43">
        <f t="shared" si="165"/>
        <v>13.614467981652066</v>
      </c>
      <c r="HL43">
        <f t="shared" si="258"/>
        <v>2.6395669094757028E-6</v>
      </c>
      <c r="HM43">
        <f t="shared" si="231"/>
        <v>9.2281833857268854E-3</v>
      </c>
      <c r="HN43">
        <f t="shared" si="166"/>
        <v>1108.7216893538825</v>
      </c>
      <c r="HO43">
        <f t="shared" si="232"/>
        <v>1.309731680906964E-6</v>
      </c>
      <c r="HP43">
        <f t="shared" si="167"/>
        <v>1.4160541480422505E-3</v>
      </c>
      <c r="HQ43">
        <f t="shared" si="168"/>
        <v>0.21939239338920424</v>
      </c>
      <c r="HS43">
        <f t="shared" si="169"/>
        <v>30.533892224034201</v>
      </c>
      <c r="HT43">
        <f t="shared" si="170"/>
        <v>7.1999999999999995E-2</v>
      </c>
      <c r="HU43">
        <f t="shared" si="35"/>
        <v>120145.17300000001</v>
      </c>
      <c r="HV43">
        <f t="shared" si="36"/>
        <v>5.022920414522512E-3</v>
      </c>
      <c r="HW43">
        <f t="shared" si="264"/>
        <v>4.2217056056758429E-3</v>
      </c>
      <c r="HX43">
        <f t="shared" si="172"/>
        <v>1.1397398192983877E-2</v>
      </c>
      <c r="HY43">
        <f t="shared" si="173"/>
        <v>13.614467981652066</v>
      </c>
      <c r="HZ43">
        <f t="shared" si="259"/>
        <v>2.5718245004867166E-6</v>
      </c>
      <c r="IA43">
        <f t="shared" si="233"/>
        <v>8.9427189995146296E-3</v>
      </c>
      <c r="IB43">
        <f t="shared" si="174"/>
        <v>1074.4245212870721</v>
      </c>
      <c r="IC43">
        <f t="shared" si="234"/>
        <v>1.2893149449159565E-6</v>
      </c>
      <c r="ID43">
        <f t="shared" si="175"/>
        <v>1.3656601487572369E-3</v>
      </c>
      <c r="IE43">
        <f t="shared" si="176"/>
        <v>0.21376186014199208</v>
      </c>
      <c r="IG43">
        <f t="shared" si="177"/>
        <v>32.431585960767215</v>
      </c>
      <c r="IH43">
        <f t="shared" si="178"/>
        <v>7.1999999999999995E-2</v>
      </c>
      <c r="II43">
        <f t="shared" si="37"/>
        <v>120145.17300000001</v>
      </c>
      <c r="IJ43">
        <f t="shared" si="38"/>
        <v>5.022920414522512E-3</v>
      </c>
      <c r="IK43">
        <f t="shared" si="265"/>
        <v>4.2217056056758429E-3</v>
      </c>
      <c r="IL43">
        <f t="shared" si="180"/>
        <v>1.1397398192983877E-2</v>
      </c>
      <c r="IM43">
        <f t="shared" si="181"/>
        <v>13.614467981652066</v>
      </c>
      <c r="IN43">
        <f t="shared" si="260"/>
        <v>2.5070599010392119E-6</v>
      </c>
      <c r="IO43">
        <f t="shared" si="235"/>
        <v>8.6705959969346283E-3</v>
      </c>
      <c r="IP43">
        <f t="shared" si="182"/>
        <v>1041.7302560648184</v>
      </c>
      <c r="IQ43">
        <f t="shared" si="236"/>
        <v>1.2695467557060034E-6</v>
      </c>
      <c r="IR43">
        <f t="shared" si="183"/>
        <v>1.3177464283240124E-3</v>
      </c>
      <c r="IS43">
        <f t="shared" si="184"/>
        <v>0.20837883293829695</v>
      </c>
      <c r="IU43">
        <f t="shared" si="185"/>
        <v>34.329279697500233</v>
      </c>
      <c r="IV43">
        <f t="shared" si="186"/>
        <v>7.1999999999999995E-2</v>
      </c>
      <c r="IW43">
        <f t="shared" si="39"/>
        <v>120145.17300000001</v>
      </c>
      <c r="IX43">
        <f t="shared" si="40"/>
        <v>5.022920414522512E-3</v>
      </c>
      <c r="IY43">
        <f t="shared" si="266"/>
        <v>4.2217056056758429E-3</v>
      </c>
      <c r="IZ43">
        <f t="shared" si="188"/>
        <v>1.1397398192983877E-2</v>
      </c>
      <c r="JA43">
        <f t="shared" si="189"/>
        <v>13.614467981652066</v>
      </c>
      <c r="JB43">
        <f t="shared" si="261"/>
        <v>2.4451012646319336E-6</v>
      </c>
      <c r="JC43">
        <f t="shared" si="237"/>
        <v>8.4110165331755162E-3</v>
      </c>
      <c r="JD43">
        <f t="shared" si="190"/>
        <v>1010.5430364842327</v>
      </c>
      <c r="JE43">
        <f t="shared" si="238"/>
        <v>1.2503985686201759E-6</v>
      </c>
      <c r="JF43">
        <f t="shared" si="191"/>
        <v>1.2721603940252831E-3</v>
      </c>
      <c r="JG43">
        <f t="shared" si="192"/>
        <v>0.20322902844433763</v>
      </c>
      <c r="JI43">
        <f t="shared" si="193"/>
        <v>36.226973434233244</v>
      </c>
      <c r="JJ43">
        <f t="shared" si="194"/>
        <v>7.1999999999999995E-2</v>
      </c>
      <c r="JK43">
        <f t="shared" si="41"/>
        <v>120145.17300000001</v>
      </c>
      <c r="JL43">
        <f t="shared" si="42"/>
        <v>5.022920414522512E-3</v>
      </c>
      <c r="JM43">
        <f t="shared" si="267"/>
        <v>4.2217056056758429E-3</v>
      </c>
      <c r="JN43">
        <f t="shared" si="196"/>
        <v>1.1397398192983877E-2</v>
      </c>
      <c r="JO43">
        <f t="shared" si="197"/>
        <v>13.614467981652066</v>
      </c>
      <c r="JP43">
        <f t="shared" si="262"/>
        <v>2.3857885254826189E-6</v>
      </c>
      <c r="JQ43">
        <f t="shared" si="239"/>
        <v>8.1632389058238653E-3</v>
      </c>
      <c r="JR43">
        <f t="shared" si="198"/>
        <v>980.77375058053906</v>
      </c>
      <c r="JS43">
        <f t="shared" si="240"/>
        <v>1.2318433345921525E-6</v>
      </c>
      <c r="JT43">
        <f t="shared" si="199"/>
        <v>1.2287604051011104E-3</v>
      </c>
      <c r="JU43">
        <f t="shared" si="200"/>
        <v>0.19829914250216904</v>
      </c>
    </row>
    <row r="44" spans="2:281">
      <c r="B44">
        <v>0.1</v>
      </c>
      <c r="C44">
        <f t="shared" si="43"/>
        <v>0.18976937367330146</v>
      </c>
      <c r="D44">
        <f t="shared" si="44"/>
        <v>8.0000000000000016E-2</v>
      </c>
      <c r="E44">
        <f t="shared" si="3"/>
        <v>119960.74500000001</v>
      </c>
      <c r="F44">
        <f t="shared" si="4"/>
        <v>5.0254931806888491E-3</v>
      </c>
      <c r="G44">
        <f t="shared" si="45"/>
        <v>4.2206248309713283E-3</v>
      </c>
      <c r="H44">
        <f t="shared" si="46"/>
        <v>1.1414920586279581E-2</v>
      </c>
      <c r="I44">
        <f t="shared" si="47"/>
        <v>13.628418357198836</v>
      </c>
      <c r="J44">
        <f t="shared" si="241"/>
        <v>4.1779829593357056E-6</v>
      </c>
      <c r="K44">
        <f t="shared" si="201"/>
        <v>1.7307492661760439E-2</v>
      </c>
      <c r="L44">
        <f t="shared" si="48"/>
        <v>2076.2197137868156</v>
      </c>
      <c r="M44">
        <f t="shared" si="202"/>
        <v>1.7922876662159059E-6</v>
      </c>
      <c r="N44">
        <f t="shared" si="203"/>
        <v>2.5423221837946957E-3</v>
      </c>
      <c r="O44">
        <f t="shared" si="49"/>
        <v>0.3472606349539511</v>
      </c>
      <c r="Q44">
        <f t="shared" si="50"/>
        <v>2.0874631104063162</v>
      </c>
      <c r="R44">
        <f t="shared" si="51"/>
        <v>8.0000000000000016E-2</v>
      </c>
      <c r="S44">
        <f t="shared" si="5"/>
        <v>119960.74500000001</v>
      </c>
      <c r="T44">
        <f t="shared" si="6"/>
        <v>5.0254931806888491E-3</v>
      </c>
      <c r="U44">
        <f t="shared" si="52"/>
        <v>4.2206248309713283E-3</v>
      </c>
      <c r="V44">
        <f t="shared" si="53"/>
        <v>1.1414920586279581E-2</v>
      </c>
      <c r="W44">
        <f t="shared" si="54"/>
        <v>13.628418357198836</v>
      </c>
      <c r="X44">
        <f t="shared" si="242"/>
        <v>4.032986493748696E-6</v>
      </c>
      <c r="Y44">
        <f t="shared" si="204"/>
        <v>1.6604907651746947E-2</v>
      </c>
      <c r="Z44">
        <f t="shared" si="55"/>
        <v>1991.9370925597646</v>
      </c>
      <c r="AA44">
        <f t="shared" si="205"/>
        <v>1.7555324857344796E-6</v>
      </c>
      <c r="AB44">
        <f t="shared" si="56"/>
        <v>2.4269745863374744E-3</v>
      </c>
      <c r="AC44">
        <f t="shared" si="57"/>
        <v>0.33520899060884596</v>
      </c>
      <c r="AE44">
        <f t="shared" si="58"/>
        <v>3.9851568471393306</v>
      </c>
      <c r="AF44">
        <f t="shared" si="59"/>
        <v>8.0000000000000016E-2</v>
      </c>
      <c r="AG44">
        <f t="shared" si="7"/>
        <v>119960.74500000001</v>
      </c>
      <c r="AH44">
        <f t="shared" si="8"/>
        <v>5.0254931806888491E-3</v>
      </c>
      <c r="AI44">
        <f t="shared" si="60"/>
        <v>4.2206248309713283E-3</v>
      </c>
      <c r="AJ44">
        <f t="shared" si="61"/>
        <v>1.1414920586279581E-2</v>
      </c>
      <c r="AK44">
        <f t="shared" si="62"/>
        <v>13.628418357198836</v>
      </c>
      <c r="AL44">
        <f t="shared" si="243"/>
        <v>3.8959288763767522E-6</v>
      </c>
      <c r="AM44">
        <f t="shared" si="206"/>
        <v>1.5942949139806938E-2</v>
      </c>
      <c r="AN44">
        <f t="shared" si="63"/>
        <v>1912.5280563083497</v>
      </c>
      <c r="AO44">
        <f t="shared" si="207"/>
        <v>1.7201842557938029E-6</v>
      </c>
      <c r="AP44">
        <f t="shared" si="64"/>
        <v>2.3185877220499836E-3</v>
      </c>
      <c r="AQ44">
        <f t="shared" si="65"/>
        <v>0.3238171980388197</v>
      </c>
      <c r="AS44">
        <f t="shared" si="66"/>
        <v>5.8828505838723446</v>
      </c>
      <c r="AT44">
        <f t="shared" si="67"/>
        <v>8.0000000000000016E-2</v>
      </c>
      <c r="AU44">
        <f t="shared" si="9"/>
        <v>119960.74500000001</v>
      </c>
      <c r="AV44">
        <f t="shared" si="10"/>
        <v>5.0254931806888491E-3</v>
      </c>
      <c r="AW44">
        <f t="shared" si="68"/>
        <v>4.2206248309713283E-3</v>
      </c>
      <c r="AX44">
        <f t="shared" si="69"/>
        <v>1.1414920586279581E-2</v>
      </c>
      <c r="AY44">
        <f t="shared" si="70"/>
        <v>13.628418357198836</v>
      </c>
      <c r="AZ44">
        <f t="shared" si="244"/>
        <v>3.7662666151689237E-6</v>
      </c>
      <c r="BA44">
        <f t="shared" si="208"/>
        <v>1.5318742014886652E-2</v>
      </c>
      <c r="BB44">
        <f t="shared" si="71"/>
        <v>1837.647704568604</v>
      </c>
      <c r="BC44">
        <f t="shared" si="209"/>
        <v>1.6861732265794768E-6</v>
      </c>
      <c r="BD44">
        <f t="shared" si="72"/>
        <v>2.216656746327443E-3</v>
      </c>
      <c r="BE44">
        <f t="shared" si="73"/>
        <v>0.31304008391584714</v>
      </c>
      <c r="BG44">
        <f t="shared" si="74"/>
        <v>7.7805443206053582</v>
      </c>
      <c r="BH44">
        <f t="shared" si="75"/>
        <v>8.0000000000000016E-2</v>
      </c>
      <c r="BI44">
        <f t="shared" si="11"/>
        <v>119960.74500000001</v>
      </c>
      <c r="BJ44">
        <f t="shared" si="12"/>
        <v>5.0254931806888491E-3</v>
      </c>
      <c r="BK44">
        <f t="shared" si="76"/>
        <v>4.2206248309713283E-3</v>
      </c>
      <c r="BL44">
        <f t="shared" si="77"/>
        <v>1.1414920586279581E-2</v>
      </c>
      <c r="BM44">
        <f t="shared" si="78"/>
        <v>13.628418357198836</v>
      </c>
      <c r="BN44">
        <f t="shared" si="245"/>
        <v>3.6434990080312044E-6</v>
      </c>
      <c r="BO44">
        <f t="shared" si="210"/>
        <v>1.4729643077595337E-2</v>
      </c>
      <c r="BP44">
        <f t="shared" si="79"/>
        <v>1766.9789571724295</v>
      </c>
      <c r="BQ44">
        <f t="shared" si="211"/>
        <v>1.6534335654592547E-6</v>
      </c>
      <c r="BR44">
        <f t="shared" si="80"/>
        <v>2.1207182394352049E-3</v>
      </c>
      <c r="BS44">
        <f t="shared" si="81"/>
        <v>0.30283603147682042</v>
      </c>
      <c r="BU44">
        <f t="shared" si="82"/>
        <v>9.6782380573383726</v>
      </c>
      <c r="BV44">
        <f t="shared" si="83"/>
        <v>8.0000000000000016E-2</v>
      </c>
      <c r="BW44">
        <f t="shared" si="13"/>
        <v>119960.74500000001</v>
      </c>
      <c r="BX44">
        <f t="shared" si="14"/>
        <v>5.0254931806888491E-3</v>
      </c>
      <c r="BY44">
        <f t="shared" si="84"/>
        <v>4.2206248309713283E-3</v>
      </c>
      <c r="BZ44">
        <f t="shared" si="85"/>
        <v>1.1414920586279581E-2</v>
      </c>
      <c r="CA44">
        <f t="shared" si="86"/>
        <v>13.628418357198836</v>
      </c>
      <c r="CB44">
        <f t="shared" si="246"/>
        <v>3.5271644292924838E-6</v>
      </c>
      <c r="CC44">
        <f t="shared" si="247"/>
        <v>1.4173220534701422E-2</v>
      </c>
      <c r="CD44">
        <f t="shared" si="87"/>
        <v>1700.2300943920811</v>
      </c>
      <c r="CE44">
        <f t="shared" si="248"/>
        <v>1.6219031246300352E-6</v>
      </c>
      <c r="CF44">
        <f t="shared" si="212"/>
        <v>2.0303464967794328E-3</v>
      </c>
      <c r="CG44">
        <f t="shared" si="88"/>
        <v>0.29316667186642797</v>
      </c>
      <c r="CI44">
        <f t="shared" si="89"/>
        <v>11.575931794071387</v>
      </c>
      <c r="CJ44">
        <f t="shared" si="90"/>
        <v>8.0000000000000016E-2</v>
      </c>
      <c r="CK44">
        <f t="shared" si="15"/>
        <v>119960.74500000001</v>
      </c>
      <c r="CL44">
        <f t="shared" si="16"/>
        <v>5.0254931806888491E-3</v>
      </c>
      <c r="CM44">
        <f t="shared" si="91"/>
        <v>4.2206248309713283E-3</v>
      </c>
      <c r="CN44">
        <f t="shared" si="92"/>
        <v>1.1414920586279581E-2</v>
      </c>
      <c r="CO44">
        <f t="shared" si="93"/>
        <v>13.628418357198836</v>
      </c>
      <c r="CP44">
        <f t="shared" si="249"/>
        <v>3.4168369621660046E-6</v>
      </c>
      <c r="CQ44">
        <f t="shared" si="213"/>
        <v>1.3647235431926183E-2</v>
      </c>
      <c r="CR44">
        <f t="shared" si="94"/>
        <v>1637.1325296042619</v>
      </c>
      <c r="CS44">
        <f t="shared" si="214"/>
        <v>1.5915232225291962E-6</v>
      </c>
      <c r="CT44">
        <f t="shared" si="95"/>
        <v>1.9451501732207529E-3</v>
      </c>
      <c r="CU44">
        <f t="shared" si="96"/>
        <v>0.28399660423807793</v>
      </c>
      <c r="CW44">
        <f t="shared" si="97"/>
        <v>13.473625530804402</v>
      </c>
      <c r="CX44">
        <f t="shared" si="98"/>
        <v>8.0000000000000016E-2</v>
      </c>
      <c r="CY44">
        <f t="shared" si="17"/>
        <v>119960.74500000001</v>
      </c>
      <c r="CZ44">
        <f t="shared" si="18"/>
        <v>5.0254931806888491E-3</v>
      </c>
      <c r="DA44">
        <f t="shared" si="99"/>
        <v>4.2206248309713283E-3</v>
      </c>
      <c r="DB44">
        <f t="shared" si="100"/>
        <v>1.1414920586279581E-2</v>
      </c>
      <c r="DC44">
        <f t="shared" si="101"/>
        <v>13.628418357198836</v>
      </c>
      <c r="DD44">
        <f t="shared" si="250"/>
        <v>3.3121233432427081E-6</v>
      </c>
      <c r="DE44">
        <f t="shared" si="215"/>
        <v>1.3149624832692176E-2</v>
      </c>
      <c r="DF44">
        <f t="shared" si="102"/>
        <v>1577.4387914002539</v>
      </c>
      <c r="DG44">
        <f t="shared" si="216"/>
        <v>1.5622384382483144E-6</v>
      </c>
      <c r="DH44">
        <f t="shared" si="103"/>
        <v>1.8647692460494459E-3</v>
      </c>
      <c r="DI44">
        <f t="shared" si="104"/>
        <v>0.27529314178991809</v>
      </c>
      <c r="DK44">
        <f t="shared" si="105"/>
        <v>15.371319267537416</v>
      </c>
      <c r="DL44">
        <f t="shared" si="106"/>
        <v>8.0000000000000016E-2</v>
      </c>
      <c r="DM44">
        <f t="shared" si="19"/>
        <v>119960.74500000001</v>
      </c>
      <c r="DN44">
        <f t="shared" si="20"/>
        <v>5.0254931806888491E-3</v>
      </c>
      <c r="DO44">
        <f t="shared" si="107"/>
        <v>4.2206248309713283E-3</v>
      </c>
      <c r="DP44">
        <f t="shared" si="108"/>
        <v>1.1414920586279581E-2</v>
      </c>
      <c r="DQ44">
        <f t="shared" si="109"/>
        <v>13.628418357198836</v>
      </c>
      <c r="DR44">
        <f t="shared" si="251"/>
        <v>3.2126601885139018E-6</v>
      </c>
      <c r="DS44">
        <f t="shared" si="217"/>
        <v>1.267848657023307E-2</v>
      </c>
      <c r="DT44">
        <f t="shared" si="110"/>
        <v>1520.920694437654</v>
      </c>
      <c r="DU44">
        <f t="shared" si="218"/>
        <v>1.5339964182224077E-6</v>
      </c>
      <c r="DV44">
        <f t="shared" si="111"/>
        <v>1.7888722648916264E-3</v>
      </c>
      <c r="DW44">
        <f t="shared" si="112"/>
        <v>0.26702608120067622</v>
      </c>
      <c r="DY44">
        <f t="shared" si="113"/>
        <v>17.26901300427043</v>
      </c>
      <c r="DZ44">
        <f t="shared" si="114"/>
        <v>8.0000000000000016E-2</v>
      </c>
      <c r="EA44">
        <f t="shared" si="21"/>
        <v>119960.74500000001</v>
      </c>
      <c r="EB44">
        <f t="shared" si="22"/>
        <v>5.0254931806888491E-3</v>
      </c>
      <c r="EC44">
        <f t="shared" si="115"/>
        <v>4.2206248309713283E-3</v>
      </c>
      <c r="ED44">
        <f t="shared" si="116"/>
        <v>1.1414920586279581E-2</v>
      </c>
      <c r="EE44">
        <f t="shared" si="117"/>
        <v>13.628418357198836</v>
      </c>
      <c r="EF44">
        <f t="shared" si="252"/>
        <v>3.1181114735201666E-6</v>
      </c>
      <c r="EG44">
        <f t="shared" si="219"/>
        <v>1.2232065418149864E-2</v>
      </c>
      <c r="EH44">
        <f t="shared" si="118"/>
        <v>1467.3676804499944</v>
      </c>
      <c r="EI44">
        <f t="shared" si="220"/>
        <v>1.5067476945020973E-6</v>
      </c>
      <c r="EJ44">
        <f t="shared" si="119"/>
        <v>1.7171538600823223E-3</v>
      </c>
      <c r="EK44">
        <f t="shared" si="120"/>
        <v>0.25916749318766408</v>
      </c>
      <c r="EM44">
        <f t="shared" si="121"/>
        <v>19.166706741003445</v>
      </c>
      <c r="EN44">
        <f t="shared" si="122"/>
        <v>8.0000000000000016E-2</v>
      </c>
      <c r="EO44">
        <f t="shared" si="23"/>
        <v>119960.74500000001</v>
      </c>
      <c r="EP44">
        <f t="shared" si="24"/>
        <v>5.0254931806888491E-3</v>
      </c>
      <c r="EQ44">
        <f t="shared" si="123"/>
        <v>4.2206248309713283E-3</v>
      </c>
      <c r="ER44">
        <f t="shared" si="124"/>
        <v>1.1414920586279581E-2</v>
      </c>
      <c r="ES44">
        <f t="shared" si="125"/>
        <v>13.628418357198836</v>
      </c>
      <c r="ET44">
        <f t="shared" si="253"/>
        <v>3.0281662429994834E-6</v>
      </c>
      <c r="EU44">
        <f t="shared" si="221"/>
        <v>1.1808740540322412E-2</v>
      </c>
      <c r="EV44">
        <f t="shared" si="126"/>
        <v>1416.5853127287792</v>
      </c>
      <c r="EW44">
        <f t="shared" si="222"/>
        <v>1.4804455139492394E-6</v>
      </c>
      <c r="EX44">
        <f t="shared" si="127"/>
        <v>1.6493324839643489E-3</v>
      </c>
      <c r="EY44">
        <f t="shared" si="128"/>
        <v>0.25169153214002538</v>
      </c>
      <c r="FA44">
        <f t="shared" si="129"/>
        <v>21.064400477736459</v>
      </c>
      <c r="FB44">
        <f t="shared" si="130"/>
        <v>8.0000000000000016E-2</v>
      </c>
      <c r="FC44">
        <f t="shared" si="25"/>
        <v>119960.74500000001</v>
      </c>
      <c r="FD44">
        <f t="shared" si="26"/>
        <v>5.0254931806888491E-3</v>
      </c>
      <c r="FE44">
        <f t="shared" si="131"/>
        <v>4.2206248309713283E-3</v>
      </c>
      <c r="FF44">
        <f t="shared" si="132"/>
        <v>1.1414920586279581E-2</v>
      </c>
      <c r="FG44">
        <f t="shared" si="133"/>
        <v>13.628418357198836</v>
      </c>
      <c r="FH44">
        <f t="shared" si="254"/>
        <v>2.9425365278945285E-6</v>
      </c>
      <c r="FI44">
        <f t="shared" si="223"/>
        <v>1.1407014095253031E-2</v>
      </c>
      <c r="FJ44">
        <f t="shared" si="134"/>
        <v>1368.3939090920546</v>
      </c>
      <c r="FK44">
        <f t="shared" si="224"/>
        <v>1.4550456777287728E-6</v>
      </c>
      <c r="FL44">
        <f t="shared" si="135"/>
        <v>1.5851483621878162E-3</v>
      </c>
      <c r="FM44">
        <f t="shared" si="136"/>
        <v>0.24457426298701751</v>
      </c>
      <c r="FO44">
        <f t="shared" si="137"/>
        <v>22.962094214469474</v>
      </c>
      <c r="FP44">
        <f t="shared" si="138"/>
        <v>8.0000000000000016E-2</v>
      </c>
      <c r="FQ44">
        <f t="shared" si="27"/>
        <v>119960.74500000001</v>
      </c>
      <c r="FR44">
        <f t="shared" si="28"/>
        <v>5.0254931806888491E-3</v>
      </c>
      <c r="FS44">
        <f t="shared" si="139"/>
        <v>4.2206248309713283E-3</v>
      </c>
      <c r="FT44">
        <f t="shared" si="140"/>
        <v>1.1414920586279581E-2</v>
      </c>
      <c r="FU44">
        <f t="shared" si="141"/>
        <v>13.628418357198836</v>
      </c>
      <c r="FV44">
        <f t="shared" si="255"/>
        <v>2.8609554498077165E-6</v>
      </c>
      <c r="FW44">
        <f t="shared" si="225"/>
        <v>1.1025500882605989E-2</v>
      </c>
      <c r="FX44">
        <f t="shared" si="142"/>
        <v>1322.6272998755721</v>
      </c>
      <c r="FY44">
        <f t="shared" si="226"/>
        <v>1.4305063905006712E-6</v>
      </c>
      <c r="FZ44">
        <f t="shared" si="143"/>
        <v>1.5243616344268562E-3</v>
      </c>
      <c r="GA44">
        <f t="shared" si="144"/>
        <v>0.23779350364635266</v>
      </c>
      <c r="GC44">
        <f t="shared" si="145"/>
        <v>24.859787951202488</v>
      </c>
      <c r="GD44">
        <f t="shared" si="146"/>
        <v>8.0000000000000016E-2</v>
      </c>
      <c r="GE44">
        <f t="shared" si="29"/>
        <v>119960.74500000001</v>
      </c>
      <c r="GF44">
        <f t="shared" si="30"/>
        <v>5.0254931806888491E-3</v>
      </c>
      <c r="GG44">
        <f t="shared" si="147"/>
        <v>4.2206248309713283E-3</v>
      </c>
      <c r="GH44">
        <f t="shared" si="148"/>
        <v>1.1414920586279581E-2</v>
      </c>
      <c r="GI44">
        <f t="shared" si="149"/>
        <v>13.628418357198836</v>
      </c>
      <c r="GJ44">
        <f t="shared" si="256"/>
        <v>2.7831754949898877E-6</v>
      </c>
      <c r="GK44">
        <f t="shared" si="227"/>
        <v>1.0662918931070277E-2</v>
      </c>
      <c r="GL44">
        <f t="shared" si="150"/>
        <v>1279.1316988457941</v>
      </c>
      <c r="GM44">
        <f t="shared" si="228"/>
        <v>1.4067881187460377E-6</v>
      </c>
      <c r="GN44">
        <f t="shared" si="151"/>
        <v>1.4667506660264848E-3</v>
      </c>
      <c r="GO44">
        <f t="shared" si="152"/>
        <v>0.23132868156363565</v>
      </c>
      <c r="GQ44">
        <f t="shared" si="153"/>
        <v>26.757481687935503</v>
      </c>
      <c r="GR44">
        <f t="shared" si="154"/>
        <v>8.0000000000000016E-2</v>
      </c>
      <c r="GS44">
        <f t="shared" si="31"/>
        <v>119960.74500000001</v>
      </c>
      <c r="GT44">
        <f t="shared" si="32"/>
        <v>5.0254931806888491E-3</v>
      </c>
      <c r="GU44">
        <f t="shared" si="155"/>
        <v>4.2206248309713283E-3</v>
      </c>
      <c r="GV44">
        <f t="shared" si="156"/>
        <v>1.1414920586279581E-2</v>
      </c>
      <c r="GW44">
        <f t="shared" si="157"/>
        <v>13.628418357198836</v>
      </c>
      <c r="GX44">
        <f t="shared" si="257"/>
        <v>2.7089669417393179E-6</v>
      </c>
      <c r="GY44">
        <f t="shared" si="229"/>
        <v>1.0318080936853281E-2</v>
      </c>
      <c r="GZ44">
        <f t="shared" si="158"/>
        <v>1237.7646761552176</v>
      </c>
      <c r="HA44">
        <f t="shared" si="230"/>
        <v>1.3838534576904884E-6</v>
      </c>
      <c r="HB44">
        <f t="shared" si="159"/>
        <v>1.4121105139698357E-3</v>
      </c>
      <c r="HC44">
        <f t="shared" si="160"/>
        <v>0.22516070300277902</v>
      </c>
      <c r="HE44">
        <f t="shared" si="161"/>
        <v>28.655175424668517</v>
      </c>
      <c r="HF44">
        <f t="shared" si="162"/>
        <v>8.0000000000000016E-2</v>
      </c>
      <c r="HG44">
        <f t="shared" si="33"/>
        <v>119960.74500000001</v>
      </c>
      <c r="HH44">
        <f t="shared" si="34"/>
        <v>5.0254931806888491E-3</v>
      </c>
      <c r="HI44">
        <f t="shared" si="263"/>
        <v>4.2206248309713283E-3</v>
      </c>
      <c r="HJ44">
        <f t="shared" si="164"/>
        <v>1.1414920586279581E-2</v>
      </c>
      <c r="HK44">
        <f t="shared" si="165"/>
        <v>13.628418357198836</v>
      </c>
      <c r="HL44">
        <f t="shared" si="258"/>
        <v>2.6381164266935636E-6</v>
      </c>
      <c r="HM44">
        <f t="shared" si="231"/>
        <v>9.9898864712353094E-3</v>
      </c>
      <c r="HN44">
        <f t="shared" si="166"/>
        <v>1198.3942235548088</v>
      </c>
      <c r="HO44">
        <f t="shared" si="232"/>
        <v>1.361667006316025E-6</v>
      </c>
      <c r="HP44">
        <f t="shared" si="167"/>
        <v>1.3602515322373736E-3</v>
      </c>
      <c r="HQ44">
        <f t="shared" si="168"/>
        <v>0.21927183388074817</v>
      </c>
      <c r="HS44">
        <f t="shared" si="169"/>
        <v>30.552869161401535</v>
      </c>
      <c r="HT44">
        <f t="shared" si="170"/>
        <v>8.0000000000000016E-2</v>
      </c>
      <c r="HU44">
        <f t="shared" si="35"/>
        <v>119960.74500000001</v>
      </c>
      <c r="HV44">
        <f t="shared" si="36"/>
        <v>5.0254931806888491E-3</v>
      </c>
      <c r="HW44">
        <f t="shared" si="264"/>
        <v>4.2206248309713283E-3</v>
      </c>
      <c r="HX44">
        <f t="shared" si="172"/>
        <v>1.1414920586279581E-2</v>
      </c>
      <c r="HY44">
        <f t="shared" si="173"/>
        <v>13.628418357198836</v>
      </c>
      <c r="HZ44">
        <f t="shared" si="259"/>
        <v>2.5704256369370669E-6</v>
      </c>
      <c r="IA44">
        <f t="shared" si="233"/>
        <v>9.6773148837911108E-3</v>
      </c>
      <c r="IB44">
        <f t="shared" si="174"/>
        <v>1160.8979030591702</v>
      </c>
      <c r="IC44">
        <f t="shared" si="234"/>
        <v>1.3401952499796344E-6</v>
      </c>
      <c r="ID44">
        <f t="shared" si="175"/>
        <v>1.3109981031358625E-3</v>
      </c>
      <c r="IE44">
        <f t="shared" si="176"/>
        <v>0.21364559105971162</v>
      </c>
      <c r="IG44">
        <f t="shared" si="177"/>
        <v>32.45056289813455</v>
      </c>
      <c r="IH44">
        <f t="shared" si="178"/>
        <v>8.0000000000000016E-2</v>
      </c>
      <c r="II44">
        <f t="shared" si="37"/>
        <v>119960.74500000001</v>
      </c>
      <c r="IJ44">
        <f t="shared" si="38"/>
        <v>5.0254931806888491E-3</v>
      </c>
      <c r="IK44">
        <f t="shared" si="265"/>
        <v>4.2206248309713283E-3</v>
      </c>
      <c r="IL44">
        <f t="shared" si="180"/>
        <v>1.1414920586279581E-2</v>
      </c>
      <c r="IM44">
        <f t="shared" si="181"/>
        <v>13.628418357198836</v>
      </c>
      <c r="IN44">
        <f t="shared" si="260"/>
        <v>2.5057101161399886E-6</v>
      </c>
      <c r="IO44">
        <f t="shared" si="235"/>
        <v>9.3794188352137944E-3</v>
      </c>
      <c r="IP44">
        <f t="shared" si="182"/>
        <v>1125.1620711392791</v>
      </c>
      <c r="IQ44">
        <f t="shared" si="236"/>
        <v>1.319406450182725E-6</v>
      </c>
      <c r="IR44">
        <f t="shared" si="183"/>
        <v>1.2641874825246905E-3</v>
      </c>
      <c r="IS44">
        <f t="shared" si="184"/>
        <v>0.20826664311710388</v>
      </c>
      <c r="IU44">
        <f t="shared" si="185"/>
        <v>34.348256634867568</v>
      </c>
      <c r="IV44">
        <f t="shared" si="186"/>
        <v>8.0000000000000016E-2</v>
      </c>
      <c r="IW44">
        <f t="shared" si="39"/>
        <v>119960.74500000001</v>
      </c>
      <c r="IX44">
        <f t="shared" si="40"/>
        <v>5.0254931806888491E-3</v>
      </c>
      <c r="IY44">
        <f t="shared" si="266"/>
        <v>4.2206248309713283E-3</v>
      </c>
      <c r="IZ44">
        <f t="shared" si="188"/>
        <v>1.1414920586279581E-2</v>
      </c>
      <c r="JA44">
        <f t="shared" si="189"/>
        <v>13.628418357198836</v>
      </c>
      <c r="JB44">
        <f t="shared" si="261"/>
        <v>2.4437981741037892E-6</v>
      </c>
      <c r="JC44">
        <f t="shared" si="237"/>
        <v>9.0953184002549245E-3</v>
      </c>
      <c r="JD44">
        <f t="shared" si="190"/>
        <v>1091.081171306789</v>
      </c>
      <c r="JE44">
        <f t="shared" si="238"/>
        <v>1.2992705410607837E-6</v>
      </c>
      <c r="JF44">
        <f t="shared" si="191"/>
        <v>1.2196687480764343E-3</v>
      </c>
      <c r="JG44">
        <f t="shared" si="192"/>
        <v>0.20312071971052753</v>
      </c>
      <c r="JI44">
        <f t="shared" si="193"/>
        <v>36.245950371600578</v>
      </c>
      <c r="JJ44">
        <f t="shared" si="194"/>
        <v>8.0000000000000016E-2</v>
      </c>
      <c r="JK44">
        <f t="shared" si="41"/>
        <v>119960.74500000001</v>
      </c>
      <c r="JL44">
        <f t="shared" si="42"/>
        <v>5.0254931806888491E-3</v>
      </c>
      <c r="JM44">
        <f t="shared" si="267"/>
        <v>4.2206248309713283E-3</v>
      </c>
      <c r="JN44">
        <f t="shared" si="196"/>
        <v>1.1414920586279581E-2</v>
      </c>
      <c r="JO44">
        <f t="shared" si="197"/>
        <v>13.628418357198836</v>
      </c>
      <c r="JP44">
        <f t="shared" si="262"/>
        <v>2.3845298901306883E-6</v>
      </c>
      <c r="JQ44">
        <f t="shared" si="239"/>
        <v>8.824195687180186E-3</v>
      </c>
      <c r="JR44">
        <f t="shared" si="198"/>
        <v>1058.5570886599221</v>
      </c>
      <c r="JS44">
        <f t="shared" si="240"/>
        <v>1.2797590321857169E-6</v>
      </c>
      <c r="JT44">
        <f t="shared" si="199"/>
        <v>1.1773018407939487E-3</v>
      </c>
      <c r="JU44">
        <f t="shared" si="200"/>
        <v>0.19819452874099744</v>
      </c>
    </row>
    <row r="45" spans="2:281">
      <c r="B45">
        <v>0.11</v>
      </c>
      <c r="C45">
        <f t="shared" si="43"/>
        <v>0.2087463110406316</v>
      </c>
      <c r="D45">
        <f t="shared" si="44"/>
        <v>8.8000000000000009E-2</v>
      </c>
      <c r="E45">
        <f t="shared" si="3"/>
        <v>119776.31700000001</v>
      </c>
      <c r="F45">
        <f t="shared" si="4"/>
        <v>5.0280712261053248E-3</v>
      </c>
      <c r="G45">
        <f t="shared" si="45"/>
        <v>4.2195426707235147E-3</v>
      </c>
      <c r="H45">
        <f t="shared" si="46"/>
        <v>1.1432496940492294E-2</v>
      </c>
      <c r="I45">
        <f t="shared" si="47"/>
        <v>13.642404524187</v>
      </c>
      <c r="J45">
        <f t="shared" si="241"/>
        <v>4.1753788254758932E-6</v>
      </c>
      <c r="K45">
        <f t="shared" si="201"/>
        <v>1.8675021336020635E-2</v>
      </c>
      <c r="L45">
        <f t="shared" si="48"/>
        <v>2236.8252755249714</v>
      </c>
      <c r="M45">
        <f t="shared" si="202"/>
        <v>1.8603175867004726E-6</v>
      </c>
      <c r="N45">
        <f t="shared" si="203"/>
        <v>2.4689494413547564E-3</v>
      </c>
      <c r="O45">
        <f t="shared" si="49"/>
        <v>0.34704418764278078</v>
      </c>
      <c r="Q45">
        <f t="shared" si="50"/>
        <v>2.106440047773646</v>
      </c>
      <c r="R45">
        <f t="shared" si="51"/>
        <v>8.8000000000000009E-2</v>
      </c>
      <c r="S45">
        <f t="shared" si="5"/>
        <v>119776.31700000001</v>
      </c>
      <c r="T45">
        <f t="shared" si="6"/>
        <v>5.0280712261053248E-3</v>
      </c>
      <c r="U45">
        <f t="shared" si="52"/>
        <v>4.2195426707235147E-3</v>
      </c>
      <c r="V45">
        <f t="shared" si="53"/>
        <v>1.1432496940492294E-2</v>
      </c>
      <c r="W45">
        <f t="shared" si="54"/>
        <v>13.642404524187</v>
      </c>
      <c r="X45">
        <f t="shared" si="242"/>
        <v>4.0305005119414047E-6</v>
      </c>
      <c r="Y45">
        <f t="shared" si="204"/>
        <v>1.7910390237578504E-2</v>
      </c>
      <c r="Z45">
        <f t="shared" si="55"/>
        <v>2145.2405786899085</v>
      </c>
      <c r="AA45">
        <f t="shared" si="205"/>
        <v>1.8218350898943806E-6</v>
      </c>
      <c r="AB45">
        <f t="shared" si="56"/>
        <v>2.3554812151695133E-3</v>
      </c>
      <c r="AC45">
        <f t="shared" si="57"/>
        <v>0.33500236371991743</v>
      </c>
      <c r="AE45">
        <f t="shared" si="58"/>
        <v>4.00413378450666</v>
      </c>
      <c r="AF45">
        <f t="shared" si="59"/>
        <v>8.8000000000000009E-2</v>
      </c>
      <c r="AG45">
        <f t="shared" si="7"/>
        <v>119776.31700000001</v>
      </c>
      <c r="AH45">
        <f t="shared" si="8"/>
        <v>5.0280712261053248E-3</v>
      </c>
      <c r="AI45">
        <f t="shared" si="60"/>
        <v>4.2195426707235147E-3</v>
      </c>
      <c r="AJ45">
        <f t="shared" si="61"/>
        <v>1.1432496940492294E-2</v>
      </c>
      <c r="AK45">
        <f t="shared" si="62"/>
        <v>13.642404524187</v>
      </c>
      <c r="AL45">
        <f t="shared" si="243"/>
        <v>3.8935539166519685E-6</v>
      </c>
      <c r="AM45">
        <f t="shared" si="206"/>
        <v>1.7190129852740103E-2</v>
      </c>
      <c r="AN45">
        <f t="shared" si="63"/>
        <v>2058.9704425129621</v>
      </c>
      <c r="AO45">
        <f t="shared" si="207"/>
        <v>1.7848269586523672E-6</v>
      </c>
      <c r="AP45">
        <f t="shared" si="64"/>
        <v>2.2488995788624523E-3</v>
      </c>
      <c r="AQ45">
        <f t="shared" si="65"/>
        <v>0.32361979895173737</v>
      </c>
      <c r="AS45">
        <f t="shared" si="66"/>
        <v>5.9018275212396745</v>
      </c>
      <c r="AT45">
        <f t="shared" si="67"/>
        <v>8.8000000000000009E-2</v>
      </c>
      <c r="AU45">
        <f t="shared" si="9"/>
        <v>119776.31700000001</v>
      </c>
      <c r="AV45">
        <f t="shared" si="10"/>
        <v>5.0280712261053248E-3</v>
      </c>
      <c r="AW45">
        <f t="shared" si="68"/>
        <v>4.2195426707235147E-3</v>
      </c>
      <c r="AX45">
        <f t="shared" si="69"/>
        <v>1.1432496940492294E-2</v>
      </c>
      <c r="AY45">
        <f t="shared" si="70"/>
        <v>13.642404524187</v>
      </c>
      <c r="AZ45">
        <f t="shared" si="244"/>
        <v>3.7639960646755643E-6</v>
      </c>
      <c r="BA45">
        <f t="shared" si="208"/>
        <v>1.6511093511843829E-2</v>
      </c>
      <c r="BB45">
        <f t="shared" si="71"/>
        <v>1977.6379704912499</v>
      </c>
      <c r="BC45">
        <f t="shared" si="209"/>
        <v>1.7492200912473934E-6</v>
      </c>
      <c r="BD45">
        <f t="shared" si="72"/>
        <v>2.1487034255222226E-3</v>
      </c>
      <c r="BE45">
        <f t="shared" si="73"/>
        <v>0.31285136299149363</v>
      </c>
      <c r="BG45">
        <f t="shared" si="74"/>
        <v>7.7995212579726898</v>
      </c>
      <c r="BH45">
        <f t="shared" si="75"/>
        <v>8.8000000000000009E-2</v>
      </c>
      <c r="BI45">
        <f t="shared" si="11"/>
        <v>119776.31700000001</v>
      </c>
      <c r="BJ45">
        <f t="shared" si="12"/>
        <v>5.0280712261053248E-3</v>
      </c>
      <c r="BK45">
        <f t="shared" si="76"/>
        <v>4.2195426707235147E-3</v>
      </c>
      <c r="BL45">
        <f t="shared" si="77"/>
        <v>1.1432496940492294E-2</v>
      </c>
      <c r="BM45">
        <f t="shared" si="78"/>
        <v>13.642404524187</v>
      </c>
      <c r="BN45">
        <f t="shared" si="245"/>
        <v>3.6413267286050803E-6</v>
      </c>
      <c r="BO45">
        <f t="shared" si="210"/>
        <v>1.587038873954983E-2</v>
      </c>
      <c r="BP45">
        <f t="shared" si="79"/>
        <v>1900.8967125815511</v>
      </c>
      <c r="BQ45">
        <f t="shared" si="211"/>
        <v>1.7149454914042029E-6</v>
      </c>
      <c r="BR45">
        <f t="shared" si="80"/>
        <v>2.0544328589507232E-3</v>
      </c>
      <c r="BS45">
        <f t="shared" si="81"/>
        <v>0.30265547853054098</v>
      </c>
      <c r="BU45">
        <f t="shared" si="82"/>
        <v>9.6972149947057051</v>
      </c>
      <c r="BV45">
        <f t="shared" si="83"/>
        <v>8.8000000000000009E-2</v>
      </c>
      <c r="BW45">
        <f t="shared" si="13"/>
        <v>119776.31700000001</v>
      </c>
      <c r="BX45">
        <f t="shared" si="14"/>
        <v>5.0280712261053248E-3</v>
      </c>
      <c r="BY45">
        <f t="shared" si="84"/>
        <v>4.2195426707235147E-3</v>
      </c>
      <c r="BZ45">
        <f t="shared" si="85"/>
        <v>1.1432496940492294E-2</v>
      </c>
      <c r="CA45">
        <f t="shared" si="86"/>
        <v>13.642404524187</v>
      </c>
      <c r="CB45">
        <f t="shared" si="246"/>
        <v>3.5250847188241891E-6</v>
      </c>
      <c r="CC45">
        <f t="shared" si="247"/>
        <v>1.5265354753852847E-2</v>
      </c>
      <c r="CD45">
        <f t="shared" si="87"/>
        <v>1828.4279701149358</v>
      </c>
      <c r="CE45">
        <f t="shared" si="248"/>
        <v>1.6819380247992163E-6</v>
      </c>
      <c r="CF45">
        <f t="shared" si="212"/>
        <v>1.9656654970193945E-3</v>
      </c>
      <c r="CG45">
        <f t="shared" si="88"/>
        <v>0.2929938129570524</v>
      </c>
      <c r="CI45">
        <f t="shared" si="89"/>
        <v>11.59490873143872</v>
      </c>
      <c r="CJ45">
        <f t="shared" si="90"/>
        <v>8.8000000000000009E-2</v>
      </c>
      <c r="CK45">
        <f t="shared" si="15"/>
        <v>119776.31700000001</v>
      </c>
      <c r="CL45">
        <f t="shared" si="16"/>
        <v>5.0280712261053248E-3</v>
      </c>
      <c r="CM45">
        <f t="shared" si="91"/>
        <v>4.2195426707235147E-3</v>
      </c>
      <c r="CN45">
        <f t="shared" si="92"/>
        <v>1.1432496940492294E-2</v>
      </c>
      <c r="CO45">
        <f t="shared" si="93"/>
        <v>13.642404524187</v>
      </c>
      <c r="CP45">
        <f t="shared" si="249"/>
        <v>3.4148445194060771E-6</v>
      </c>
      <c r="CQ45">
        <f t="shared" si="213"/>
        <v>1.4693542093834585E-2</v>
      </c>
      <c r="CR45">
        <f t="shared" si="94"/>
        <v>1759.938355683975</v>
      </c>
      <c r="CS45">
        <f t="shared" si="214"/>
        <v>1.6501361899828621E-6</v>
      </c>
      <c r="CT45">
        <f t="shared" si="95"/>
        <v>1.882013128252368E-3</v>
      </c>
      <c r="CU45">
        <f t="shared" si="96"/>
        <v>0.28383099874263767</v>
      </c>
      <c r="CW45">
        <f t="shared" si="97"/>
        <v>13.492602468171734</v>
      </c>
      <c r="CX45">
        <f t="shared" si="98"/>
        <v>8.8000000000000009E-2</v>
      </c>
      <c r="CY45">
        <f t="shared" si="17"/>
        <v>119776.31700000001</v>
      </c>
      <c r="CZ45">
        <f t="shared" si="18"/>
        <v>5.0280712261053248E-3</v>
      </c>
      <c r="DA45">
        <f t="shared" si="99"/>
        <v>4.2195426707235147E-3</v>
      </c>
      <c r="DB45">
        <f t="shared" si="100"/>
        <v>1.1432496940492294E-2</v>
      </c>
      <c r="DC45">
        <f t="shared" si="101"/>
        <v>13.642404524187</v>
      </c>
      <c r="DD45">
        <f t="shared" si="250"/>
        <v>3.3102132357176549E-6</v>
      </c>
      <c r="DE45">
        <f t="shared" si="215"/>
        <v>1.4152694164780199E-2</v>
      </c>
      <c r="DF45">
        <f t="shared" si="102"/>
        <v>1695.1575826847634</v>
      </c>
      <c r="DG45">
        <f t="shared" si="216"/>
        <v>1.6194819029260648E-6</v>
      </c>
      <c r="DH45">
        <f t="shared" si="103"/>
        <v>1.8031186863051798E-3</v>
      </c>
      <c r="DI45">
        <f t="shared" si="104"/>
        <v>0.27513437973692839</v>
      </c>
      <c r="DK45">
        <f t="shared" si="105"/>
        <v>15.390296204904747</v>
      </c>
      <c r="DL45">
        <f t="shared" si="106"/>
        <v>8.8000000000000009E-2</v>
      </c>
      <c r="DM45">
        <f t="shared" si="19"/>
        <v>119776.31700000001</v>
      </c>
      <c r="DN45">
        <f t="shared" si="20"/>
        <v>5.0280712261053248E-3</v>
      </c>
      <c r="DO45">
        <f t="shared" si="107"/>
        <v>4.2195426707235147E-3</v>
      </c>
      <c r="DP45">
        <f t="shared" si="108"/>
        <v>1.1432496940492294E-2</v>
      </c>
      <c r="DQ45">
        <f t="shared" si="109"/>
        <v>13.642404524187</v>
      </c>
      <c r="DR45">
        <f t="shared" si="251"/>
        <v>3.2108278232591837E-6</v>
      </c>
      <c r="DS45">
        <f t="shared" si="217"/>
        <v>1.3640730510997784E-2</v>
      </c>
      <c r="DT45">
        <f t="shared" si="110"/>
        <v>1633.8364617968427</v>
      </c>
      <c r="DU45">
        <f t="shared" si="218"/>
        <v>1.589920294429467E-6</v>
      </c>
      <c r="DV45">
        <f t="shared" si="111"/>
        <v>1.728653510655606E-3</v>
      </c>
      <c r="DW45">
        <f t="shared" si="112"/>
        <v>0.26687378083755503</v>
      </c>
      <c r="DY45">
        <f t="shared" si="113"/>
        <v>17.287989941637761</v>
      </c>
      <c r="DZ45">
        <f t="shared" si="114"/>
        <v>8.8000000000000009E-2</v>
      </c>
      <c r="EA45">
        <f t="shared" si="21"/>
        <v>119776.31700000001</v>
      </c>
      <c r="EB45">
        <f t="shared" si="22"/>
        <v>5.0280712261053248E-3</v>
      </c>
      <c r="EC45">
        <f t="shared" si="115"/>
        <v>4.2195426707235147E-3</v>
      </c>
      <c r="ED45">
        <f t="shared" si="116"/>
        <v>1.1432496940492294E-2</v>
      </c>
      <c r="EE45">
        <f t="shared" si="117"/>
        <v>13.642404524187</v>
      </c>
      <c r="EF45">
        <f t="shared" si="252"/>
        <v>3.1163525703653846E-6</v>
      </c>
      <c r="EG45">
        <f t="shared" si="219"/>
        <v>1.315573164611559E-2</v>
      </c>
      <c r="EH45">
        <f t="shared" si="118"/>
        <v>1575.745084012073</v>
      </c>
      <c r="EI45">
        <f t="shared" si="220"/>
        <v>1.5613995196698278E-6</v>
      </c>
      <c r="EJ45">
        <f t="shared" si="119"/>
        <v>1.6583148650868549E-3</v>
      </c>
      <c r="EK45">
        <f t="shared" si="120"/>
        <v>0.25902129876028201</v>
      </c>
      <c r="EM45">
        <f t="shared" si="121"/>
        <v>19.185683678370776</v>
      </c>
      <c r="EN45">
        <f t="shared" si="122"/>
        <v>8.8000000000000009E-2</v>
      </c>
      <c r="EO45">
        <f t="shared" si="23"/>
        <v>119776.31700000001</v>
      </c>
      <c r="EP45">
        <f t="shared" si="24"/>
        <v>5.0280712261053248E-3</v>
      </c>
      <c r="EQ45">
        <f t="shared" si="123"/>
        <v>4.2195426707235147E-3</v>
      </c>
      <c r="ER45">
        <f t="shared" si="124"/>
        <v>1.1432496940492294E-2</v>
      </c>
      <c r="ES45">
        <f t="shared" si="125"/>
        <v>13.642404524187</v>
      </c>
      <c r="ET45">
        <f t="shared" si="253"/>
        <v>3.0264768101671862E-6</v>
      </c>
      <c r="EU45">
        <f t="shared" si="221"/>
        <v>1.26959252880256E-2</v>
      </c>
      <c r="EV45">
        <f t="shared" si="126"/>
        <v>1520.6711719068708</v>
      </c>
      <c r="EW45">
        <f t="shared" si="222"/>
        <v>1.5338705791926781E-6</v>
      </c>
      <c r="EX45">
        <f t="shared" si="127"/>
        <v>1.5918236884638326E-3</v>
      </c>
      <c r="EY45">
        <f t="shared" si="128"/>
        <v>0.2515511118645562</v>
      </c>
      <c r="FA45">
        <f t="shared" si="129"/>
        <v>21.08337741510379</v>
      </c>
      <c r="FB45">
        <f t="shared" si="130"/>
        <v>8.8000000000000009E-2</v>
      </c>
      <c r="FC45">
        <f t="shared" si="25"/>
        <v>119776.31700000001</v>
      </c>
      <c r="FD45">
        <f t="shared" si="26"/>
        <v>5.0280712261053248E-3</v>
      </c>
      <c r="FE45">
        <f t="shared" si="131"/>
        <v>4.2195426707235147E-3</v>
      </c>
      <c r="FF45">
        <f t="shared" si="132"/>
        <v>1.1432496940492294E-2</v>
      </c>
      <c r="FG45">
        <f t="shared" si="133"/>
        <v>13.642404524187</v>
      </c>
      <c r="FH45">
        <f t="shared" si="254"/>
        <v>2.940912839697528E-6</v>
      </c>
      <c r="FI45">
        <f t="shared" si="223"/>
        <v>1.2259673861220581E-2</v>
      </c>
      <c r="FJ45">
        <f t="shared" si="134"/>
        <v>1468.4185827181705</v>
      </c>
      <c r="FK45">
        <f t="shared" si="224"/>
        <v>1.507287150694189E-6</v>
      </c>
      <c r="FL45">
        <f t="shared" si="135"/>
        <v>1.5289225549164774E-3</v>
      </c>
      <c r="FM45">
        <f t="shared" si="136"/>
        <v>0.24443930719620996</v>
      </c>
      <c r="FO45">
        <f t="shared" si="137"/>
        <v>22.981071151836804</v>
      </c>
      <c r="FP45">
        <f t="shared" si="138"/>
        <v>8.8000000000000009E-2</v>
      </c>
      <c r="FQ45">
        <f t="shared" si="27"/>
        <v>119776.31700000001</v>
      </c>
      <c r="FR45">
        <f t="shared" si="28"/>
        <v>5.0280712261053248E-3</v>
      </c>
      <c r="FS45">
        <f t="shared" si="139"/>
        <v>4.2195426707235147E-3</v>
      </c>
      <c r="FT45">
        <f t="shared" si="140"/>
        <v>1.1432496940492294E-2</v>
      </c>
      <c r="FU45">
        <f t="shared" si="141"/>
        <v>13.642404524187</v>
      </c>
      <c r="FV45">
        <f t="shared" si="255"/>
        <v>2.8593940262508935E-6</v>
      </c>
      <c r="FW45">
        <f t="shared" si="225"/>
        <v>1.1845463143215077E-2</v>
      </c>
      <c r="FX45">
        <f t="shared" si="142"/>
        <v>1418.8059484535456</v>
      </c>
      <c r="FY45">
        <f t="shared" si="226"/>
        <v>1.4816054309676696E-6</v>
      </c>
      <c r="FZ45">
        <f t="shared" si="143"/>
        <v>1.4693738228837671E-3</v>
      </c>
      <c r="GA45">
        <f t="shared" si="144"/>
        <v>0.2376637230940977</v>
      </c>
      <c r="GC45">
        <f t="shared" si="145"/>
        <v>24.878764888569819</v>
      </c>
      <c r="GD45">
        <f t="shared" si="146"/>
        <v>8.8000000000000009E-2</v>
      </c>
      <c r="GE45">
        <f t="shared" si="29"/>
        <v>119776.31700000001</v>
      </c>
      <c r="GF45">
        <f t="shared" si="30"/>
        <v>5.0280712261053248E-3</v>
      </c>
      <c r="GG45">
        <f t="shared" si="147"/>
        <v>4.2195426707235147E-3</v>
      </c>
      <c r="GH45">
        <f t="shared" si="148"/>
        <v>1.1432496940492294E-2</v>
      </c>
      <c r="GI45">
        <f t="shared" si="149"/>
        <v>13.642404524187</v>
      </c>
      <c r="GJ45">
        <f t="shared" si="256"/>
        <v>2.7816730831013986E-6</v>
      </c>
      <c r="GK45">
        <f t="shared" si="227"/>
        <v>1.1451891944234018E-2</v>
      </c>
      <c r="GL45">
        <f t="shared" si="150"/>
        <v>1371.6654397623201</v>
      </c>
      <c r="GM45">
        <f t="shared" si="228"/>
        <v>1.4567839874217926E-6</v>
      </c>
      <c r="GN45">
        <f t="shared" si="151"/>
        <v>1.4129579545660098E-3</v>
      </c>
      <c r="GO45">
        <f t="shared" si="152"/>
        <v>0.23120380587327571</v>
      </c>
      <c r="GQ45">
        <f t="shared" si="153"/>
        <v>26.776458625302833</v>
      </c>
      <c r="GR45">
        <f t="shared" si="154"/>
        <v>8.8000000000000009E-2</v>
      </c>
      <c r="GS45">
        <f t="shared" si="31"/>
        <v>119776.31700000001</v>
      </c>
      <c r="GT45">
        <f t="shared" si="32"/>
        <v>5.0280712261053248E-3</v>
      </c>
      <c r="GU45">
        <f t="shared" si="155"/>
        <v>4.2195426707235147E-3</v>
      </c>
      <c r="GV45">
        <f t="shared" si="156"/>
        <v>1.1432496940492294E-2</v>
      </c>
      <c r="GW45">
        <f t="shared" si="157"/>
        <v>13.642404524187</v>
      </c>
      <c r="GX45">
        <f t="shared" si="257"/>
        <v>2.7075204984731314E-6</v>
      </c>
      <c r="GY45">
        <f t="shared" si="229"/>
        <v>1.1077662720541977E-2</v>
      </c>
      <c r="GZ45">
        <f t="shared" si="158"/>
        <v>1326.8416416347184</v>
      </c>
      <c r="HA45">
        <f t="shared" si="230"/>
        <v>1.4327836186080785E-6</v>
      </c>
      <c r="HB45">
        <f t="shared" si="159"/>
        <v>1.3594719892083323E-3</v>
      </c>
      <c r="HC45">
        <f t="shared" si="160"/>
        <v>0.22504047924602136</v>
      </c>
      <c r="HE45">
        <f t="shared" si="161"/>
        <v>28.674152362035848</v>
      </c>
      <c r="HF45">
        <f t="shared" si="162"/>
        <v>8.8000000000000009E-2</v>
      </c>
      <c r="HG45">
        <f t="shared" si="33"/>
        <v>119776.31700000001</v>
      </c>
      <c r="HH45">
        <f t="shared" si="34"/>
        <v>5.0280712261053248E-3</v>
      </c>
      <c r="HI45">
        <f t="shared" si="263"/>
        <v>4.2195426707235147E-3</v>
      </c>
      <c r="HJ45">
        <f t="shared" si="164"/>
        <v>1.1432496940492294E-2</v>
      </c>
      <c r="HK45">
        <f t="shared" si="165"/>
        <v>13.642404524187</v>
      </c>
      <c r="HL45">
        <f t="shared" si="258"/>
        <v>2.6367231032605462E-6</v>
      </c>
      <c r="HM45">
        <f t="shared" si="231"/>
        <v>1.0721573031812974E-2</v>
      </c>
      <c r="HN45">
        <f t="shared" si="166"/>
        <v>1284.1905301970819</v>
      </c>
      <c r="HO45">
        <f t="shared" si="232"/>
        <v>1.4095672232245872E-6</v>
      </c>
      <c r="HP45">
        <f t="shared" si="167"/>
        <v>1.3087281553176651E-3</v>
      </c>
      <c r="HQ45">
        <f t="shared" si="168"/>
        <v>0.21915602527531461</v>
      </c>
      <c r="HS45">
        <f t="shared" si="169"/>
        <v>30.571846098768862</v>
      </c>
      <c r="HT45">
        <f t="shared" si="170"/>
        <v>8.8000000000000009E-2</v>
      </c>
      <c r="HU45">
        <f t="shared" si="35"/>
        <v>119776.31700000001</v>
      </c>
      <c r="HV45">
        <f t="shared" si="36"/>
        <v>5.0280712261053248E-3</v>
      </c>
      <c r="HW45">
        <f t="shared" si="264"/>
        <v>4.2195426707235147E-3</v>
      </c>
      <c r="HX45">
        <f t="shared" si="172"/>
        <v>1.1432496940492294E-2</v>
      </c>
      <c r="HY45">
        <f t="shared" si="173"/>
        <v>13.642404524187</v>
      </c>
      <c r="HZ45">
        <f t="shared" si="259"/>
        <v>2.5690827644355848E-6</v>
      </c>
      <c r="IA45">
        <f t="shared" si="233"/>
        <v>1.0382507761926937E-2</v>
      </c>
      <c r="IB45">
        <f t="shared" si="174"/>
        <v>1243.5785409475216</v>
      </c>
      <c r="IC45">
        <f t="shared" si="234"/>
        <v>1.3870996770910398E-6</v>
      </c>
      <c r="ID45">
        <f t="shared" si="175"/>
        <v>1.2605526084198666E-3</v>
      </c>
      <c r="IE45">
        <f t="shared" si="176"/>
        <v>0.21353397577499994</v>
      </c>
      <c r="IG45">
        <f t="shared" si="177"/>
        <v>32.469539835501877</v>
      </c>
      <c r="IH45">
        <f t="shared" si="178"/>
        <v>8.8000000000000009E-2</v>
      </c>
      <c r="II45">
        <f t="shared" si="37"/>
        <v>119776.31700000001</v>
      </c>
      <c r="IJ45">
        <f t="shared" si="38"/>
        <v>5.0280712261053248E-3</v>
      </c>
      <c r="IK45">
        <f t="shared" si="265"/>
        <v>4.2195426707235147E-3</v>
      </c>
      <c r="IL45">
        <f t="shared" si="180"/>
        <v>1.1432496940492294E-2</v>
      </c>
      <c r="IM45">
        <f t="shared" si="181"/>
        <v>13.642404524187</v>
      </c>
      <c r="IN45">
        <f t="shared" si="260"/>
        <v>2.5044151923693595E-6</v>
      </c>
      <c r="IO45">
        <f t="shared" si="235"/>
        <v>1.0059432030635241E-2</v>
      </c>
      <c r="IP45">
        <f t="shared" si="182"/>
        <v>1204.8817197413205</v>
      </c>
      <c r="IQ45">
        <f t="shared" si="236"/>
        <v>1.3653477176178005E-6</v>
      </c>
      <c r="IR45">
        <f t="shared" si="183"/>
        <v>1.2147842823116135E-3</v>
      </c>
      <c r="IS45">
        <f t="shared" si="184"/>
        <v>0.2081590131781639</v>
      </c>
      <c r="IU45">
        <f t="shared" si="185"/>
        <v>34.367233572234888</v>
      </c>
      <c r="IV45">
        <f t="shared" si="186"/>
        <v>8.8000000000000009E-2</v>
      </c>
      <c r="IW45">
        <f t="shared" si="39"/>
        <v>119776.31700000001</v>
      </c>
      <c r="IX45">
        <f t="shared" si="40"/>
        <v>5.0280712261053248E-3</v>
      </c>
      <c r="IY45">
        <f t="shared" si="266"/>
        <v>4.2195426707235147E-3</v>
      </c>
      <c r="IZ45">
        <f t="shared" si="188"/>
        <v>1.1432496940492294E-2</v>
      </c>
      <c r="JA45">
        <f t="shared" si="189"/>
        <v>13.642404524187</v>
      </c>
      <c r="JB45">
        <f t="shared" si="261"/>
        <v>2.4425488514550449E-6</v>
      </c>
      <c r="JC45">
        <f t="shared" si="237"/>
        <v>9.7513847307634776E-3</v>
      </c>
      <c r="JD45">
        <f t="shared" si="190"/>
        <v>1167.984948700886</v>
      </c>
      <c r="JE45">
        <f t="shared" si="238"/>
        <v>1.3442798353173417E-6</v>
      </c>
      <c r="JF45">
        <f t="shared" si="191"/>
        <v>1.1712738429695872E-3</v>
      </c>
      <c r="JG45">
        <f t="shared" si="192"/>
        <v>0.20301687999157991</v>
      </c>
      <c r="JI45">
        <f t="shared" si="193"/>
        <v>36.264927308967906</v>
      </c>
      <c r="JJ45">
        <f t="shared" si="194"/>
        <v>8.8000000000000009E-2</v>
      </c>
      <c r="JK45">
        <f t="shared" si="41"/>
        <v>119776.31700000001</v>
      </c>
      <c r="JL45">
        <f t="shared" si="42"/>
        <v>5.0280712261053248E-3</v>
      </c>
      <c r="JM45">
        <f t="shared" si="267"/>
        <v>4.2195426707235147E-3</v>
      </c>
      <c r="JN45">
        <f t="shared" si="196"/>
        <v>1.1432496940492294E-2</v>
      </c>
      <c r="JO45">
        <f t="shared" si="197"/>
        <v>13.642404524187</v>
      </c>
      <c r="JP45">
        <f t="shared" si="262"/>
        <v>2.3833239644591217E-6</v>
      </c>
      <c r="JQ45">
        <f t="shared" si="239"/>
        <v>9.4574726320958355E-3</v>
      </c>
      <c r="JR45">
        <f t="shared" si="198"/>
        <v>1132.7812400007354</v>
      </c>
      <c r="JS45">
        <f t="shared" si="240"/>
        <v>1.3238661719315589E-6</v>
      </c>
      <c r="JT45">
        <f t="shared" si="199"/>
        <v>1.1298827353627588E-3</v>
      </c>
      <c r="JU45">
        <f t="shared" si="200"/>
        <v>0.19809429604055528</v>
      </c>
    </row>
    <row r="46" spans="2:281">
      <c r="B46">
        <v>0.12</v>
      </c>
      <c r="C46">
        <f t="shared" si="43"/>
        <v>0.22772324840796174</v>
      </c>
      <c r="D46">
        <f t="shared" si="44"/>
        <v>9.6000000000000002E-2</v>
      </c>
      <c r="E46">
        <f t="shared" si="3"/>
        <v>119591.88900000001</v>
      </c>
      <c r="F46">
        <f t="shared" si="4"/>
        <v>5.0306545697587149E-3</v>
      </c>
      <c r="G46">
        <f t="shared" si="45"/>
        <v>4.2184591210186204E-3</v>
      </c>
      <c r="H46">
        <f t="shared" si="46"/>
        <v>1.1450127505268649E-2</v>
      </c>
      <c r="I46">
        <f t="shared" si="47"/>
        <v>13.656426629766985</v>
      </c>
      <c r="J46">
        <f t="shared" si="241"/>
        <v>4.172849848275686E-6</v>
      </c>
      <c r="K46">
        <f t="shared" si="201"/>
        <v>2.0003082420439029E-2</v>
      </c>
      <c r="L46">
        <f t="shared" si="48"/>
        <v>2392.2064124829958</v>
      </c>
      <c r="M46">
        <f t="shared" si="202"/>
        <v>1.9238463605404017E-6</v>
      </c>
      <c r="N46">
        <f t="shared" si="203"/>
        <v>2.400349363151635E-3</v>
      </c>
      <c r="O46">
        <f t="shared" si="49"/>
        <v>0.34683398711375141</v>
      </c>
      <c r="Q46">
        <f t="shared" si="50"/>
        <v>2.1254169851409763</v>
      </c>
      <c r="R46">
        <f t="shared" si="51"/>
        <v>9.6000000000000002E-2</v>
      </c>
      <c r="S46">
        <f t="shared" si="5"/>
        <v>119591.88900000001</v>
      </c>
      <c r="T46">
        <f t="shared" si="6"/>
        <v>5.0306545697587149E-3</v>
      </c>
      <c r="U46">
        <f t="shared" si="52"/>
        <v>4.2184591210186204E-3</v>
      </c>
      <c r="V46">
        <f t="shared" si="53"/>
        <v>1.1450127505268649E-2</v>
      </c>
      <c r="W46">
        <f t="shared" si="54"/>
        <v>13.656426629766985</v>
      </c>
      <c r="X46">
        <f t="shared" si="242"/>
        <v>4.0280877617291484E-6</v>
      </c>
      <c r="Y46">
        <f t="shared" si="204"/>
        <v>1.9177416157408072E-2</v>
      </c>
      <c r="Z46">
        <f t="shared" si="55"/>
        <v>2293.4634244035528</v>
      </c>
      <c r="AA46">
        <f t="shared" si="205"/>
        <v>1.8837226952709605E-6</v>
      </c>
      <c r="AB46">
        <f t="shared" si="56"/>
        <v>2.288669337200855E-3</v>
      </c>
      <c r="AC46">
        <f t="shared" si="57"/>
        <v>0.3348018236078949</v>
      </c>
      <c r="AE46">
        <f t="shared" si="58"/>
        <v>4.0231107218739908</v>
      </c>
      <c r="AF46">
        <f t="shared" si="59"/>
        <v>9.6000000000000002E-2</v>
      </c>
      <c r="AG46">
        <f t="shared" si="7"/>
        <v>119591.88900000001</v>
      </c>
      <c r="AH46">
        <f t="shared" si="8"/>
        <v>5.0306545697587149E-3</v>
      </c>
      <c r="AI46">
        <f t="shared" si="60"/>
        <v>4.2184591210186204E-3</v>
      </c>
      <c r="AJ46">
        <f t="shared" si="61"/>
        <v>1.1450127505268649E-2</v>
      </c>
      <c r="AK46">
        <f t="shared" si="62"/>
        <v>13.656426629766985</v>
      </c>
      <c r="AL46">
        <f t="shared" si="243"/>
        <v>3.8912503394035916E-6</v>
      </c>
      <c r="AM46">
        <f t="shared" si="206"/>
        <v>1.8399824941438797E-2</v>
      </c>
      <c r="AN46">
        <f t="shared" si="63"/>
        <v>2200.4698220159803</v>
      </c>
      <c r="AO46">
        <f t="shared" si="207"/>
        <v>1.8451376444994363E-6</v>
      </c>
      <c r="AP46">
        <f t="shared" si="64"/>
        <v>2.1838051078770723E-3</v>
      </c>
      <c r="AQ46">
        <f t="shared" si="65"/>
        <v>0.32342833294871087</v>
      </c>
      <c r="AS46">
        <f t="shared" si="66"/>
        <v>5.9208044586070052</v>
      </c>
      <c r="AT46">
        <f t="shared" si="67"/>
        <v>9.6000000000000002E-2</v>
      </c>
      <c r="AU46">
        <f t="shared" si="9"/>
        <v>119591.88900000001</v>
      </c>
      <c r="AV46">
        <f t="shared" si="10"/>
        <v>5.0306545697587149E-3</v>
      </c>
      <c r="AW46">
        <f t="shared" si="68"/>
        <v>4.2184591210186204E-3</v>
      </c>
      <c r="AX46">
        <f t="shared" si="69"/>
        <v>1.1450127505268649E-2</v>
      </c>
      <c r="AY46">
        <f t="shared" si="70"/>
        <v>13.656426629766985</v>
      </c>
      <c r="AZ46">
        <f t="shared" si="244"/>
        <v>3.761795119657358E-6</v>
      </c>
      <c r="BA46">
        <f t="shared" si="208"/>
        <v>1.76668925547869E-2</v>
      </c>
      <c r="BB46">
        <f t="shared" si="71"/>
        <v>2112.8170533870016</v>
      </c>
      <c r="BC46">
        <f t="shared" si="209"/>
        <v>1.80801491064999E-6</v>
      </c>
      <c r="BD46">
        <f t="shared" si="72"/>
        <v>2.0852591407724418E-3</v>
      </c>
      <c r="BE46">
        <f t="shared" si="73"/>
        <v>0.31266842745251228</v>
      </c>
      <c r="BG46">
        <f t="shared" si="74"/>
        <v>7.8184981953400197</v>
      </c>
      <c r="BH46">
        <f t="shared" si="75"/>
        <v>9.6000000000000002E-2</v>
      </c>
      <c r="BI46">
        <f t="shared" si="11"/>
        <v>119591.88900000001</v>
      </c>
      <c r="BJ46">
        <f t="shared" si="12"/>
        <v>5.0306545697587149E-3</v>
      </c>
      <c r="BK46">
        <f t="shared" si="76"/>
        <v>4.2184591210186204E-3</v>
      </c>
      <c r="BL46">
        <f t="shared" si="77"/>
        <v>1.1450127505268649E-2</v>
      </c>
      <c r="BM46">
        <f t="shared" si="78"/>
        <v>13.656426629766985</v>
      </c>
      <c r="BN46">
        <f t="shared" si="245"/>
        <v>3.6392223461610267E-6</v>
      </c>
      <c r="BO46">
        <f t="shared" si="210"/>
        <v>1.6975479141492493E-2</v>
      </c>
      <c r="BP46">
        <f t="shared" si="79"/>
        <v>2030.1296172111856</v>
      </c>
      <c r="BQ46">
        <f t="shared" si="211"/>
        <v>1.772282481098659E-6</v>
      </c>
      <c r="BR46">
        <f t="shared" si="80"/>
        <v>1.9925749073237183E-3</v>
      </c>
      <c r="BS46">
        <f t="shared" si="81"/>
        <v>0.30248056896513092</v>
      </c>
      <c r="BU46">
        <f t="shared" si="82"/>
        <v>9.7161919320730341</v>
      </c>
      <c r="BV46">
        <f t="shared" si="83"/>
        <v>9.6000000000000002E-2</v>
      </c>
      <c r="BW46">
        <f t="shared" si="13"/>
        <v>119591.88900000001</v>
      </c>
      <c r="BX46">
        <f t="shared" si="14"/>
        <v>5.0306545697587149E-3</v>
      </c>
      <c r="BY46">
        <f t="shared" si="84"/>
        <v>4.2184591210186204E-3</v>
      </c>
      <c r="BZ46">
        <f t="shared" si="85"/>
        <v>1.1450127505268649E-2</v>
      </c>
      <c r="CA46">
        <f t="shared" si="86"/>
        <v>13.656426629766985</v>
      </c>
      <c r="CB46">
        <f t="shared" si="246"/>
        <v>3.5230712619498077E-6</v>
      </c>
      <c r="CC46">
        <f t="shared" si="247"/>
        <v>1.6322696717948636E-2</v>
      </c>
      <c r="CD46">
        <f t="shared" si="87"/>
        <v>1952.0621340735777</v>
      </c>
      <c r="CE46">
        <f t="shared" si="248"/>
        <v>1.737872374048603E-6</v>
      </c>
      <c r="CF46">
        <f t="shared" si="212"/>
        <v>1.9053332007002361E-3</v>
      </c>
      <c r="CG46">
        <f t="shared" si="88"/>
        <v>0.29282646083535746</v>
      </c>
      <c r="CI46">
        <f t="shared" si="89"/>
        <v>11.613885668806049</v>
      </c>
      <c r="CJ46">
        <f t="shared" si="90"/>
        <v>9.6000000000000002E-2</v>
      </c>
      <c r="CK46">
        <f t="shared" si="15"/>
        <v>119591.88900000001</v>
      </c>
      <c r="CL46">
        <f t="shared" si="16"/>
        <v>5.0306545697587149E-3</v>
      </c>
      <c r="CM46">
        <f t="shared" si="91"/>
        <v>4.2184591210186204E-3</v>
      </c>
      <c r="CN46">
        <f t="shared" si="92"/>
        <v>1.1450127505268649E-2</v>
      </c>
      <c r="CO46">
        <f t="shared" si="93"/>
        <v>13.656426629766985</v>
      </c>
      <c r="CP46">
        <f t="shared" si="249"/>
        <v>3.412916748746979E-6</v>
      </c>
      <c r="CQ46">
        <f t="shared" si="213"/>
        <v>1.5705887002211833E-2</v>
      </c>
      <c r="CR46">
        <f t="shared" si="94"/>
        <v>1878.2966950150605</v>
      </c>
      <c r="CS46">
        <f t="shared" si="214"/>
        <v>1.7047203994546684E-6</v>
      </c>
      <c r="CT46">
        <f t="shared" si="95"/>
        <v>1.8231488041357637E-3</v>
      </c>
      <c r="CU46">
        <f t="shared" si="96"/>
        <v>0.2836707685862106</v>
      </c>
      <c r="CW46">
        <f t="shared" si="97"/>
        <v>13.511579405539063</v>
      </c>
      <c r="CX46">
        <f t="shared" si="98"/>
        <v>9.6000000000000002E-2</v>
      </c>
      <c r="CY46">
        <f t="shared" si="17"/>
        <v>119591.88900000001</v>
      </c>
      <c r="CZ46">
        <f t="shared" si="18"/>
        <v>5.0306545697587149E-3</v>
      </c>
      <c r="DA46">
        <f t="shared" si="99"/>
        <v>4.2184591210186204E-3</v>
      </c>
      <c r="DB46">
        <f t="shared" si="100"/>
        <v>1.1450127505268649E-2</v>
      </c>
      <c r="DC46">
        <f t="shared" si="101"/>
        <v>13.656426629766985</v>
      </c>
      <c r="DD46">
        <f t="shared" si="250"/>
        <v>3.3083662776671773E-6</v>
      </c>
      <c r="DE46">
        <f t="shared" si="215"/>
        <v>1.5122601331674387E-2</v>
      </c>
      <c r="DF46">
        <f t="shared" si="102"/>
        <v>1808.5404598488556</v>
      </c>
      <c r="DG46">
        <f t="shared" si="216"/>
        <v>1.6727659341644859E-6</v>
      </c>
      <c r="DH46">
        <f t="shared" si="103"/>
        <v>1.7456674764211775E-3</v>
      </c>
      <c r="DI46">
        <f t="shared" si="104"/>
        <v>0.27498086646710784</v>
      </c>
      <c r="DK46">
        <f t="shared" si="105"/>
        <v>15.409273142272076</v>
      </c>
      <c r="DL46">
        <f t="shared" si="106"/>
        <v>9.6000000000000002E-2</v>
      </c>
      <c r="DM46">
        <f t="shared" si="19"/>
        <v>119591.88900000001</v>
      </c>
      <c r="DN46">
        <f t="shared" si="20"/>
        <v>5.0306545697587149E-3</v>
      </c>
      <c r="DO46">
        <f t="shared" si="107"/>
        <v>4.2184591210186204E-3</v>
      </c>
      <c r="DP46">
        <f t="shared" si="108"/>
        <v>1.1450127505268649E-2</v>
      </c>
      <c r="DQ46">
        <f t="shared" si="109"/>
        <v>13.656426629766985</v>
      </c>
      <c r="DR46">
        <f t="shared" si="251"/>
        <v>3.2090571408619342E-6</v>
      </c>
      <c r="DS46">
        <f t="shared" si="217"/>
        <v>1.457058246239501E-2</v>
      </c>
      <c r="DT46">
        <f t="shared" si="110"/>
        <v>1742.5234805080909</v>
      </c>
      <c r="DU46">
        <f t="shared" si="218"/>
        <v>1.6419517104817448E-6</v>
      </c>
      <c r="DV46">
        <f t="shared" si="111"/>
        <v>1.6725632229198705E-3</v>
      </c>
      <c r="DW46">
        <f t="shared" si="112"/>
        <v>0.26672660735706089</v>
      </c>
      <c r="DY46">
        <f t="shared" si="113"/>
        <v>17.306966879005092</v>
      </c>
      <c r="DZ46">
        <f t="shared" si="114"/>
        <v>9.6000000000000002E-2</v>
      </c>
      <c r="EA46">
        <f t="shared" si="21"/>
        <v>119591.88900000001</v>
      </c>
      <c r="EB46">
        <f t="shared" si="22"/>
        <v>5.0306545697587149E-3</v>
      </c>
      <c r="EC46">
        <f t="shared" si="115"/>
        <v>4.2184591210186204E-3</v>
      </c>
      <c r="ED46">
        <f t="shared" si="116"/>
        <v>1.1450127505268649E-2</v>
      </c>
      <c r="EE46">
        <f t="shared" si="117"/>
        <v>13.656426629766985</v>
      </c>
      <c r="EF46">
        <f t="shared" si="252"/>
        <v>3.1146539367626373E-6</v>
      </c>
      <c r="EG46">
        <f t="shared" si="219"/>
        <v>1.4047748064574933E-2</v>
      </c>
      <c r="EH46">
        <f t="shared" si="118"/>
        <v>1679.9967272386102</v>
      </c>
      <c r="EI46">
        <f t="shared" si="220"/>
        <v>1.6122236173946852E-6</v>
      </c>
      <c r="EJ46">
        <f t="shared" si="119"/>
        <v>1.6035358237288125E-3</v>
      </c>
      <c r="EK46">
        <f t="shared" si="120"/>
        <v>0.25888011374608133</v>
      </c>
      <c r="EM46">
        <f t="shared" si="121"/>
        <v>19.204660615738106</v>
      </c>
      <c r="EN46">
        <f t="shared" si="122"/>
        <v>9.6000000000000002E-2</v>
      </c>
      <c r="EO46">
        <f t="shared" si="23"/>
        <v>119591.88900000001</v>
      </c>
      <c r="EP46">
        <f t="shared" si="24"/>
        <v>5.0306545697587149E-3</v>
      </c>
      <c r="EQ46">
        <f t="shared" si="123"/>
        <v>4.2184591210186204E-3</v>
      </c>
      <c r="ER46">
        <f t="shared" si="124"/>
        <v>1.1450127505268649E-2</v>
      </c>
      <c r="ES46">
        <f t="shared" si="125"/>
        <v>13.656426629766985</v>
      </c>
      <c r="ET46">
        <f t="shared" si="253"/>
        <v>3.0248462843461853E-6</v>
      </c>
      <c r="EU46">
        <f t="shared" si="221"/>
        <v>1.3552175747631701E-2</v>
      </c>
      <c r="EV46">
        <f t="shared" si="126"/>
        <v>1620.7302977192626</v>
      </c>
      <c r="EW46">
        <f t="shared" si="222"/>
        <v>1.5835305137489683E-6</v>
      </c>
      <c r="EX46">
        <f t="shared" si="127"/>
        <v>1.5383085935261351E-3</v>
      </c>
      <c r="EY46">
        <f t="shared" si="128"/>
        <v>0.25141558775222239</v>
      </c>
      <c r="FA46">
        <f t="shared" si="129"/>
        <v>21.102354352471121</v>
      </c>
      <c r="FB46">
        <f t="shared" si="130"/>
        <v>9.6000000000000002E-2</v>
      </c>
      <c r="FC46">
        <f t="shared" si="25"/>
        <v>119591.88900000001</v>
      </c>
      <c r="FD46">
        <f t="shared" si="26"/>
        <v>5.0306545697587149E-3</v>
      </c>
      <c r="FE46">
        <f t="shared" si="131"/>
        <v>4.2184591210186204E-3</v>
      </c>
      <c r="FF46">
        <f t="shared" si="132"/>
        <v>1.1450127505268649E-2</v>
      </c>
      <c r="FG46">
        <f t="shared" si="133"/>
        <v>13.656426629766985</v>
      </c>
      <c r="FH46">
        <f t="shared" si="254"/>
        <v>2.9393467443302028E-6</v>
      </c>
      <c r="FI46">
        <f t="shared" si="223"/>
        <v>1.3082089465308453E-2</v>
      </c>
      <c r="FJ46">
        <f t="shared" si="134"/>
        <v>1564.5117912232381</v>
      </c>
      <c r="FK46">
        <f t="shared" si="224"/>
        <v>1.5558240526795044E-6</v>
      </c>
      <c r="FL46">
        <f t="shared" si="135"/>
        <v>1.476626350256899E-3</v>
      </c>
      <c r="FM46">
        <f t="shared" si="136"/>
        <v>0.24430913833794773</v>
      </c>
      <c r="FO46">
        <f t="shared" si="137"/>
        <v>23.000048089204135</v>
      </c>
      <c r="FP46">
        <f t="shared" si="138"/>
        <v>9.6000000000000002E-2</v>
      </c>
      <c r="FQ46">
        <f t="shared" si="27"/>
        <v>119591.88900000001</v>
      </c>
      <c r="FR46">
        <f t="shared" si="28"/>
        <v>5.0306545697587149E-3</v>
      </c>
      <c r="FS46">
        <f t="shared" si="139"/>
        <v>4.2184591210186204E-3</v>
      </c>
      <c r="FT46">
        <f t="shared" si="140"/>
        <v>1.1450127505268649E-2</v>
      </c>
      <c r="FU46">
        <f t="shared" si="141"/>
        <v>13.656426629766985</v>
      </c>
      <c r="FV46">
        <f t="shared" si="255"/>
        <v>2.8578889274285317E-6</v>
      </c>
      <c r="FW46">
        <f t="shared" si="225"/>
        <v>1.2635847166455466E-2</v>
      </c>
      <c r="FX46">
        <f t="shared" si="142"/>
        <v>1511.1448317517068</v>
      </c>
      <c r="FY46">
        <f t="shared" si="226"/>
        <v>1.5290585166495207E-6</v>
      </c>
      <c r="FZ46">
        <f t="shared" si="143"/>
        <v>1.4182535721462422E-3</v>
      </c>
      <c r="GA46">
        <f t="shared" si="144"/>
        <v>0.23753862407435328</v>
      </c>
      <c r="GC46">
        <f t="shared" si="145"/>
        <v>24.89774182593715</v>
      </c>
      <c r="GD46">
        <f t="shared" si="146"/>
        <v>9.6000000000000002E-2</v>
      </c>
      <c r="GE46">
        <f t="shared" si="29"/>
        <v>119591.88900000001</v>
      </c>
      <c r="GF46">
        <f t="shared" si="30"/>
        <v>5.0306545697587149E-3</v>
      </c>
      <c r="GG46">
        <f t="shared" si="147"/>
        <v>4.2184591210186204E-3</v>
      </c>
      <c r="GH46">
        <f t="shared" si="148"/>
        <v>1.1450127505268649E-2</v>
      </c>
      <c r="GI46">
        <f t="shared" si="149"/>
        <v>13.656426629766985</v>
      </c>
      <c r="GJ46">
        <f t="shared" si="256"/>
        <v>2.7802257717907269E-6</v>
      </c>
      <c r="GK46">
        <f t="shared" si="227"/>
        <v>1.2211929570743262E-2</v>
      </c>
      <c r="GL46">
        <f t="shared" si="150"/>
        <v>1460.4477257001458</v>
      </c>
      <c r="GM46">
        <f t="shared" si="228"/>
        <v>1.5031906624783441E-6</v>
      </c>
      <c r="GN46">
        <f t="shared" si="151"/>
        <v>1.3629727246208061E-3</v>
      </c>
      <c r="GO46">
        <f t="shared" si="152"/>
        <v>0.23108350996742552</v>
      </c>
      <c r="GQ46">
        <f t="shared" si="153"/>
        <v>26.795435562670164</v>
      </c>
      <c r="GR46">
        <f t="shared" si="154"/>
        <v>9.6000000000000002E-2</v>
      </c>
      <c r="GS46">
        <f t="shared" si="31"/>
        <v>119591.88900000001</v>
      </c>
      <c r="GT46">
        <f t="shared" si="32"/>
        <v>5.0306545697587149E-3</v>
      </c>
      <c r="GU46">
        <f t="shared" si="155"/>
        <v>4.2184591210186204E-3</v>
      </c>
      <c r="GV46">
        <f t="shared" si="156"/>
        <v>1.1450127505268649E-2</v>
      </c>
      <c r="GW46">
        <f t="shared" si="157"/>
        <v>13.656426629766985</v>
      </c>
      <c r="GX46">
        <f t="shared" si="257"/>
        <v>2.7061279735362328E-6</v>
      </c>
      <c r="GY46">
        <f t="shared" si="229"/>
        <v>1.1808929960762911E-2</v>
      </c>
      <c r="GZ46">
        <f t="shared" si="158"/>
        <v>1412.2522410763324</v>
      </c>
      <c r="HA46">
        <f t="shared" si="230"/>
        <v>1.478179575771035E-6</v>
      </c>
      <c r="HB46">
        <f t="shared" si="159"/>
        <v>1.3105827405927503E-3</v>
      </c>
      <c r="HC46">
        <f t="shared" si="160"/>
        <v>0.22492473700904164</v>
      </c>
      <c r="HE46">
        <f t="shared" si="161"/>
        <v>28.693129299403179</v>
      </c>
      <c r="HF46">
        <f t="shared" si="162"/>
        <v>9.6000000000000002E-2</v>
      </c>
      <c r="HG46">
        <f t="shared" si="33"/>
        <v>119591.88900000001</v>
      </c>
      <c r="HH46">
        <f t="shared" si="34"/>
        <v>5.0306545697587149E-3</v>
      </c>
      <c r="HI46">
        <f t="shared" si="263"/>
        <v>4.2184591210186204E-3</v>
      </c>
      <c r="HJ46">
        <f t="shared" si="164"/>
        <v>1.1450127505268649E-2</v>
      </c>
      <c r="HK46">
        <f t="shared" si="165"/>
        <v>13.656426629766985</v>
      </c>
      <c r="HL46">
        <f t="shared" si="258"/>
        <v>2.6353825558962991E-6</v>
      </c>
      <c r="HM46">
        <f t="shared" si="231"/>
        <v>1.1425544892899936E-2</v>
      </c>
      <c r="HN46">
        <f t="shared" si="166"/>
        <v>1366.402496596206</v>
      </c>
      <c r="HO46">
        <f t="shared" si="232"/>
        <v>1.4539865341937131E-6</v>
      </c>
      <c r="HP46">
        <f t="shared" si="167"/>
        <v>1.2608976392381019E-3</v>
      </c>
      <c r="HQ46">
        <f t="shared" si="168"/>
        <v>0.21904460324860334</v>
      </c>
      <c r="HS46">
        <f t="shared" si="169"/>
        <v>30.590823036136193</v>
      </c>
      <c r="HT46">
        <f t="shared" si="170"/>
        <v>9.6000000000000002E-2</v>
      </c>
      <c r="HU46">
        <f t="shared" si="35"/>
        <v>119591.88900000001</v>
      </c>
      <c r="HV46">
        <f t="shared" si="36"/>
        <v>5.0306545697587149E-3</v>
      </c>
      <c r="HW46">
        <f t="shared" si="264"/>
        <v>4.2184591210186204E-3</v>
      </c>
      <c r="HX46">
        <f t="shared" si="172"/>
        <v>1.1450127505268649E-2</v>
      </c>
      <c r="HY46">
        <f t="shared" si="173"/>
        <v>13.656426629766985</v>
      </c>
      <c r="HZ46">
        <f t="shared" si="259"/>
        <v>2.5677915639140356E-6</v>
      </c>
      <c r="IA46">
        <f t="shared" si="233"/>
        <v>1.1060565739163593E-2</v>
      </c>
      <c r="IB46">
        <f t="shared" si="174"/>
        <v>1322.7539501552556</v>
      </c>
      <c r="IC46">
        <f t="shared" si="234"/>
        <v>1.4305748790679034E-6</v>
      </c>
      <c r="ID46">
        <f t="shared" si="175"/>
        <v>1.2137452699037897E-3</v>
      </c>
      <c r="IE46">
        <f t="shared" si="176"/>
        <v>0.21342665530066335</v>
      </c>
      <c r="IG46">
        <f t="shared" si="177"/>
        <v>32.488516772869211</v>
      </c>
      <c r="IH46">
        <f t="shared" si="178"/>
        <v>9.6000000000000002E-2</v>
      </c>
      <c r="II46">
        <f t="shared" si="37"/>
        <v>119591.88900000001</v>
      </c>
      <c r="IJ46">
        <f t="shared" si="38"/>
        <v>5.0306545697587149E-3</v>
      </c>
      <c r="IK46">
        <f t="shared" si="265"/>
        <v>4.2184591210186204E-3</v>
      </c>
      <c r="IL46">
        <f t="shared" si="180"/>
        <v>1.1450127505268649E-2</v>
      </c>
      <c r="IM46">
        <f t="shared" si="181"/>
        <v>13.656426629766985</v>
      </c>
      <c r="IN46">
        <f t="shared" si="260"/>
        <v>2.5031708729427733E-6</v>
      </c>
      <c r="IO46">
        <f t="shared" si="235"/>
        <v>1.0712870980934801E-2</v>
      </c>
      <c r="IP46">
        <f t="shared" si="182"/>
        <v>1281.172477223276</v>
      </c>
      <c r="IQ46">
        <f t="shared" si="236"/>
        <v>1.407909894785625E-6</v>
      </c>
      <c r="IR46">
        <f t="shared" si="183"/>
        <v>1.1689661691239633E-3</v>
      </c>
      <c r="IS46">
        <f t="shared" si="184"/>
        <v>0.20805558931110471</v>
      </c>
      <c r="IU46">
        <f t="shared" si="185"/>
        <v>34.386210509602222</v>
      </c>
      <c r="IV46">
        <f t="shared" si="186"/>
        <v>9.6000000000000002E-2</v>
      </c>
      <c r="IW46">
        <f t="shared" si="39"/>
        <v>119591.88900000001</v>
      </c>
      <c r="IX46">
        <f t="shared" si="40"/>
        <v>5.0306545697587149E-3</v>
      </c>
      <c r="IY46">
        <f t="shared" si="266"/>
        <v>4.2184591210186204E-3</v>
      </c>
      <c r="IZ46">
        <f t="shared" si="188"/>
        <v>1.1450127505268649E-2</v>
      </c>
      <c r="JA46">
        <f t="shared" si="189"/>
        <v>13.656426629766985</v>
      </c>
      <c r="JB46">
        <f t="shared" si="261"/>
        <v>2.4413491003404802E-6</v>
      </c>
      <c r="JC46">
        <f t="shared" si="237"/>
        <v>1.0381419183470573E-2</v>
      </c>
      <c r="JD46">
        <f t="shared" si="190"/>
        <v>1241.5335306520835</v>
      </c>
      <c r="JE46">
        <f t="shared" si="238"/>
        <v>1.3859586955741879E-6</v>
      </c>
      <c r="JF46">
        <f t="shared" si="191"/>
        <v>1.1264125199326035E-3</v>
      </c>
      <c r="JG46">
        <f t="shared" si="192"/>
        <v>0.2029171605006472</v>
      </c>
      <c r="JI46">
        <f t="shared" si="193"/>
        <v>36.28390424633524</v>
      </c>
      <c r="JJ46">
        <f t="shared" si="194"/>
        <v>9.6000000000000002E-2</v>
      </c>
      <c r="JK46">
        <f t="shared" si="41"/>
        <v>119591.88900000001</v>
      </c>
      <c r="JL46">
        <f t="shared" si="42"/>
        <v>5.0306545697587149E-3</v>
      </c>
      <c r="JM46">
        <f t="shared" si="267"/>
        <v>4.2184591210186204E-3</v>
      </c>
      <c r="JN46">
        <f t="shared" si="196"/>
        <v>1.1450127505268649E-2</v>
      </c>
      <c r="JO46">
        <f t="shared" si="197"/>
        <v>13.656426629766985</v>
      </c>
      <c r="JP46">
        <f t="shared" si="262"/>
        <v>2.3821666107973664E-6</v>
      </c>
      <c r="JQ46">
        <f t="shared" si="239"/>
        <v>1.0065242587064389E-2</v>
      </c>
      <c r="JR46">
        <f t="shared" si="198"/>
        <v>1203.7213742302772</v>
      </c>
      <c r="JS46">
        <f t="shared" si="240"/>
        <v>1.3646901191656903E-6</v>
      </c>
      <c r="JT46">
        <f t="shared" si="199"/>
        <v>1.0859472037409845E-3</v>
      </c>
      <c r="JU46">
        <f t="shared" si="200"/>
        <v>0.19799810049084646</v>
      </c>
    </row>
    <row r="47" spans="2:281">
      <c r="B47">
        <v>0.13</v>
      </c>
      <c r="C47">
        <f t="shared" si="43"/>
        <v>0.24670018577529187</v>
      </c>
      <c r="D47">
        <f t="shared" si="44"/>
        <v>0.10400000000000001</v>
      </c>
      <c r="E47">
        <f t="shared" si="3"/>
        <v>119407.46100000001</v>
      </c>
      <c r="F47">
        <f t="shared" si="4"/>
        <v>5.0332432307334894E-3</v>
      </c>
      <c r="G47">
        <f t="shared" si="45"/>
        <v>4.2173741779257552E-3</v>
      </c>
      <c r="H47">
        <f t="shared" si="46"/>
        <v>1.1467812531797617E-2</v>
      </c>
      <c r="I47">
        <f t="shared" si="47"/>
        <v>13.670484821922376</v>
      </c>
      <c r="J47">
        <f t="shared" si="241"/>
        <v>4.170391139032693E-6</v>
      </c>
      <c r="K47">
        <f t="shared" si="201"/>
        <v>2.1294243156586366E-2</v>
      </c>
      <c r="L47">
        <f t="shared" si="48"/>
        <v>2542.6915092446038</v>
      </c>
      <c r="M47">
        <f t="shared" si="202"/>
        <v>1.9834346565387107E-6</v>
      </c>
      <c r="N47">
        <f t="shared" si="203"/>
        <v>2.3359287922349275E-3</v>
      </c>
      <c r="O47">
        <f t="shared" si="49"/>
        <v>0.34662962703349282</v>
      </c>
      <c r="Q47">
        <f t="shared" si="50"/>
        <v>2.1443939225083062</v>
      </c>
      <c r="R47">
        <f t="shared" si="51"/>
        <v>0.10400000000000001</v>
      </c>
      <c r="S47">
        <f t="shared" si="5"/>
        <v>119407.46100000001</v>
      </c>
      <c r="T47">
        <f t="shared" si="6"/>
        <v>5.0332432307334894E-3</v>
      </c>
      <c r="U47">
        <f t="shared" si="52"/>
        <v>4.2173741779257552E-3</v>
      </c>
      <c r="V47">
        <f t="shared" si="53"/>
        <v>1.1467812531797617E-2</v>
      </c>
      <c r="W47">
        <f t="shared" si="54"/>
        <v>13.670484821922376</v>
      </c>
      <c r="X47">
        <f t="shared" si="242"/>
        <v>4.0257434477972206E-6</v>
      </c>
      <c r="Y47">
        <f t="shared" si="204"/>
        <v>2.0408503611418563E-2</v>
      </c>
      <c r="Z47">
        <f t="shared" si="55"/>
        <v>2436.9275990488213</v>
      </c>
      <c r="AA47">
        <f t="shared" si="205"/>
        <v>1.9417457990678539E-6</v>
      </c>
      <c r="AB47">
        <f t="shared" si="56"/>
        <v>2.2259565517578667E-3</v>
      </c>
      <c r="AC47">
        <f t="shared" si="57"/>
        <v>0.33460697170149506</v>
      </c>
      <c r="AE47">
        <f t="shared" si="58"/>
        <v>4.0420876592413206</v>
      </c>
      <c r="AF47">
        <f t="shared" si="59"/>
        <v>0.10400000000000001</v>
      </c>
      <c r="AG47">
        <f t="shared" si="7"/>
        <v>119407.46100000001</v>
      </c>
      <c r="AH47">
        <f t="shared" si="8"/>
        <v>5.0332432307334894E-3</v>
      </c>
      <c r="AI47">
        <f t="shared" si="60"/>
        <v>4.2173741779257552E-3</v>
      </c>
      <c r="AJ47">
        <f t="shared" si="61"/>
        <v>1.1467812531797617E-2</v>
      </c>
      <c r="AK47">
        <f t="shared" si="62"/>
        <v>13.670484821922376</v>
      </c>
      <c r="AL47">
        <f t="shared" si="243"/>
        <v>3.8890134392731111E-6</v>
      </c>
      <c r="AM47">
        <f t="shared" si="206"/>
        <v>1.9574505366702671E-2</v>
      </c>
      <c r="AN47">
        <f t="shared" si="63"/>
        <v>2337.3419861688399</v>
      </c>
      <c r="AO47">
        <f t="shared" si="207"/>
        <v>1.9016570210826971E-6</v>
      </c>
      <c r="AP47">
        <f t="shared" si="64"/>
        <v>2.122732260492814E-3</v>
      </c>
      <c r="AQ47">
        <f t="shared" si="65"/>
        <v>0.32324240893532935</v>
      </c>
      <c r="AS47">
        <f t="shared" si="66"/>
        <v>5.9397813959743351</v>
      </c>
      <c r="AT47">
        <f t="shared" si="67"/>
        <v>0.10400000000000001</v>
      </c>
      <c r="AU47">
        <f t="shared" si="9"/>
        <v>119407.46100000001</v>
      </c>
      <c r="AV47">
        <f t="shared" si="10"/>
        <v>5.0332432307334894E-3</v>
      </c>
      <c r="AW47">
        <f t="shared" si="68"/>
        <v>4.2173741779257552E-3</v>
      </c>
      <c r="AX47">
        <f t="shared" si="69"/>
        <v>1.1467812531797617E-2</v>
      </c>
      <c r="AY47">
        <f t="shared" si="70"/>
        <v>13.670484821922376</v>
      </c>
      <c r="AZ47">
        <f t="shared" si="244"/>
        <v>3.7596591614497073E-6</v>
      </c>
      <c r="BA47">
        <f t="shared" si="208"/>
        <v>1.8788564578280417E-2</v>
      </c>
      <c r="BB47">
        <f t="shared" si="71"/>
        <v>2243.4947921270004</v>
      </c>
      <c r="BC47">
        <f t="shared" si="209"/>
        <v>1.8630889663345494E-6</v>
      </c>
      <c r="BD47">
        <f t="shared" si="72"/>
        <v>2.0257618113241546E-3</v>
      </c>
      <c r="BE47">
        <f t="shared" si="73"/>
        <v>0.31249089341021408</v>
      </c>
      <c r="BG47">
        <f t="shared" si="74"/>
        <v>7.8374751327073495</v>
      </c>
      <c r="BH47">
        <f t="shared" si="75"/>
        <v>0.10400000000000001</v>
      </c>
      <c r="BI47">
        <f t="shared" si="11"/>
        <v>119407.46100000001</v>
      </c>
      <c r="BJ47">
        <f t="shared" si="12"/>
        <v>5.0332432307334894E-3</v>
      </c>
      <c r="BK47">
        <f t="shared" si="76"/>
        <v>4.2173741779257552E-3</v>
      </c>
      <c r="BL47">
        <f t="shared" si="77"/>
        <v>1.1467812531797617E-2</v>
      </c>
      <c r="BM47">
        <f t="shared" si="78"/>
        <v>13.670484821922376</v>
      </c>
      <c r="BN47">
        <f t="shared" si="245"/>
        <v>3.6371813256257655E-6</v>
      </c>
      <c r="BO47">
        <f t="shared" si="210"/>
        <v>1.8047295821040671E-2</v>
      </c>
      <c r="BP47">
        <f t="shared" si="79"/>
        <v>2154.9817719063772</v>
      </c>
      <c r="BQ47">
        <f t="shared" si="211"/>
        <v>1.8259667353167817E-6</v>
      </c>
      <c r="BR47">
        <f t="shared" si="80"/>
        <v>1.9345919062796829E-3</v>
      </c>
      <c r="BS47">
        <f t="shared" si="81"/>
        <v>0.3023109258397455</v>
      </c>
      <c r="BU47">
        <f t="shared" si="82"/>
        <v>9.7351688694403631</v>
      </c>
      <c r="BV47">
        <f t="shared" si="83"/>
        <v>0.10400000000000001</v>
      </c>
      <c r="BW47">
        <f t="shared" si="13"/>
        <v>119407.46100000001</v>
      </c>
      <c r="BX47">
        <f t="shared" si="14"/>
        <v>5.0332432307334894E-3</v>
      </c>
      <c r="BY47">
        <f t="shared" si="84"/>
        <v>4.2173741779257552E-3</v>
      </c>
      <c r="BZ47">
        <f t="shared" si="85"/>
        <v>1.1467812531797617E-2</v>
      </c>
      <c r="CA47">
        <f t="shared" si="86"/>
        <v>13.670484821922376</v>
      </c>
      <c r="CB47">
        <f t="shared" si="246"/>
        <v>3.5211196042355353E-6</v>
      </c>
      <c r="CC47">
        <f t="shared" si="247"/>
        <v>1.7347585617784388E-2</v>
      </c>
      <c r="CD47">
        <f t="shared" si="87"/>
        <v>2071.4311530997506</v>
      </c>
      <c r="CE47">
        <f t="shared" si="248"/>
        <v>1.7902196209749081E-6</v>
      </c>
      <c r="CF47">
        <f t="shared" si="212"/>
        <v>1.8488063844629239E-3</v>
      </c>
      <c r="CG47">
        <f t="shared" si="88"/>
        <v>0.29266424526299462</v>
      </c>
      <c r="CI47">
        <f t="shared" si="89"/>
        <v>11.632862606173378</v>
      </c>
      <c r="CJ47">
        <f t="shared" si="90"/>
        <v>0.10400000000000001</v>
      </c>
      <c r="CK47">
        <f t="shared" si="15"/>
        <v>119407.46100000001</v>
      </c>
      <c r="CL47">
        <f t="shared" si="16"/>
        <v>5.0332432307334894E-3</v>
      </c>
      <c r="CM47">
        <f t="shared" si="91"/>
        <v>4.2173741779257552E-3</v>
      </c>
      <c r="CN47">
        <f t="shared" si="92"/>
        <v>1.1467812531797617E-2</v>
      </c>
      <c r="CO47">
        <f t="shared" si="93"/>
        <v>13.670484821922376</v>
      </c>
      <c r="CP47">
        <f t="shared" si="249"/>
        <v>3.4110492735848656E-6</v>
      </c>
      <c r="CQ47">
        <f t="shared" si="213"/>
        <v>1.6686568476413227E-2</v>
      </c>
      <c r="CR47">
        <f t="shared" si="94"/>
        <v>1992.5007745711421</v>
      </c>
      <c r="CS47">
        <f t="shared" si="214"/>
        <v>1.7557808600654697E-6</v>
      </c>
      <c r="CT47">
        <f t="shared" si="95"/>
        <v>1.7680229016754686E-3</v>
      </c>
      <c r="CU47">
        <f t="shared" si="96"/>
        <v>0.28351554999942646</v>
      </c>
      <c r="CW47">
        <f t="shared" si="97"/>
        <v>13.530556342906392</v>
      </c>
      <c r="CX47">
        <f t="shared" si="98"/>
        <v>0.10400000000000001</v>
      </c>
      <c r="CY47">
        <f t="shared" si="17"/>
        <v>119407.46100000001</v>
      </c>
      <c r="CZ47">
        <f t="shared" si="18"/>
        <v>5.0332432307334894E-3</v>
      </c>
      <c r="DA47">
        <f t="shared" si="99"/>
        <v>4.2173741779257552E-3</v>
      </c>
      <c r="DB47">
        <f t="shared" si="100"/>
        <v>1.1467812531797617E-2</v>
      </c>
      <c r="DC47">
        <f t="shared" si="101"/>
        <v>13.670484821922376</v>
      </c>
      <c r="DD47">
        <f t="shared" si="250"/>
        <v>3.3065781676422957E-6</v>
      </c>
      <c r="DE47">
        <f t="shared" si="215"/>
        <v>1.6061605186082021E-2</v>
      </c>
      <c r="DF47">
        <f t="shared" si="102"/>
        <v>1917.8754948544868</v>
      </c>
      <c r="DG47">
        <f t="shared" si="216"/>
        <v>1.7225873992978981E-6</v>
      </c>
      <c r="DH47">
        <f t="shared" si="103"/>
        <v>1.6918899264929406E-3</v>
      </c>
      <c r="DI47">
        <f t="shared" si="104"/>
        <v>0.2748322444577192</v>
      </c>
      <c r="DK47">
        <f t="shared" si="105"/>
        <v>15.428250079639408</v>
      </c>
      <c r="DL47">
        <f t="shared" si="106"/>
        <v>0.10400000000000001</v>
      </c>
      <c r="DM47">
        <f t="shared" si="19"/>
        <v>119407.46100000001</v>
      </c>
      <c r="DN47">
        <f t="shared" si="20"/>
        <v>5.0332432307334894E-3</v>
      </c>
      <c r="DO47">
        <f t="shared" si="107"/>
        <v>4.2173741779257552E-3</v>
      </c>
      <c r="DP47">
        <f t="shared" si="108"/>
        <v>1.1467812531797617E-2</v>
      </c>
      <c r="DQ47">
        <f t="shared" si="109"/>
        <v>13.670484821922376</v>
      </c>
      <c r="DR47">
        <f t="shared" si="251"/>
        <v>3.207343912479927E-6</v>
      </c>
      <c r="DS47">
        <f t="shared" si="217"/>
        <v>1.5470263148594367E-2</v>
      </c>
      <c r="DT47">
        <f t="shared" si="110"/>
        <v>1847.2648435755193</v>
      </c>
      <c r="DU47">
        <f t="shared" si="218"/>
        <v>1.6905796754335867E-6</v>
      </c>
      <c r="DV47">
        <f t="shared" si="111"/>
        <v>1.6200840212002427E-3</v>
      </c>
      <c r="DW47">
        <f t="shared" si="112"/>
        <v>0.26658420927129861</v>
      </c>
      <c r="DY47">
        <f t="shared" si="113"/>
        <v>17.325943816372423</v>
      </c>
      <c r="DZ47">
        <f t="shared" si="114"/>
        <v>0.10400000000000001</v>
      </c>
      <c r="EA47">
        <f t="shared" si="21"/>
        <v>119407.46100000001</v>
      </c>
      <c r="EB47">
        <f t="shared" si="22"/>
        <v>5.0332432307334894E-3</v>
      </c>
      <c r="EC47">
        <f t="shared" si="115"/>
        <v>4.2173741779257552E-3</v>
      </c>
      <c r="ED47">
        <f t="shared" si="116"/>
        <v>1.1467812531797617E-2</v>
      </c>
      <c r="EE47">
        <f t="shared" si="117"/>
        <v>13.670484821922376</v>
      </c>
      <c r="EF47">
        <f t="shared" si="252"/>
        <v>3.1130114140483205E-6</v>
      </c>
      <c r="EG47">
        <f t="shared" si="219"/>
        <v>1.4910298544262582E-2</v>
      </c>
      <c r="EH47">
        <f t="shared" si="118"/>
        <v>1780.4008919223911</v>
      </c>
      <c r="EI47">
        <f t="shared" si="220"/>
        <v>1.6597014085551145E-6</v>
      </c>
      <c r="EJ47">
        <f t="shared" si="119"/>
        <v>1.5523073792502963E-3</v>
      </c>
      <c r="EK47">
        <f t="shared" si="120"/>
        <v>0.25874359249019024</v>
      </c>
      <c r="EM47">
        <f t="shared" si="121"/>
        <v>19.223637553105437</v>
      </c>
      <c r="EN47">
        <f t="shared" si="122"/>
        <v>0.10400000000000001</v>
      </c>
      <c r="EO47">
        <f t="shared" si="23"/>
        <v>119407.46100000001</v>
      </c>
      <c r="EP47">
        <f t="shared" si="24"/>
        <v>5.0332432307334894E-3</v>
      </c>
      <c r="EQ47">
        <f t="shared" si="123"/>
        <v>4.2173741779257552E-3</v>
      </c>
      <c r="ER47">
        <f t="shared" si="124"/>
        <v>1.1467812531797617E-2</v>
      </c>
      <c r="ES47">
        <f t="shared" si="125"/>
        <v>13.670484821922376</v>
      </c>
      <c r="ET47">
        <f t="shared" si="253"/>
        <v>3.0232705747367672E-6</v>
      </c>
      <c r="EU47">
        <f t="shared" si="221"/>
        <v>1.4379640151992897E-2</v>
      </c>
      <c r="EV47">
        <f t="shared" si="126"/>
        <v>1717.0363206431259</v>
      </c>
      <c r="EW47">
        <f t="shared" si="222"/>
        <v>1.629899407756395E-6</v>
      </c>
      <c r="EX47">
        <f t="shared" si="127"/>
        <v>1.4882855938256594E-3</v>
      </c>
      <c r="EY47">
        <f t="shared" si="128"/>
        <v>0.2512846197887828</v>
      </c>
      <c r="FA47">
        <f t="shared" si="129"/>
        <v>21.121331289838452</v>
      </c>
      <c r="FB47">
        <f t="shared" si="130"/>
        <v>0.10400000000000001</v>
      </c>
      <c r="FC47">
        <f t="shared" si="25"/>
        <v>119407.46100000001</v>
      </c>
      <c r="FD47">
        <f t="shared" si="26"/>
        <v>5.0332432307334894E-3</v>
      </c>
      <c r="FE47">
        <f t="shared" si="131"/>
        <v>4.2173741779257552E-3</v>
      </c>
      <c r="FF47">
        <f t="shared" si="132"/>
        <v>1.1467812531797617E-2</v>
      </c>
      <c r="FG47">
        <f t="shared" si="133"/>
        <v>13.670484821922376</v>
      </c>
      <c r="FH47">
        <f t="shared" si="254"/>
        <v>2.9378342166492085E-6</v>
      </c>
      <c r="FI47">
        <f t="shared" si="223"/>
        <v>1.3876374661738784E-2</v>
      </c>
      <c r="FJ47">
        <f t="shared" si="134"/>
        <v>1656.9426662429621</v>
      </c>
      <c r="FK47">
        <f t="shared" si="224"/>
        <v>1.601123388540873E-6</v>
      </c>
      <c r="FL47">
        <f t="shared" si="135"/>
        <v>1.4277656346913822E-3</v>
      </c>
      <c r="FM47">
        <f t="shared" si="136"/>
        <v>0.24418342185513781</v>
      </c>
      <c r="FO47">
        <f t="shared" si="137"/>
        <v>23.019025026571466</v>
      </c>
      <c r="FP47">
        <f t="shared" si="138"/>
        <v>0.10400000000000001</v>
      </c>
      <c r="FQ47">
        <f t="shared" si="27"/>
        <v>119407.46100000001</v>
      </c>
      <c r="FR47">
        <f t="shared" si="28"/>
        <v>5.0332432307334894E-3</v>
      </c>
      <c r="FS47">
        <f t="shared" si="139"/>
        <v>4.2173741779257552E-3</v>
      </c>
      <c r="FT47">
        <f t="shared" si="140"/>
        <v>1.1467812531797617E-2</v>
      </c>
      <c r="FU47">
        <f t="shared" si="141"/>
        <v>13.670484821922376</v>
      </c>
      <c r="FV47">
        <f t="shared" si="255"/>
        <v>2.8564361917475201E-6</v>
      </c>
      <c r="FW47">
        <f t="shared" si="225"/>
        <v>1.3398733333930542E-2</v>
      </c>
      <c r="FX47">
        <f t="shared" si="142"/>
        <v>1599.9087280207114</v>
      </c>
      <c r="FY47">
        <f t="shared" si="226"/>
        <v>1.5733258012504487E-6</v>
      </c>
      <c r="FZ47">
        <f t="shared" si="143"/>
        <v>1.3705140128622369E-3</v>
      </c>
      <c r="GA47">
        <f t="shared" si="144"/>
        <v>0.23741787731211933</v>
      </c>
      <c r="GC47">
        <f t="shared" si="145"/>
        <v>24.91671876330448</v>
      </c>
      <c r="GD47">
        <f t="shared" si="146"/>
        <v>0.10400000000000001</v>
      </c>
      <c r="GE47">
        <f t="shared" si="29"/>
        <v>119407.46100000001</v>
      </c>
      <c r="GF47">
        <f t="shared" si="30"/>
        <v>5.0332432307334894E-3</v>
      </c>
      <c r="GG47">
        <f t="shared" si="147"/>
        <v>4.2173741779257552E-3</v>
      </c>
      <c r="GH47">
        <f t="shared" si="148"/>
        <v>1.1467812531797617E-2</v>
      </c>
      <c r="GI47">
        <f t="shared" si="149"/>
        <v>13.670484821922376</v>
      </c>
      <c r="GJ47">
        <f t="shared" si="256"/>
        <v>2.7788296610047649E-6</v>
      </c>
      <c r="GK47">
        <f t="shared" si="227"/>
        <v>1.2945079875230428E-2</v>
      </c>
      <c r="GL47">
        <f t="shared" si="150"/>
        <v>1545.7391203434624</v>
      </c>
      <c r="GM47">
        <f t="shared" si="228"/>
        <v>1.5464616698819253E-6</v>
      </c>
      <c r="GN47">
        <f t="shared" si="151"/>
        <v>1.3163151146975232E-3</v>
      </c>
      <c r="GO47">
        <f t="shared" si="152"/>
        <v>0.23096746968609411</v>
      </c>
      <c r="GQ47">
        <f t="shared" si="153"/>
        <v>26.814412500037495</v>
      </c>
      <c r="GR47">
        <f t="shared" si="154"/>
        <v>0.10400000000000001</v>
      </c>
      <c r="GS47">
        <f t="shared" si="31"/>
        <v>119407.46100000001</v>
      </c>
      <c r="GT47">
        <f t="shared" si="32"/>
        <v>5.0332432307334894E-3</v>
      </c>
      <c r="GU47">
        <f t="shared" si="155"/>
        <v>4.2173741779257552E-3</v>
      </c>
      <c r="GV47">
        <f t="shared" si="156"/>
        <v>1.1467812531797617E-2</v>
      </c>
      <c r="GW47">
        <f t="shared" si="157"/>
        <v>13.670484821922376</v>
      </c>
      <c r="GX47">
        <f t="shared" si="257"/>
        <v>2.7047855264960353E-6</v>
      </c>
      <c r="GY47">
        <f t="shared" si="229"/>
        <v>1.2513899413169613E-2</v>
      </c>
      <c r="GZ47">
        <f t="shared" si="158"/>
        <v>1494.2529561359736</v>
      </c>
      <c r="HA47">
        <f t="shared" si="230"/>
        <v>1.5204884406808488E-6</v>
      </c>
      <c r="HB47">
        <f t="shared" si="159"/>
        <v>1.2649696889079388E-3</v>
      </c>
      <c r="HC47">
        <f t="shared" si="160"/>
        <v>0.22481315708731667</v>
      </c>
      <c r="HE47">
        <f t="shared" si="161"/>
        <v>28.712106236770509</v>
      </c>
      <c r="HF47">
        <f t="shared" si="162"/>
        <v>0.10400000000000001</v>
      </c>
      <c r="HG47">
        <f t="shared" si="33"/>
        <v>119407.46100000001</v>
      </c>
      <c r="HH47">
        <f t="shared" si="34"/>
        <v>5.0332432307334894E-3</v>
      </c>
      <c r="HI47">
        <f t="shared" si="263"/>
        <v>4.2173741779257552E-3</v>
      </c>
      <c r="HJ47">
        <f t="shared" si="164"/>
        <v>1.1467812531797617E-2</v>
      </c>
      <c r="HK47">
        <f t="shared" si="165"/>
        <v>13.670484821922376</v>
      </c>
      <c r="HL47">
        <f t="shared" si="258"/>
        <v>2.6340910019551709E-6</v>
      </c>
      <c r="HM47">
        <f t="shared" si="231"/>
        <v>1.2103788464055588E-2</v>
      </c>
      <c r="HN47">
        <f t="shared" si="166"/>
        <v>1445.2826489739678</v>
      </c>
      <c r="HO47">
        <f t="shared" si="232"/>
        <v>1.4953658399344931E-6</v>
      </c>
      <c r="HP47">
        <f t="shared" si="167"/>
        <v>1.2162934716346387E-3</v>
      </c>
      <c r="HQ47">
        <f t="shared" si="168"/>
        <v>0.21893725339915715</v>
      </c>
      <c r="HS47">
        <f t="shared" si="169"/>
        <v>30.60979997350352</v>
      </c>
      <c r="HT47">
        <f t="shared" si="170"/>
        <v>0.10400000000000001</v>
      </c>
      <c r="HU47">
        <f t="shared" si="35"/>
        <v>119407.46100000001</v>
      </c>
      <c r="HV47">
        <f t="shared" si="36"/>
        <v>5.0332432307334894E-3</v>
      </c>
      <c r="HW47">
        <f t="shared" si="264"/>
        <v>4.2173741779257552E-3</v>
      </c>
      <c r="HX47">
        <f t="shared" si="172"/>
        <v>1.1467812531797617E-2</v>
      </c>
      <c r="HY47">
        <f t="shared" si="173"/>
        <v>13.670484821922376</v>
      </c>
      <c r="HZ47">
        <f t="shared" si="259"/>
        <v>2.5665483087614469E-6</v>
      </c>
      <c r="IA47">
        <f t="shared" si="233"/>
        <v>1.1713445799142214E-2</v>
      </c>
      <c r="IB47">
        <f t="shared" si="174"/>
        <v>1398.6728224366877</v>
      </c>
      <c r="IC47">
        <f t="shared" si="234"/>
        <v>1.4710557404163812E-6</v>
      </c>
      <c r="ID47">
        <f t="shared" si="175"/>
        <v>1.1701159362615115E-3</v>
      </c>
      <c r="IE47">
        <f t="shared" si="176"/>
        <v>0.2133233198926687</v>
      </c>
      <c r="IG47">
        <f t="shared" si="177"/>
        <v>32.507493710236538</v>
      </c>
      <c r="IH47">
        <f t="shared" si="178"/>
        <v>0.10400000000000001</v>
      </c>
      <c r="II47">
        <f t="shared" si="37"/>
        <v>119407.46100000001</v>
      </c>
      <c r="IJ47">
        <f t="shared" si="38"/>
        <v>5.0332432307334894E-3</v>
      </c>
      <c r="IK47">
        <f t="shared" si="265"/>
        <v>4.2173741779257552E-3</v>
      </c>
      <c r="IL47">
        <f t="shared" si="180"/>
        <v>1.1467812531797617E-2</v>
      </c>
      <c r="IM47">
        <f t="shared" si="181"/>
        <v>13.670484821922376</v>
      </c>
      <c r="IN47">
        <f t="shared" si="260"/>
        <v>2.5019734856087073E-6</v>
      </c>
      <c r="IO47">
        <f t="shared" si="235"/>
        <v>1.1341664123561117E-2</v>
      </c>
      <c r="IP47">
        <f t="shared" si="182"/>
        <v>1354.2793165092235</v>
      </c>
      <c r="IQ47">
        <f t="shared" si="236"/>
        <v>1.447522035964301E-6</v>
      </c>
      <c r="IR47">
        <f t="shared" si="183"/>
        <v>1.1262791559662432E-3</v>
      </c>
      <c r="IS47">
        <f t="shared" si="184"/>
        <v>0.20795606629007743</v>
      </c>
      <c r="IU47">
        <f t="shared" si="185"/>
        <v>34.405187446969549</v>
      </c>
      <c r="IV47">
        <f t="shared" si="186"/>
        <v>0.10400000000000001</v>
      </c>
      <c r="IW47">
        <f t="shared" si="39"/>
        <v>119407.46100000001</v>
      </c>
      <c r="IX47">
        <f t="shared" si="40"/>
        <v>5.0332432307334894E-3</v>
      </c>
      <c r="IY47">
        <f t="shared" si="266"/>
        <v>4.2173741779257552E-3</v>
      </c>
      <c r="IZ47">
        <f t="shared" si="188"/>
        <v>1.1467812531797617E-2</v>
      </c>
      <c r="JA47">
        <f t="shared" si="189"/>
        <v>13.670484821922376</v>
      </c>
      <c r="JB47">
        <f t="shared" si="261"/>
        <v>2.440195301265772E-6</v>
      </c>
      <c r="JC47">
        <f t="shared" si="237"/>
        <v>1.0987322491034079E-2</v>
      </c>
      <c r="JD47">
        <f t="shared" si="190"/>
        <v>1311.9682818425747</v>
      </c>
      <c r="JE47">
        <f t="shared" si="238"/>
        <v>1.4247305237019294E-6</v>
      </c>
      <c r="JF47">
        <f t="shared" si="191"/>
        <v>1.0846367682208066E-3</v>
      </c>
      <c r="JG47">
        <f t="shared" si="192"/>
        <v>0.20282126039689088</v>
      </c>
      <c r="JI47">
        <f t="shared" si="193"/>
        <v>36.302881183702567</v>
      </c>
      <c r="JJ47">
        <f t="shared" si="194"/>
        <v>0.10400000000000001</v>
      </c>
      <c r="JK47">
        <f t="shared" si="41"/>
        <v>119407.46100000001</v>
      </c>
      <c r="JL47">
        <f t="shared" si="42"/>
        <v>5.0332432307334894E-3</v>
      </c>
      <c r="JM47">
        <f t="shared" si="267"/>
        <v>4.2173741779257552E-3</v>
      </c>
      <c r="JN47">
        <f t="shared" si="196"/>
        <v>1.1467812531797617E-2</v>
      </c>
      <c r="JO47">
        <f t="shared" si="197"/>
        <v>13.670484821922376</v>
      </c>
      <c r="JP47">
        <f t="shared" si="262"/>
        <v>2.3810542608752138E-6</v>
      </c>
      <c r="JQ47">
        <f t="shared" si="239"/>
        <v>1.0649379385033726E-2</v>
      </c>
      <c r="JR47">
        <f t="shared" si="198"/>
        <v>1271.6153535926187</v>
      </c>
      <c r="JS47">
        <f t="shared" si="240"/>
        <v>1.4026487934415089E-6</v>
      </c>
      <c r="JT47">
        <f t="shared" si="199"/>
        <v>1.0450530315318026E-3</v>
      </c>
      <c r="JU47">
        <f t="shared" si="200"/>
        <v>0.19790564550861764</v>
      </c>
    </row>
    <row r="48" spans="2:281">
      <c r="B48">
        <v>0.14000000000000001</v>
      </c>
      <c r="C48">
        <f t="shared" si="43"/>
        <v>0.26567712314262204</v>
      </c>
      <c r="D48">
        <f t="shared" si="44"/>
        <v>0.11200000000000002</v>
      </c>
      <c r="E48">
        <f t="shared" si="3"/>
        <v>119223.03300000001</v>
      </c>
      <c r="F48">
        <f t="shared" si="4"/>
        <v>5.0358372282124832E-3</v>
      </c>
      <c r="G48">
        <f t="shared" si="45"/>
        <v>4.2162878374968115E-3</v>
      </c>
      <c r="H48">
        <f t="shared" si="46"/>
        <v>1.1485552272822445E-2</v>
      </c>
      <c r="I48">
        <f t="shared" si="47"/>
        <v>13.684579249475879</v>
      </c>
      <c r="J48">
        <f t="shared" si="241"/>
        <v>4.1679984166229427E-6</v>
      </c>
      <c r="K48">
        <f t="shared" si="201"/>
        <v>2.255075172374334E-2</v>
      </c>
      <c r="L48">
        <f t="shared" si="48"/>
        <v>2688.5690169346594</v>
      </c>
      <c r="M48">
        <f t="shared" si="202"/>
        <v>2.0395373161322184E-6</v>
      </c>
      <c r="N48">
        <f t="shared" si="203"/>
        <v>2.2752065269711517E-3</v>
      </c>
      <c r="O48">
        <f t="shared" si="49"/>
        <v>0.34643075156861763</v>
      </c>
      <c r="Q48">
        <f t="shared" si="50"/>
        <v>2.1633708598756365</v>
      </c>
      <c r="R48">
        <f t="shared" si="51"/>
        <v>0.11200000000000002</v>
      </c>
      <c r="S48">
        <f t="shared" si="5"/>
        <v>119223.03300000001</v>
      </c>
      <c r="T48">
        <f t="shared" si="6"/>
        <v>5.0358372282124832E-3</v>
      </c>
      <c r="U48">
        <f t="shared" si="52"/>
        <v>4.2162878374968115E-3</v>
      </c>
      <c r="V48">
        <f t="shared" si="53"/>
        <v>1.1485552272822445E-2</v>
      </c>
      <c r="W48">
        <f t="shared" si="54"/>
        <v>13.684579249475879</v>
      </c>
      <c r="X48">
        <f t="shared" si="242"/>
        <v>4.0234633713915417E-6</v>
      </c>
      <c r="Y48">
        <f t="shared" si="204"/>
        <v>2.1605857523361648E-2</v>
      </c>
      <c r="Z48">
        <f t="shared" si="55"/>
        <v>2575.9158645010443</v>
      </c>
      <c r="AA48">
        <f t="shared" si="205"/>
        <v>1.9963509827015982E-6</v>
      </c>
      <c r="AB48">
        <f t="shared" si="56"/>
        <v>2.1668703912832168E-3</v>
      </c>
      <c r="AC48">
        <f t="shared" si="57"/>
        <v>0.33441745901365361</v>
      </c>
      <c r="AE48">
        <f t="shared" si="58"/>
        <v>4.0610645966086514</v>
      </c>
      <c r="AF48">
        <f t="shared" si="59"/>
        <v>0.11200000000000002</v>
      </c>
      <c r="AG48">
        <f t="shared" si="7"/>
        <v>119223.03300000001</v>
      </c>
      <c r="AH48">
        <f t="shared" si="8"/>
        <v>5.0358372282124832E-3</v>
      </c>
      <c r="AI48">
        <f t="shared" si="60"/>
        <v>4.2162878374968115E-3</v>
      </c>
      <c r="AJ48">
        <f t="shared" si="61"/>
        <v>1.1485552272822445E-2</v>
      </c>
      <c r="AK48">
        <f t="shared" si="62"/>
        <v>13.684579249475879</v>
      </c>
      <c r="AL48">
        <f t="shared" si="243"/>
        <v>3.8868390968588797E-6</v>
      </c>
      <c r="AM48">
        <f t="shared" si="206"/>
        <v>2.0716334381335383E-2</v>
      </c>
      <c r="AN48">
        <f t="shared" si="63"/>
        <v>2469.8642175849832</v>
      </c>
      <c r="AO48">
        <f t="shared" si="207"/>
        <v>1.9548237198689593E-6</v>
      </c>
      <c r="AP48">
        <f t="shared" si="64"/>
        <v>2.0652169752703705E-3</v>
      </c>
      <c r="AQ48">
        <f t="shared" si="65"/>
        <v>0.32306168452004996</v>
      </c>
      <c r="AS48">
        <f t="shared" si="66"/>
        <v>5.9587583333416658</v>
      </c>
      <c r="AT48">
        <f t="shared" si="67"/>
        <v>0.11200000000000002</v>
      </c>
      <c r="AU48">
        <f t="shared" si="9"/>
        <v>119223.03300000001</v>
      </c>
      <c r="AV48">
        <f t="shared" si="10"/>
        <v>5.0358372282124832E-3</v>
      </c>
      <c r="AW48">
        <f t="shared" si="68"/>
        <v>4.2162878374968115E-3</v>
      </c>
      <c r="AX48">
        <f t="shared" si="69"/>
        <v>1.1485552272822445E-2</v>
      </c>
      <c r="AY48">
        <f t="shared" si="70"/>
        <v>13.684579249475879</v>
      </c>
      <c r="AZ48">
        <f t="shared" si="244"/>
        <v>3.7575841471346804E-6</v>
      </c>
      <c r="BA48">
        <f t="shared" si="208"/>
        <v>1.9878232670651065E-2</v>
      </c>
      <c r="BB48">
        <f t="shared" si="71"/>
        <v>2369.9431896747101</v>
      </c>
      <c r="BC48">
        <f t="shared" si="209"/>
        <v>1.9148732345621895E-6</v>
      </c>
      <c r="BD48">
        <f t="shared" si="72"/>
        <v>1.9697554701090338E-3</v>
      </c>
      <c r="BE48">
        <f t="shared" si="73"/>
        <v>0.31231842483013889</v>
      </c>
      <c r="BG48">
        <f t="shared" si="74"/>
        <v>7.8564520700746794</v>
      </c>
      <c r="BH48">
        <f t="shared" si="75"/>
        <v>0.11200000000000002</v>
      </c>
      <c r="BI48">
        <f t="shared" si="11"/>
        <v>119223.03300000001</v>
      </c>
      <c r="BJ48">
        <f t="shared" si="12"/>
        <v>5.0358372282124832E-3</v>
      </c>
      <c r="BK48">
        <f t="shared" si="76"/>
        <v>4.2162878374968115E-3</v>
      </c>
      <c r="BL48">
        <f t="shared" si="77"/>
        <v>1.1485552272822445E-2</v>
      </c>
      <c r="BM48">
        <f t="shared" si="78"/>
        <v>13.684579249475879</v>
      </c>
      <c r="BN48">
        <f t="shared" si="245"/>
        <v>3.6351996978367407E-6</v>
      </c>
      <c r="BO48">
        <f t="shared" si="210"/>
        <v>1.9087923134798464E-2</v>
      </c>
      <c r="BP48">
        <f t="shared" si="79"/>
        <v>2275.7200898015408</v>
      </c>
      <c r="BQ48">
        <f t="shared" si="211"/>
        <v>1.8764218553912389E-6</v>
      </c>
      <c r="BR48">
        <f t="shared" si="80"/>
        <v>1.8800356866760057E-3</v>
      </c>
      <c r="BS48">
        <f t="shared" si="81"/>
        <v>0.30214621925023644</v>
      </c>
      <c r="BU48">
        <f t="shared" si="82"/>
        <v>9.7541458068076938</v>
      </c>
      <c r="BV48">
        <f t="shared" si="83"/>
        <v>0.11200000000000002</v>
      </c>
      <c r="BW48">
        <f t="shared" si="13"/>
        <v>119223.03300000001</v>
      </c>
      <c r="BX48">
        <f t="shared" si="14"/>
        <v>5.0358372282124832E-3</v>
      </c>
      <c r="BY48">
        <f t="shared" si="84"/>
        <v>4.2162878374968115E-3</v>
      </c>
      <c r="BZ48">
        <f t="shared" si="85"/>
        <v>1.1485552272822445E-2</v>
      </c>
      <c r="CA48">
        <f t="shared" si="86"/>
        <v>13.684579249475879</v>
      </c>
      <c r="CB48">
        <f t="shared" si="246"/>
        <v>3.5192258476783582E-6</v>
      </c>
      <c r="CC48">
        <f t="shared" si="247"/>
        <v>1.8342068441410894E-2</v>
      </c>
      <c r="CD48">
        <f t="shared" si="87"/>
        <v>2186.7970310785895</v>
      </c>
      <c r="CE48">
        <f t="shared" si="248"/>
        <v>1.8393962586014843E-6</v>
      </c>
      <c r="CF48">
        <f t="shared" si="212"/>
        <v>1.7956443950917424E-3</v>
      </c>
      <c r="CG48">
        <f t="shared" si="88"/>
        <v>0.29250684225037005</v>
      </c>
      <c r="CI48">
        <f t="shared" si="89"/>
        <v>11.651839543540708</v>
      </c>
      <c r="CJ48">
        <f t="shared" si="90"/>
        <v>0.11200000000000002</v>
      </c>
      <c r="CK48">
        <f t="shared" si="15"/>
        <v>119223.03300000001</v>
      </c>
      <c r="CL48">
        <f t="shared" si="16"/>
        <v>5.0358372282124832E-3</v>
      </c>
      <c r="CM48">
        <f t="shared" si="91"/>
        <v>4.2162878374968115E-3</v>
      </c>
      <c r="CN48">
        <f t="shared" si="92"/>
        <v>1.1485552272822445E-2</v>
      </c>
      <c r="CO48">
        <f t="shared" si="93"/>
        <v>13.684579249475879</v>
      </c>
      <c r="CP48">
        <f t="shared" si="249"/>
        <v>3.4092382646055453E-6</v>
      </c>
      <c r="CQ48">
        <f t="shared" si="213"/>
        <v>1.7637597433404484E-2</v>
      </c>
      <c r="CR48">
        <f t="shared" si="94"/>
        <v>2102.8078608434985</v>
      </c>
      <c r="CS48">
        <f t="shared" si="214"/>
        <v>1.803727210250932E-6</v>
      </c>
      <c r="CT48">
        <f t="shared" si="95"/>
        <v>1.7162020152258219E-3</v>
      </c>
      <c r="CU48">
        <f t="shared" si="96"/>
        <v>0.28336502470188768</v>
      </c>
      <c r="CW48">
        <f t="shared" si="97"/>
        <v>13.549533280273723</v>
      </c>
      <c r="CX48">
        <f t="shared" si="98"/>
        <v>0.11200000000000002</v>
      </c>
      <c r="CY48">
        <f t="shared" si="17"/>
        <v>119223.03300000001</v>
      </c>
      <c r="CZ48">
        <f t="shared" si="18"/>
        <v>5.0358372282124832E-3</v>
      </c>
      <c r="DA48">
        <f t="shared" si="99"/>
        <v>4.2162878374968115E-3</v>
      </c>
      <c r="DB48">
        <f t="shared" si="100"/>
        <v>1.1485552272822445E-2</v>
      </c>
      <c r="DC48">
        <f t="shared" si="101"/>
        <v>13.684579249475879</v>
      </c>
      <c r="DD48">
        <f t="shared" si="250"/>
        <v>3.304845142665076E-6</v>
      </c>
      <c r="DE48">
        <f t="shared" si="215"/>
        <v>1.6971681809304372E-2</v>
      </c>
      <c r="DF48">
        <f t="shared" si="102"/>
        <v>2023.4153804161951</v>
      </c>
      <c r="DG48">
        <f t="shared" si="216"/>
        <v>1.7693493237138915E-6</v>
      </c>
      <c r="DH48">
        <f t="shared" si="103"/>
        <v>1.6413596229732336E-3</v>
      </c>
      <c r="DI48">
        <f t="shared" si="104"/>
        <v>0.27468820094202329</v>
      </c>
      <c r="DK48">
        <f t="shared" si="105"/>
        <v>15.447227017006739</v>
      </c>
      <c r="DL48">
        <f t="shared" si="106"/>
        <v>0.11200000000000002</v>
      </c>
      <c r="DM48">
        <f t="shared" si="19"/>
        <v>119223.03300000001</v>
      </c>
      <c r="DN48">
        <f t="shared" si="20"/>
        <v>5.0358372282124832E-3</v>
      </c>
      <c r="DO48">
        <f t="shared" si="107"/>
        <v>4.2162878374968115E-3</v>
      </c>
      <c r="DP48">
        <f t="shared" si="108"/>
        <v>1.1485552272822445E-2</v>
      </c>
      <c r="DQ48">
        <f t="shared" si="109"/>
        <v>13.684579249475879</v>
      </c>
      <c r="DR48">
        <f t="shared" si="251"/>
        <v>3.2056844392305328E-6</v>
      </c>
      <c r="DS48">
        <f t="shared" si="217"/>
        <v>1.6341714992040613E-2</v>
      </c>
      <c r="DT48">
        <f t="shared" si="110"/>
        <v>1948.3088257726529</v>
      </c>
      <c r="DU48">
        <f t="shared" si="218"/>
        <v>1.7362008316550901E-6</v>
      </c>
      <c r="DV48">
        <f t="shared" si="111"/>
        <v>1.5707962407496825E-3</v>
      </c>
      <c r="DW48">
        <f t="shared" si="112"/>
        <v>0.26644627914092645</v>
      </c>
      <c r="DY48">
        <f t="shared" si="113"/>
        <v>17.344920753739753</v>
      </c>
      <c r="DZ48">
        <f t="shared" si="114"/>
        <v>0.11200000000000002</v>
      </c>
      <c r="EA48">
        <f t="shared" si="21"/>
        <v>119223.03300000001</v>
      </c>
      <c r="EB48">
        <f t="shared" si="22"/>
        <v>5.0358372282124832E-3</v>
      </c>
      <c r="EC48">
        <f t="shared" si="115"/>
        <v>4.2162878374968115E-3</v>
      </c>
      <c r="ED48">
        <f t="shared" si="116"/>
        <v>1.1485552272822445E-2</v>
      </c>
      <c r="EE48">
        <f t="shared" si="117"/>
        <v>13.684579249475879</v>
      </c>
      <c r="EF48">
        <f t="shared" si="252"/>
        <v>3.1114213652996174E-6</v>
      </c>
      <c r="EG48">
        <f t="shared" si="219"/>
        <v>1.5745292970194072E-2</v>
      </c>
      <c r="EH48">
        <f t="shared" si="118"/>
        <v>1877.2015833801161</v>
      </c>
      <c r="EI48">
        <f t="shared" si="220"/>
        <v>1.7042233716584564E-6</v>
      </c>
      <c r="EJ48">
        <f t="shared" si="119"/>
        <v>1.5042163839099165E-3</v>
      </c>
      <c r="EK48">
        <f t="shared" si="120"/>
        <v>0.25861143270316944</v>
      </c>
      <c r="EM48">
        <f t="shared" si="121"/>
        <v>19.242614490472768</v>
      </c>
      <c r="EN48">
        <f t="shared" si="122"/>
        <v>0.11200000000000002</v>
      </c>
      <c r="EO48">
        <f t="shared" si="23"/>
        <v>119223.03300000001</v>
      </c>
      <c r="EP48">
        <f t="shared" si="24"/>
        <v>5.0358372282124832E-3</v>
      </c>
      <c r="EQ48">
        <f t="shared" si="123"/>
        <v>4.2162878374968115E-3</v>
      </c>
      <c r="ER48">
        <f t="shared" si="124"/>
        <v>1.1485552272822445E-2</v>
      </c>
      <c r="ES48">
        <f t="shared" si="125"/>
        <v>13.684579249475879</v>
      </c>
      <c r="ET48">
        <f t="shared" si="253"/>
        <v>3.0217461043401127E-6</v>
      </c>
      <c r="EU48">
        <f t="shared" si="221"/>
        <v>1.518019691777903E-2</v>
      </c>
      <c r="EV48">
        <f t="shared" si="126"/>
        <v>1809.8291180748677</v>
      </c>
      <c r="EW48">
        <f t="shared" si="222"/>
        <v>1.6733617847339365E-6</v>
      </c>
      <c r="EX48">
        <f t="shared" si="127"/>
        <v>1.441347837705948E-3</v>
      </c>
      <c r="EY48">
        <f t="shared" si="128"/>
        <v>0.25115791066548976</v>
      </c>
      <c r="FA48">
        <f t="shared" si="129"/>
        <v>21.140308227205782</v>
      </c>
      <c r="FB48">
        <f t="shared" si="130"/>
        <v>0.11200000000000002</v>
      </c>
      <c r="FC48">
        <f t="shared" si="25"/>
        <v>119223.03300000001</v>
      </c>
      <c r="FD48">
        <f t="shared" si="26"/>
        <v>5.0358372282124832E-3</v>
      </c>
      <c r="FE48">
        <f t="shared" si="131"/>
        <v>4.2162878374968115E-3</v>
      </c>
      <c r="FF48">
        <f t="shared" si="132"/>
        <v>1.1485552272822445E-2</v>
      </c>
      <c r="FG48">
        <f t="shared" si="133"/>
        <v>13.684579249475879</v>
      </c>
      <c r="FH48">
        <f t="shared" si="254"/>
        <v>2.9363717376381388E-6</v>
      </c>
      <c r="FI48">
        <f t="shared" si="223"/>
        <v>1.464437741843483E-2</v>
      </c>
      <c r="FJ48">
        <f t="shared" si="134"/>
        <v>1745.9470922225107</v>
      </c>
      <c r="FK48">
        <f t="shared" si="224"/>
        <v>1.6435639259634033E-6</v>
      </c>
      <c r="FL48">
        <f t="shared" si="135"/>
        <v>1.3819396420087257E-3</v>
      </c>
      <c r="FM48">
        <f t="shared" si="136"/>
        <v>0.24406186525834603</v>
      </c>
      <c r="FO48">
        <f t="shared" si="137"/>
        <v>23.038001963938797</v>
      </c>
      <c r="FP48">
        <f t="shared" si="138"/>
        <v>0.11200000000000002</v>
      </c>
      <c r="FQ48">
        <f t="shared" si="27"/>
        <v>119223.03300000001</v>
      </c>
      <c r="FR48">
        <f t="shared" si="28"/>
        <v>5.0358372282124832E-3</v>
      </c>
      <c r="FS48">
        <f t="shared" si="139"/>
        <v>4.2162878374968115E-3</v>
      </c>
      <c r="FT48">
        <f t="shared" si="140"/>
        <v>1.1485552272822445E-2</v>
      </c>
      <c r="FU48">
        <f t="shared" si="141"/>
        <v>13.684579249475879</v>
      </c>
      <c r="FV48">
        <f t="shared" si="255"/>
        <v>2.8550323563213921E-6</v>
      </c>
      <c r="FW48">
        <f t="shared" si="225"/>
        <v>1.4135940137620193E-2</v>
      </c>
      <c r="FX48">
        <f t="shared" si="142"/>
        <v>1685.3296575135168</v>
      </c>
      <c r="FY48">
        <f t="shared" si="226"/>
        <v>1.6147804865835546E-6</v>
      </c>
      <c r="FZ48">
        <f t="shared" si="143"/>
        <v>1.3257602633494781E-3</v>
      </c>
      <c r="GA48">
        <f t="shared" si="144"/>
        <v>0.23730119498330352</v>
      </c>
      <c r="GC48">
        <f t="shared" si="145"/>
        <v>24.935695700671811</v>
      </c>
      <c r="GD48">
        <f t="shared" si="146"/>
        <v>0.11200000000000002</v>
      </c>
      <c r="GE48">
        <f t="shared" si="29"/>
        <v>119223.03300000001</v>
      </c>
      <c r="GF48">
        <f t="shared" si="30"/>
        <v>5.0358372282124832E-3</v>
      </c>
      <c r="GG48">
        <f t="shared" si="147"/>
        <v>4.2162878374968115E-3</v>
      </c>
      <c r="GH48">
        <f t="shared" si="148"/>
        <v>1.1485552272822445E-2</v>
      </c>
      <c r="GI48">
        <f t="shared" si="149"/>
        <v>13.684579249475879</v>
      </c>
      <c r="GJ48">
        <f t="shared" si="256"/>
        <v>2.7774813422188072E-6</v>
      </c>
      <c r="GK48">
        <f t="shared" si="227"/>
        <v>1.3653132802269036E-2</v>
      </c>
      <c r="GL48">
        <f t="shared" si="150"/>
        <v>1627.7679026383039</v>
      </c>
      <c r="GM48">
        <f t="shared" si="228"/>
        <v>1.5869648268390508E-6</v>
      </c>
      <c r="GN48">
        <f t="shared" si="151"/>
        <v>1.2725959359250116E-3</v>
      </c>
      <c r="GO48">
        <f t="shared" si="152"/>
        <v>0.2308554017235655</v>
      </c>
      <c r="GQ48">
        <f t="shared" si="153"/>
        <v>26.833389437404826</v>
      </c>
      <c r="GR48">
        <f t="shared" si="154"/>
        <v>0.11200000000000002</v>
      </c>
      <c r="GS48">
        <f t="shared" si="31"/>
        <v>119223.03300000001</v>
      </c>
      <c r="GT48">
        <f t="shared" si="32"/>
        <v>5.0358372282124832E-3</v>
      </c>
      <c r="GU48">
        <f t="shared" si="155"/>
        <v>4.2162878374968115E-3</v>
      </c>
      <c r="GV48">
        <f t="shared" si="156"/>
        <v>1.1485552272822445E-2</v>
      </c>
      <c r="GW48">
        <f t="shared" si="157"/>
        <v>13.684579249475879</v>
      </c>
      <c r="GX48">
        <f t="shared" si="257"/>
        <v>2.7034898015011786E-6</v>
      </c>
      <c r="GY48">
        <f t="shared" si="229"/>
        <v>1.3194333361580362E-2</v>
      </c>
      <c r="GZ48">
        <f t="shared" si="158"/>
        <v>1573.0684417806965</v>
      </c>
      <c r="HA48">
        <f t="shared" si="230"/>
        <v>1.5600728189734301E-6</v>
      </c>
      <c r="HB48">
        <f t="shared" si="159"/>
        <v>1.2222491550806379E-3</v>
      </c>
      <c r="HC48">
        <f t="shared" si="160"/>
        <v>0.22470546055317109</v>
      </c>
      <c r="HE48">
        <f t="shared" si="161"/>
        <v>28.73108317413784</v>
      </c>
      <c r="HF48">
        <f t="shared" si="162"/>
        <v>0.11200000000000002</v>
      </c>
      <c r="HG48">
        <f t="shared" si="33"/>
        <v>119223.03300000001</v>
      </c>
      <c r="HH48">
        <f t="shared" si="34"/>
        <v>5.0358372282124832E-3</v>
      </c>
      <c r="HI48">
        <f t="shared" si="263"/>
        <v>4.2162878374968115E-3</v>
      </c>
      <c r="HJ48">
        <f t="shared" si="164"/>
        <v>1.1485552272822445E-2</v>
      </c>
      <c r="HK48">
        <f t="shared" si="165"/>
        <v>13.684579249475879</v>
      </c>
      <c r="HL48">
        <f t="shared" si="258"/>
        <v>2.632845136646225E-6</v>
      </c>
      <c r="HM48">
        <f t="shared" si="231"/>
        <v>1.2758039215348339E-2</v>
      </c>
      <c r="HN48">
        <f t="shared" si="166"/>
        <v>1521.0521303867692</v>
      </c>
      <c r="HO48">
        <f t="shared" si="232"/>
        <v>1.5340626997583591E-6</v>
      </c>
      <c r="HP48">
        <f t="shared" si="167"/>
        <v>1.1745373084582876E-3</v>
      </c>
      <c r="HQ48">
        <f t="shared" si="168"/>
        <v>0.21883370104328051</v>
      </c>
      <c r="HS48">
        <f t="shared" si="169"/>
        <v>30.628776910870855</v>
      </c>
      <c r="HT48">
        <f t="shared" si="170"/>
        <v>0.11200000000000002</v>
      </c>
      <c r="HU48">
        <f t="shared" si="35"/>
        <v>119223.03300000001</v>
      </c>
      <c r="HV48">
        <f t="shared" si="36"/>
        <v>5.0358372282124832E-3</v>
      </c>
      <c r="HW48">
        <f t="shared" si="264"/>
        <v>4.2162878374968115E-3</v>
      </c>
      <c r="HX48">
        <f t="shared" si="172"/>
        <v>1.1485552272822445E-2</v>
      </c>
      <c r="HY48">
        <f t="shared" si="173"/>
        <v>13.684579249475879</v>
      </c>
      <c r="HZ48">
        <f t="shared" si="259"/>
        <v>2.5653497437058655E-6</v>
      </c>
      <c r="IA48">
        <f t="shared" si="233"/>
        <v>1.2342857407649819E-2</v>
      </c>
      <c r="IB48">
        <f t="shared" si="174"/>
        <v>1471.552896026529</v>
      </c>
      <c r="IC48">
        <f t="shared" si="234"/>
        <v>1.5088949319935572E-6</v>
      </c>
      <c r="ID48">
        <f t="shared" si="175"/>
        <v>1.1292914314965645E-3</v>
      </c>
      <c r="IE48">
        <f t="shared" si="176"/>
        <v>0.21322369898318058</v>
      </c>
      <c r="IG48">
        <f t="shared" si="177"/>
        <v>32.526470647603865</v>
      </c>
      <c r="IH48">
        <f t="shared" si="178"/>
        <v>0.11200000000000002</v>
      </c>
      <c r="II48">
        <f t="shared" si="37"/>
        <v>119223.03300000001</v>
      </c>
      <c r="IJ48">
        <f t="shared" si="38"/>
        <v>5.0358372282124832E-3</v>
      </c>
      <c r="IK48">
        <f t="shared" si="265"/>
        <v>4.2162878374968115E-3</v>
      </c>
      <c r="IL48">
        <f t="shared" si="180"/>
        <v>1.1485552272822445E-2</v>
      </c>
      <c r="IM48">
        <f t="shared" si="181"/>
        <v>13.684579249475879</v>
      </c>
      <c r="IN48">
        <f t="shared" si="260"/>
        <v>2.5008198231404536E-6</v>
      </c>
      <c r="IO48">
        <f t="shared" si="235"/>
        <v>1.1947495693935186E-2</v>
      </c>
      <c r="IP48">
        <f t="shared" si="182"/>
        <v>1424.4166733853926</v>
      </c>
      <c r="IQ48">
        <f t="shared" si="236"/>
        <v>1.4845320744402911E-6</v>
      </c>
      <c r="IR48">
        <f t="shared" si="183"/>
        <v>1.086355075312547E-3</v>
      </c>
      <c r="IS48">
        <f t="shared" si="184"/>
        <v>0.20786017754061445</v>
      </c>
      <c r="IU48">
        <f t="shared" si="185"/>
        <v>34.424164384336883</v>
      </c>
      <c r="IV48">
        <f t="shared" si="186"/>
        <v>0.11200000000000002</v>
      </c>
      <c r="IW48">
        <f t="shared" si="39"/>
        <v>119223.03300000001</v>
      </c>
      <c r="IX48">
        <f t="shared" si="40"/>
        <v>5.0358372282124832E-3</v>
      </c>
      <c r="IY48">
        <f t="shared" si="266"/>
        <v>4.2162878374968115E-3</v>
      </c>
      <c r="IZ48">
        <f t="shared" si="188"/>
        <v>1.1485552272822445E-2</v>
      </c>
      <c r="JA48">
        <f t="shared" si="189"/>
        <v>13.684579249475879</v>
      </c>
      <c r="JB48">
        <f t="shared" si="261"/>
        <v>2.4390842936398594E-6</v>
      </c>
      <c r="JC48">
        <f t="shared" si="237"/>
        <v>1.1570754398741875E-2</v>
      </c>
      <c r="JD48">
        <f t="shared" si="190"/>
        <v>1379.5004335160979</v>
      </c>
      <c r="JE48">
        <f t="shared" si="238"/>
        <v>1.4609386596807996E-6</v>
      </c>
      <c r="JF48">
        <f t="shared" si="191"/>
        <v>1.045583276198421E-3</v>
      </c>
      <c r="JG48">
        <f t="shared" si="192"/>
        <v>0.20272891698204976</v>
      </c>
      <c r="JI48">
        <f t="shared" si="193"/>
        <v>36.321858121069894</v>
      </c>
      <c r="JJ48">
        <f t="shared" si="194"/>
        <v>0.11200000000000002</v>
      </c>
      <c r="JK48">
        <f t="shared" si="41"/>
        <v>119223.03300000001</v>
      </c>
      <c r="JL48">
        <f t="shared" si="42"/>
        <v>5.0358372282124832E-3</v>
      </c>
      <c r="JM48">
        <f t="shared" si="267"/>
        <v>4.2162878374968115E-3</v>
      </c>
      <c r="JN48">
        <f t="shared" si="196"/>
        <v>1.1485552272822445E-2</v>
      </c>
      <c r="JO48">
        <f t="shared" si="197"/>
        <v>13.684579249475879</v>
      </c>
      <c r="JP48">
        <f t="shared" si="262"/>
        <v>2.3799837993884445E-6</v>
      </c>
      <c r="JQ48">
        <f t="shared" si="239"/>
        <v>1.1211518989467699E-2</v>
      </c>
      <c r="JR48">
        <f t="shared" si="198"/>
        <v>1336.6712984614342</v>
      </c>
      <c r="JS48">
        <f t="shared" si="240"/>
        <v>1.438081079423642E-6</v>
      </c>
      <c r="JT48">
        <f t="shared" si="199"/>
        <v>1.0068416170451592E-3</v>
      </c>
      <c r="JU48">
        <f t="shared" si="200"/>
        <v>0.19781667215970566</v>
      </c>
    </row>
    <row r="49" spans="2:281">
      <c r="B49">
        <v>0.15</v>
      </c>
      <c r="C49">
        <f t="shared" si="43"/>
        <v>0.28465406050995218</v>
      </c>
      <c r="D49">
        <f t="shared" si="44"/>
        <v>0.12000000000000001</v>
      </c>
      <c r="E49">
        <f t="shared" si="3"/>
        <v>119038.60500000001</v>
      </c>
      <c r="F49">
        <f t="shared" si="4"/>
        <v>5.0384365814775426E-3</v>
      </c>
      <c r="G49">
        <f t="shared" si="45"/>
        <v>4.2152000957663693E-3</v>
      </c>
      <c r="H49">
        <f t="shared" si="46"/>
        <v>1.1503346982652689E-2</v>
      </c>
      <c r="I49">
        <f t="shared" si="47"/>
        <v>13.698710062095433</v>
      </c>
      <c r="J49">
        <f t="shared" si="241"/>
        <v>4.1656678928235911E-6</v>
      </c>
      <c r="K49">
        <f t="shared" si="201"/>
        <v>2.3774597460263204E-2</v>
      </c>
      <c r="L49">
        <f t="shared" si="48"/>
        <v>2830.0949161062749</v>
      </c>
      <c r="M49">
        <f t="shared" si="202"/>
        <v>2.0925293664687712E-6</v>
      </c>
      <c r="N49">
        <f t="shared" si="203"/>
        <v>2.2177858002800227E-3</v>
      </c>
      <c r="O49">
        <f t="shared" si="49"/>
        <v>0.34623704585411019</v>
      </c>
      <c r="Q49">
        <f t="shared" si="50"/>
        <v>2.1823477972429663</v>
      </c>
      <c r="R49">
        <f t="shared" si="51"/>
        <v>0.12000000000000001</v>
      </c>
      <c r="S49">
        <f t="shared" si="5"/>
        <v>119038.60500000001</v>
      </c>
      <c r="T49">
        <f t="shared" si="6"/>
        <v>5.0384365814775426E-3</v>
      </c>
      <c r="U49">
        <f t="shared" si="52"/>
        <v>4.2152000957663693E-3</v>
      </c>
      <c r="V49">
        <f t="shared" si="53"/>
        <v>1.1503346982652689E-2</v>
      </c>
      <c r="W49">
        <f t="shared" si="54"/>
        <v>13.698710062095433</v>
      </c>
      <c r="X49">
        <f t="shared" si="242"/>
        <v>4.0212438177127297E-6</v>
      </c>
      <c r="Y49">
        <f t="shared" si="204"/>
        <v>2.2771428674167635E-2</v>
      </c>
      <c r="Z49">
        <f t="shared" si="55"/>
        <v>2710.6791032299152</v>
      </c>
      <c r="AA49">
        <f t="shared" si="205"/>
        <v>2.0479064548874299E-6</v>
      </c>
      <c r="AB49">
        <f t="shared" si="56"/>
        <v>2.1110212978054247E-3</v>
      </c>
      <c r="AC49">
        <f t="shared" si="57"/>
        <v>0.33423297678207908</v>
      </c>
      <c r="AE49">
        <f t="shared" si="58"/>
        <v>4.0800415339759812</v>
      </c>
      <c r="AF49">
        <f t="shared" si="59"/>
        <v>0.12000000000000001</v>
      </c>
      <c r="AG49">
        <f t="shared" si="7"/>
        <v>119038.60500000001</v>
      </c>
      <c r="AH49">
        <f t="shared" si="8"/>
        <v>5.0384365814775426E-3</v>
      </c>
      <c r="AI49">
        <f t="shared" si="60"/>
        <v>4.2152000957663693E-3</v>
      </c>
      <c r="AJ49">
        <f t="shared" si="61"/>
        <v>1.1503346982652689E-2</v>
      </c>
      <c r="AK49">
        <f t="shared" si="62"/>
        <v>13.698710062095433</v>
      </c>
      <c r="AL49">
        <f t="shared" si="243"/>
        <v>3.8847236681034517E-6</v>
      </c>
      <c r="AM49">
        <f t="shared" si="206"/>
        <v>2.1827225617014886E-2</v>
      </c>
      <c r="AN49">
        <f t="shared" si="63"/>
        <v>2598.2824884697166</v>
      </c>
      <c r="AO49">
        <f t="shared" si="207"/>
        <v>2.0049993868662572E-6</v>
      </c>
      <c r="AP49">
        <f t="shared" si="64"/>
        <v>2.0108766328796319E-3</v>
      </c>
      <c r="AQ49">
        <f t="shared" si="65"/>
        <v>0.32288585682042559</v>
      </c>
      <c r="AS49">
        <f t="shared" si="66"/>
        <v>5.9777352707089957</v>
      </c>
      <c r="AT49">
        <f t="shared" si="67"/>
        <v>0.12000000000000001</v>
      </c>
      <c r="AU49">
        <f t="shared" si="9"/>
        <v>119038.60500000001</v>
      </c>
      <c r="AV49">
        <f t="shared" si="10"/>
        <v>5.0384365814775426E-3</v>
      </c>
      <c r="AW49">
        <f t="shared" si="68"/>
        <v>4.2152000957663693E-3</v>
      </c>
      <c r="AX49">
        <f t="shared" si="69"/>
        <v>1.1503346982652689E-2</v>
      </c>
      <c r="AY49">
        <f t="shared" si="70"/>
        <v>13.698710062095433</v>
      </c>
      <c r="AZ49">
        <f t="shared" si="244"/>
        <v>3.755566500847377E-6</v>
      </c>
      <c r="BA49">
        <f t="shared" si="208"/>
        <v>2.0937774653105194E-2</v>
      </c>
      <c r="BB49">
        <f t="shared" si="71"/>
        <v>2492.4034865100016</v>
      </c>
      <c r="BC49">
        <f t="shared" si="209"/>
        <v>1.9637230417177164E-6</v>
      </c>
      <c r="BD49">
        <f t="shared" si="72"/>
        <v>1.9168641793415099E-3</v>
      </c>
      <c r="BE49">
        <f t="shared" si="73"/>
        <v>0.31215072449778691</v>
      </c>
      <c r="BG49">
        <f t="shared" si="74"/>
        <v>7.875429007442011</v>
      </c>
      <c r="BH49">
        <f t="shared" si="75"/>
        <v>0.12000000000000001</v>
      </c>
      <c r="BI49">
        <f t="shared" si="11"/>
        <v>119038.60500000001</v>
      </c>
      <c r="BJ49">
        <f t="shared" si="12"/>
        <v>5.0384365814775426E-3</v>
      </c>
      <c r="BK49">
        <f t="shared" si="76"/>
        <v>4.2152000957663693E-3</v>
      </c>
      <c r="BL49">
        <f t="shared" si="77"/>
        <v>1.1503346982652689E-2</v>
      </c>
      <c r="BM49">
        <f t="shared" si="78"/>
        <v>13.698710062095433</v>
      </c>
      <c r="BN49">
        <f t="shared" si="245"/>
        <v>3.6332739526969086E-6</v>
      </c>
      <c r="BO49">
        <f t="shared" si="210"/>
        <v>2.0099204366795818E-2</v>
      </c>
      <c r="BP49">
        <f t="shared" si="79"/>
        <v>2392.5812494332827</v>
      </c>
      <c r="BQ49">
        <f t="shared" si="211"/>
        <v>1.9239970792351768E-6</v>
      </c>
      <c r="BR49">
        <f t="shared" si="80"/>
        <v>1.8285367477955312E-3</v>
      </c>
      <c r="BS49">
        <f t="shared" si="81"/>
        <v>0.30198615744851859</v>
      </c>
      <c r="BU49">
        <f t="shared" si="82"/>
        <v>9.7731227441750246</v>
      </c>
      <c r="BV49">
        <f t="shared" si="83"/>
        <v>0.12000000000000001</v>
      </c>
      <c r="BW49">
        <f t="shared" si="13"/>
        <v>119038.60500000001</v>
      </c>
      <c r="BX49">
        <f t="shared" si="14"/>
        <v>5.0384365814775426E-3</v>
      </c>
      <c r="BY49">
        <f t="shared" si="84"/>
        <v>4.2152000957663693E-3</v>
      </c>
      <c r="BZ49">
        <f t="shared" si="85"/>
        <v>1.1503346982652689E-2</v>
      </c>
      <c r="CA49">
        <f t="shared" si="86"/>
        <v>13.698710062095433</v>
      </c>
      <c r="CB49">
        <f t="shared" si="246"/>
        <v>3.5173865456421143E-6</v>
      </c>
      <c r="CC49">
        <f t="shared" si="247"/>
        <v>1.9307955147161694E-2</v>
      </c>
      <c r="CD49">
        <f t="shared" si="87"/>
        <v>2298.3920461206981</v>
      </c>
      <c r="CE49">
        <f t="shared" si="248"/>
        <v>1.8857456562558504E-6</v>
      </c>
      <c r="CF49">
        <f t="shared" si="212"/>
        <v>1.7454839363772411E-3</v>
      </c>
      <c r="CG49">
        <f t="shared" si="88"/>
        <v>0.29235396532406499</v>
      </c>
      <c r="CI49">
        <f t="shared" si="89"/>
        <v>11.670816480908039</v>
      </c>
      <c r="CJ49">
        <f t="shared" si="90"/>
        <v>0.12000000000000001</v>
      </c>
      <c r="CK49">
        <f t="shared" si="15"/>
        <v>119038.60500000001</v>
      </c>
      <c r="CL49">
        <f t="shared" si="16"/>
        <v>5.0384365814775426E-3</v>
      </c>
      <c r="CM49">
        <f t="shared" si="91"/>
        <v>4.2152000957663693E-3</v>
      </c>
      <c r="CN49">
        <f t="shared" si="92"/>
        <v>1.1503346982652689E-2</v>
      </c>
      <c r="CO49">
        <f t="shared" si="93"/>
        <v>13.698710062095433</v>
      </c>
      <c r="CP49">
        <f t="shared" si="249"/>
        <v>3.4074803364378976E-6</v>
      </c>
      <c r="CQ49">
        <f t="shared" si="213"/>
        <v>1.8560751658940694E-2</v>
      </c>
      <c r="CR49">
        <f t="shared" si="94"/>
        <v>2209.4459852317364</v>
      </c>
      <c r="CS49">
        <f t="shared" si="214"/>
        <v>1.8488971600007971E-6</v>
      </c>
      <c r="CT49">
        <f t="shared" si="95"/>
        <v>1.6673288317762582E-3</v>
      </c>
      <c r="CU49">
        <f t="shared" si="96"/>
        <v>0.28321891131233046</v>
      </c>
      <c r="CW49">
        <f t="shared" si="97"/>
        <v>13.568510217641053</v>
      </c>
      <c r="CX49">
        <f t="shared" si="98"/>
        <v>0.12000000000000001</v>
      </c>
      <c r="CY49">
        <f t="shared" si="17"/>
        <v>119038.60500000001</v>
      </c>
      <c r="CZ49">
        <f t="shared" si="18"/>
        <v>5.0384365814775426E-3</v>
      </c>
      <c r="DA49">
        <f t="shared" si="99"/>
        <v>4.2152000957663693E-3</v>
      </c>
      <c r="DB49">
        <f t="shared" si="100"/>
        <v>1.1503346982652689E-2</v>
      </c>
      <c r="DC49">
        <f t="shared" si="101"/>
        <v>13.698710062095433</v>
      </c>
      <c r="DD49">
        <f t="shared" si="250"/>
        <v>3.3031638765385561E-6</v>
      </c>
      <c r="DE49">
        <f t="shared" si="215"/>
        <v>1.7854577912519171E-2</v>
      </c>
      <c r="DF49">
        <f t="shared" si="102"/>
        <v>2125.3840475700945</v>
      </c>
      <c r="DG49">
        <f t="shared" si="216"/>
        <v>1.8133839572641142E-6</v>
      </c>
      <c r="DH49">
        <f t="shared" si="103"/>
        <v>1.593725025369429E-3</v>
      </c>
      <c r="DI49">
        <f t="shared" si="104"/>
        <v>0.27454845945712392</v>
      </c>
      <c r="DK49">
        <f t="shared" si="105"/>
        <v>15.466203954374068</v>
      </c>
      <c r="DL49">
        <f t="shared" si="106"/>
        <v>0.12000000000000001</v>
      </c>
      <c r="DM49">
        <f t="shared" si="19"/>
        <v>119038.60500000001</v>
      </c>
      <c r="DN49">
        <f t="shared" si="20"/>
        <v>5.0384365814775426E-3</v>
      </c>
      <c r="DO49">
        <f t="shared" si="107"/>
        <v>4.2152000957663693E-3</v>
      </c>
      <c r="DP49">
        <f t="shared" si="108"/>
        <v>1.1503346982652689E-2</v>
      </c>
      <c r="DQ49">
        <f t="shared" si="109"/>
        <v>13.698710062095433</v>
      </c>
      <c r="DR49">
        <f t="shared" si="251"/>
        <v>3.2040754520992098E-6</v>
      </c>
      <c r="DS49">
        <f t="shared" si="217"/>
        <v>1.7186654675271043E-2</v>
      </c>
      <c r="DT49">
        <f t="shared" si="110"/>
        <v>2045.8753971609931</v>
      </c>
      <c r="DU49">
        <f t="shared" si="218"/>
        <v>1.7791421585663718E-6</v>
      </c>
      <c r="DV49">
        <f t="shared" si="111"/>
        <v>1.5243539129533802E-3</v>
      </c>
      <c r="DW49">
        <f t="shared" si="112"/>
        <v>0.266312545255869</v>
      </c>
      <c r="DY49">
        <f t="shared" si="113"/>
        <v>17.363897691107084</v>
      </c>
      <c r="DZ49">
        <f t="shared" si="114"/>
        <v>0.12000000000000001</v>
      </c>
      <c r="EA49">
        <f t="shared" si="21"/>
        <v>119038.60500000001</v>
      </c>
      <c r="EB49">
        <f t="shared" si="22"/>
        <v>5.0384365814775426E-3</v>
      </c>
      <c r="EC49">
        <f t="shared" si="115"/>
        <v>4.2152000957663693E-3</v>
      </c>
      <c r="ED49">
        <f t="shared" si="116"/>
        <v>1.1503346982652689E-2</v>
      </c>
      <c r="EE49">
        <f t="shared" si="117"/>
        <v>13.698710062095433</v>
      </c>
      <c r="EF49">
        <f t="shared" si="252"/>
        <v>3.1098805767863463E-6</v>
      </c>
      <c r="EG49">
        <f t="shared" si="219"/>
        <v>1.6554418993009353E-2</v>
      </c>
      <c r="EH49">
        <f t="shared" si="118"/>
        <v>1970.6149435133384</v>
      </c>
      <c r="EI49">
        <f t="shared" si="220"/>
        <v>1.7461113964288485E-6</v>
      </c>
      <c r="EJ49">
        <f t="shared" si="119"/>
        <v>1.4589222498191756E-3</v>
      </c>
      <c r="EK49">
        <f t="shared" si="120"/>
        <v>0.25848336727000326</v>
      </c>
      <c r="EM49">
        <f t="shared" si="121"/>
        <v>19.261591427840099</v>
      </c>
      <c r="EN49">
        <f t="shared" si="122"/>
        <v>0.12000000000000001</v>
      </c>
      <c r="EO49">
        <f t="shared" si="23"/>
        <v>119038.60500000001</v>
      </c>
      <c r="EP49">
        <f t="shared" si="24"/>
        <v>5.0384365814775426E-3</v>
      </c>
      <c r="EQ49">
        <f t="shared" si="123"/>
        <v>4.2152000957663693E-3</v>
      </c>
      <c r="ER49">
        <f t="shared" si="124"/>
        <v>1.1503346982652689E-2</v>
      </c>
      <c r="ES49">
        <f t="shared" si="125"/>
        <v>13.698710062095433</v>
      </c>
      <c r="ET49">
        <f t="shared" si="253"/>
        <v>3.0202697129008754E-6</v>
      </c>
      <c r="EU49">
        <f t="shared" si="221"/>
        <v>1.5955505613982051E-2</v>
      </c>
      <c r="EV49">
        <f t="shared" si="126"/>
        <v>1899.321130358092</v>
      </c>
      <c r="EW49">
        <f t="shared" si="222"/>
        <v>1.7142346169655164E-6</v>
      </c>
      <c r="EX49">
        <f t="shared" si="127"/>
        <v>1.3971599358223767E-3</v>
      </c>
      <c r="EY49">
        <f t="shared" si="128"/>
        <v>0.25103519771198557</v>
      </c>
      <c r="FA49">
        <f t="shared" si="129"/>
        <v>21.159285164573113</v>
      </c>
      <c r="FB49">
        <f t="shared" si="130"/>
        <v>0.12000000000000001</v>
      </c>
      <c r="FC49">
        <f t="shared" si="25"/>
        <v>119038.60500000001</v>
      </c>
      <c r="FD49">
        <f t="shared" si="26"/>
        <v>5.0384365814775426E-3</v>
      </c>
      <c r="FE49">
        <f t="shared" si="131"/>
        <v>4.2152000957663693E-3</v>
      </c>
      <c r="FF49">
        <f t="shared" si="132"/>
        <v>1.1503346982652689E-2</v>
      </c>
      <c r="FG49">
        <f t="shared" si="133"/>
        <v>13.698710062095433</v>
      </c>
      <c r="FH49">
        <f t="shared" si="254"/>
        <v>2.9349561987906582E-6</v>
      </c>
      <c r="FI49">
        <f t="shared" si="223"/>
        <v>1.5387730129035446E-2</v>
      </c>
      <c r="FJ49">
        <f t="shared" si="134"/>
        <v>1831.7339286768497</v>
      </c>
      <c r="FK49">
        <f t="shared" si="224"/>
        <v>1.6834578840289225E-6</v>
      </c>
      <c r="FL49">
        <f t="shared" si="135"/>
        <v>1.3388180077060208E-3</v>
      </c>
      <c r="FM49">
        <f t="shared" si="136"/>
        <v>0.24394421017842768</v>
      </c>
      <c r="FO49">
        <f t="shared" si="137"/>
        <v>23.056978901306127</v>
      </c>
      <c r="FP49">
        <f t="shared" si="138"/>
        <v>0.12000000000000001</v>
      </c>
      <c r="FQ49">
        <f t="shared" si="27"/>
        <v>119038.60500000001</v>
      </c>
      <c r="FR49">
        <f t="shared" si="28"/>
        <v>5.0384365814775426E-3</v>
      </c>
      <c r="FS49">
        <f t="shared" si="139"/>
        <v>4.2152000957663693E-3</v>
      </c>
      <c r="FT49">
        <f t="shared" si="140"/>
        <v>1.1503346982652689E-2</v>
      </c>
      <c r="FU49">
        <f t="shared" si="141"/>
        <v>13.698710062095433</v>
      </c>
      <c r="FV49">
        <f t="shared" si="255"/>
        <v>2.8536743627461524E-6</v>
      </c>
      <c r="FW49">
        <f t="shared" si="225"/>
        <v>1.4849073660539423E-2</v>
      </c>
      <c r="FX49">
        <f t="shared" si="142"/>
        <v>1767.6130140928565</v>
      </c>
      <c r="FY49">
        <f t="shared" si="226"/>
        <v>1.6537301951838931E-6</v>
      </c>
      <c r="FZ49">
        <f t="shared" si="143"/>
        <v>1.2836668182649657E-3</v>
      </c>
      <c r="GA49">
        <f t="shared" si="144"/>
        <v>0.23718832288310804</v>
      </c>
      <c r="GC49">
        <f t="shared" si="145"/>
        <v>24.954672638039142</v>
      </c>
      <c r="GD49">
        <f t="shared" si="146"/>
        <v>0.12000000000000001</v>
      </c>
      <c r="GE49">
        <f t="shared" si="29"/>
        <v>119038.60500000001</v>
      </c>
      <c r="GF49">
        <f t="shared" si="30"/>
        <v>5.0384365814775426E-3</v>
      </c>
      <c r="GG49">
        <f t="shared" si="147"/>
        <v>4.2152000957663693E-3</v>
      </c>
      <c r="GH49">
        <f t="shared" si="148"/>
        <v>1.1503346982652689E-2</v>
      </c>
      <c r="GI49">
        <f t="shared" si="149"/>
        <v>13.698710062095433</v>
      </c>
      <c r="GJ49">
        <f t="shared" si="256"/>
        <v>2.7761778055593992E-6</v>
      </c>
      <c r="GK49">
        <f t="shared" si="227"/>
        <v>1.4337668949661219E-2</v>
      </c>
      <c r="GL49">
        <f t="shared" si="150"/>
        <v>1706.736110719487</v>
      </c>
      <c r="GM49">
        <f t="shared" si="228"/>
        <v>1.6250033088197545E-6</v>
      </c>
      <c r="GN49">
        <f t="shared" si="151"/>
        <v>1.2314943840258975E-3</v>
      </c>
      <c r="GO49">
        <f t="shared" si="152"/>
        <v>0.23074705590874586</v>
      </c>
      <c r="GQ49">
        <f t="shared" si="153"/>
        <v>26.852366374772156</v>
      </c>
      <c r="GR49">
        <f t="shared" si="154"/>
        <v>0.12000000000000001</v>
      </c>
      <c r="GS49">
        <f t="shared" si="31"/>
        <v>119038.60500000001</v>
      </c>
      <c r="GT49">
        <f t="shared" si="32"/>
        <v>5.0384365814775426E-3</v>
      </c>
      <c r="GU49">
        <f t="shared" si="155"/>
        <v>4.2152000957663693E-3</v>
      </c>
      <c r="GV49">
        <f t="shared" si="156"/>
        <v>1.1503346982652689E-2</v>
      </c>
      <c r="GW49">
        <f t="shared" si="157"/>
        <v>13.698710062095433</v>
      </c>
      <c r="GX49">
        <f t="shared" si="257"/>
        <v>2.7022378357077941E-6</v>
      </c>
      <c r="GY49">
        <f t="shared" si="229"/>
        <v>1.3851787706791749E-2</v>
      </c>
      <c r="GZ49">
        <f t="shared" si="158"/>
        <v>1648.897485372639</v>
      </c>
      <c r="HA49">
        <f t="shared" si="230"/>
        <v>1.5972315817471108E-6</v>
      </c>
      <c r="HB49">
        <f t="shared" si="159"/>
        <v>1.1821048849849939E-3</v>
      </c>
      <c r="HC49">
        <f t="shared" si="160"/>
        <v>0.22460140114446053</v>
      </c>
      <c r="HE49">
        <f t="shared" si="161"/>
        <v>28.750060111505171</v>
      </c>
      <c r="HF49">
        <f t="shared" si="162"/>
        <v>0.12000000000000001</v>
      </c>
      <c r="HG49">
        <f t="shared" si="33"/>
        <v>119038.60500000001</v>
      </c>
      <c r="HH49">
        <f t="shared" si="34"/>
        <v>5.0384365814775426E-3</v>
      </c>
      <c r="HI49">
        <f t="shared" si="263"/>
        <v>4.2152000957663693E-3</v>
      </c>
      <c r="HJ49">
        <f t="shared" si="164"/>
        <v>1.1503346982652689E-2</v>
      </c>
      <c r="HK49">
        <f t="shared" si="165"/>
        <v>13.698710062095433</v>
      </c>
      <c r="HL49">
        <f t="shared" si="258"/>
        <v>2.6316420427212826E-6</v>
      </c>
      <c r="HM49">
        <f t="shared" si="231"/>
        <v>1.3389829103562942E-2</v>
      </c>
      <c r="HN49">
        <f t="shared" si="166"/>
        <v>1593.9065776765333</v>
      </c>
      <c r="HO49">
        <f t="shared" si="232"/>
        <v>1.570371816659361E-6</v>
      </c>
      <c r="HP49">
        <f t="shared" si="167"/>
        <v>1.1353173016173384E-3</v>
      </c>
      <c r="HQ49">
        <f t="shared" si="168"/>
        <v>0.21873370370859746</v>
      </c>
      <c r="HS49">
        <f t="shared" si="169"/>
        <v>30.647753848238182</v>
      </c>
      <c r="HT49">
        <f t="shared" si="170"/>
        <v>0.12000000000000001</v>
      </c>
      <c r="HU49">
        <f t="shared" si="35"/>
        <v>119038.60500000001</v>
      </c>
      <c r="HV49">
        <f t="shared" si="36"/>
        <v>5.0384365814775426E-3</v>
      </c>
      <c r="HW49">
        <f t="shared" si="264"/>
        <v>4.2152000957663693E-3</v>
      </c>
      <c r="HX49">
        <f t="shared" si="172"/>
        <v>1.1503346982652689E-2</v>
      </c>
      <c r="HY49">
        <f t="shared" si="173"/>
        <v>13.698710062095433</v>
      </c>
      <c r="HZ49">
        <f t="shared" si="259"/>
        <v>2.5641929957243936E-6</v>
      </c>
      <c r="IA49">
        <f t="shared" si="233"/>
        <v>1.2950309297111981E-2</v>
      </c>
      <c r="IB49">
        <f t="shared" si="174"/>
        <v>1541.5867530467408</v>
      </c>
      <c r="IC49">
        <f t="shared" si="234"/>
        <v>1.544383118871996E-6</v>
      </c>
      <c r="ID49">
        <f t="shared" si="175"/>
        <v>1.0909641758697752E-3</v>
      </c>
      <c r="IE49">
        <f t="shared" si="176"/>
        <v>0.21312755377568757</v>
      </c>
      <c r="IG49">
        <f t="shared" si="177"/>
        <v>32.545447584971193</v>
      </c>
      <c r="IH49">
        <f t="shared" si="178"/>
        <v>0.12000000000000001</v>
      </c>
      <c r="II49">
        <f t="shared" si="37"/>
        <v>119038.60500000001</v>
      </c>
      <c r="IJ49">
        <f t="shared" si="38"/>
        <v>5.0384365814775426E-3</v>
      </c>
      <c r="IK49">
        <f t="shared" si="265"/>
        <v>4.2152000957663693E-3</v>
      </c>
      <c r="IL49">
        <f t="shared" si="180"/>
        <v>1.1503346982652689E-2</v>
      </c>
      <c r="IM49">
        <f t="shared" si="181"/>
        <v>13.698710062095433</v>
      </c>
      <c r="IN49">
        <f t="shared" si="260"/>
        <v>2.4997070554301164E-6</v>
      </c>
      <c r="IO49">
        <f t="shared" si="235"/>
        <v>1.2531851888200194E-2</v>
      </c>
      <c r="IP49">
        <f t="shared" si="182"/>
        <v>1491.7741668379672</v>
      </c>
      <c r="IQ49">
        <f t="shared" si="236"/>
        <v>1.5192267617843351E-6</v>
      </c>
      <c r="IR49">
        <f t="shared" si="183"/>
        <v>1.0488904841903621E-3</v>
      </c>
      <c r="IS49">
        <f t="shared" si="184"/>
        <v>0.20776768783316257</v>
      </c>
      <c r="IU49">
        <f t="shared" si="185"/>
        <v>34.443141321704211</v>
      </c>
      <c r="IV49">
        <f t="shared" si="186"/>
        <v>0.12000000000000001</v>
      </c>
      <c r="IW49">
        <f t="shared" si="39"/>
        <v>119038.60500000001</v>
      </c>
      <c r="IX49">
        <f t="shared" si="40"/>
        <v>5.0384365814775426E-3</v>
      </c>
      <c r="IY49">
        <f t="shared" si="266"/>
        <v>4.2152000957663693E-3</v>
      </c>
      <c r="IZ49">
        <f t="shared" si="188"/>
        <v>1.1503346982652689E-2</v>
      </c>
      <c r="JA49">
        <f t="shared" si="189"/>
        <v>13.698710062095433</v>
      </c>
      <c r="JB49">
        <f t="shared" si="261"/>
        <v>2.4380132890165438E-6</v>
      </c>
      <c r="JC49">
        <f t="shared" si="237"/>
        <v>1.2133179224612611E-2</v>
      </c>
      <c r="JD49">
        <f t="shared" si="190"/>
        <v>1444.3167291128671</v>
      </c>
      <c r="JE49">
        <f t="shared" si="238"/>
        <v>1.4948660605386793E-6</v>
      </c>
      <c r="JF49">
        <f t="shared" si="191"/>
        <v>1.008952611849571E-3</v>
      </c>
      <c r="JG49">
        <f t="shared" si="192"/>
        <v>0.20263989848935818</v>
      </c>
      <c r="JI49">
        <f t="shared" si="193"/>
        <v>36.340835058437222</v>
      </c>
      <c r="JJ49">
        <f t="shared" si="194"/>
        <v>0.12000000000000001</v>
      </c>
      <c r="JK49">
        <f t="shared" si="41"/>
        <v>119038.60500000001</v>
      </c>
      <c r="JL49">
        <f t="shared" si="42"/>
        <v>5.0384365814775426E-3</v>
      </c>
      <c r="JM49">
        <f t="shared" si="267"/>
        <v>4.2152000957663693E-3</v>
      </c>
      <c r="JN49">
        <f t="shared" si="196"/>
        <v>1.1503346982652689E-2</v>
      </c>
      <c r="JO49">
        <f t="shared" si="197"/>
        <v>13.698710062095433</v>
      </c>
      <c r="JP49">
        <f t="shared" si="262"/>
        <v>2.3789524783532396E-6</v>
      </c>
      <c r="JQ49">
        <f t="shared" si="239"/>
        <v>1.175310447006654E-2</v>
      </c>
      <c r="JR49">
        <f t="shared" si="198"/>
        <v>1399.0731605359854</v>
      </c>
      <c r="JS49">
        <f t="shared" si="240"/>
        <v>1.4712662533806957E-6</v>
      </c>
      <c r="JT49">
        <f t="shared" si="199"/>
        <v>9.7101741888585701E-4</v>
      </c>
      <c r="JU49">
        <f t="shared" si="200"/>
        <v>0.19773095204044899</v>
      </c>
    </row>
    <row r="50" spans="2:281">
      <c r="B50">
        <v>0.16</v>
      </c>
      <c r="C50">
        <f t="shared" si="43"/>
        <v>0.30363099787728232</v>
      </c>
      <c r="D50">
        <f t="shared" si="44"/>
        <v>0.128</v>
      </c>
      <c r="E50">
        <f t="shared" si="3"/>
        <v>118854.17700000001</v>
      </c>
      <c r="F50">
        <f t="shared" si="4"/>
        <v>5.0410413099101952E-3</v>
      </c>
      <c r="G50">
        <f t="shared" si="45"/>
        <v>4.2141109487515895E-3</v>
      </c>
      <c r="H50">
        <f t="shared" si="46"/>
        <v>1.1521196917176374E-2</v>
      </c>
      <c r="I50">
        <f t="shared" si="47"/>
        <v>13.712877410300319</v>
      </c>
      <c r="J50">
        <f t="shared" si="241"/>
        <v>4.1633961858255029E-6</v>
      </c>
      <c r="K50">
        <f t="shared" si="201"/>
        <v>2.4967556281368684E-2</v>
      </c>
      <c r="L50">
        <f t="shared" si="48"/>
        <v>2967.4983535232554</v>
      </c>
      <c r="M50">
        <f t="shared" si="202"/>
        <v>2.1427243467157113E-6</v>
      </c>
      <c r="N50">
        <f t="shared" si="203"/>
        <v>2.163334891448012E-3</v>
      </c>
      <c r="O50">
        <f t="shared" si="49"/>
        <v>0.3460482288047676</v>
      </c>
      <c r="Q50">
        <f t="shared" si="50"/>
        <v>2.2013247346102967</v>
      </c>
      <c r="R50">
        <f t="shared" si="51"/>
        <v>0.128</v>
      </c>
      <c r="S50">
        <f t="shared" si="5"/>
        <v>118854.17700000001</v>
      </c>
      <c r="T50">
        <f t="shared" si="6"/>
        <v>5.0410413099101952E-3</v>
      </c>
      <c r="U50">
        <f t="shared" si="52"/>
        <v>4.2141109487515895E-3</v>
      </c>
      <c r="V50">
        <f t="shared" si="53"/>
        <v>1.1521196917176374E-2</v>
      </c>
      <c r="W50">
        <f t="shared" si="54"/>
        <v>13.712877410300319</v>
      </c>
      <c r="X50">
        <f t="shared" si="242"/>
        <v>4.019081470990728E-6</v>
      </c>
      <c r="Y50">
        <f t="shared" si="204"/>
        <v>2.3906958299454516E-2</v>
      </c>
      <c r="Z50">
        <f t="shared" si="55"/>
        <v>2841.4418532549862</v>
      </c>
      <c r="AA50">
        <f t="shared" si="205"/>
        <v>2.0967200469928974E-6</v>
      </c>
      <c r="AB50">
        <f t="shared" si="56"/>
        <v>2.0580835848834893E-3</v>
      </c>
      <c r="AC50">
        <f t="shared" si="57"/>
        <v>0.33405324941052644</v>
      </c>
      <c r="AE50">
        <f t="shared" si="58"/>
        <v>4.0990184713433111</v>
      </c>
      <c r="AF50">
        <f t="shared" si="59"/>
        <v>0.128</v>
      </c>
      <c r="AG50">
        <f t="shared" si="7"/>
        <v>118854.17700000001</v>
      </c>
      <c r="AH50">
        <f t="shared" si="8"/>
        <v>5.0410413099101952E-3</v>
      </c>
      <c r="AI50">
        <f t="shared" si="60"/>
        <v>4.2141109487515895E-3</v>
      </c>
      <c r="AJ50">
        <f t="shared" si="61"/>
        <v>1.1521196917176374E-2</v>
      </c>
      <c r="AK50">
        <f t="shared" si="62"/>
        <v>13.712877410300319</v>
      </c>
      <c r="AL50">
        <f t="shared" si="243"/>
        <v>3.8826639008713648E-6</v>
      </c>
      <c r="AM50">
        <f t="shared" si="206"/>
        <v>2.2908886892439105E-2</v>
      </c>
      <c r="AN50">
        <f t="shared" si="63"/>
        <v>2722.8168975869376</v>
      </c>
      <c r="AO50">
        <f t="shared" si="207"/>
        <v>2.0524863595056922E-6</v>
      </c>
      <c r="AP50">
        <f t="shared" si="64"/>
        <v>1.9593913549689314E-3</v>
      </c>
      <c r="AQ50">
        <f t="shared" si="65"/>
        <v>0.32271465552931605</v>
      </c>
      <c r="AS50">
        <f t="shared" si="66"/>
        <v>5.9967122080763255</v>
      </c>
      <c r="AT50">
        <f t="shared" si="67"/>
        <v>0.128</v>
      </c>
      <c r="AU50">
        <f t="shared" si="9"/>
        <v>118854.17700000001</v>
      </c>
      <c r="AV50">
        <f t="shared" si="10"/>
        <v>5.0410413099101952E-3</v>
      </c>
      <c r="AW50">
        <f t="shared" si="68"/>
        <v>4.2141109487515895E-3</v>
      </c>
      <c r="AX50">
        <f t="shared" si="69"/>
        <v>1.1521196917176374E-2</v>
      </c>
      <c r="AY50">
        <f t="shared" si="70"/>
        <v>13.712877410300319</v>
      </c>
      <c r="AZ50">
        <f t="shared" si="244"/>
        <v>3.753603031800887E-6</v>
      </c>
      <c r="BA50">
        <f t="shared" si="208"/>
        <v>2.1968866127907591E-2</v>
      </c>
      <c r="BB50">
        <f t="shared" si="71"/>
        <v>2611.0915032556336</v>
      </c>
      <c r="BC50">
        <f t="shared" si="209"/>
        <v>2.0099354345857589E-6</v>
      </c>
      <c r="BD50">
        <f t="shared" si="72"/>
        <v>1.8667736537589514E-3</v>
      </c>
      <c r="BE50">
        <f t="shared" si="73"/>
        <v>0.31198752720511419</v>
      </c>
      <c r="BG50">
        <f t="shared" si="74"/>
        <v>7.89440594480934</v>
      </c>
      <c r="BH50">
        <f t="shared" si="75"/>
        <v>0.128</v>
      </c>
      <c r="BI50">
        <f t="shared" si="11"/>
        <v>118854.17700000001</v>
      </c>
      <c r="BJ50">
        <f t="shared" si="12"/>
        <v>5.0410413099101952E-3</v>
      </c>
      <c r="BK50">
        <f t="shared" si="76"/>
        <v>4.2141109487515895E-3</v>
      </c>
      <c r="BL50">
        <f t="shared" si="77"/>
        <v>1.1521196917176374E-2</v>
      </c>
      <c r="BM50">
        <f t="shared" si="78"/>
        <v>13.712877410300319</v>
      </c>
      <c r="BN50">
        <f t="shared" si="245"/>
        <v>3.6314009585936443E-6</v>
      </c>
      <c r="BO50">
        <f t="shared" si="210"/>
        <v>2.108278404465409E-2</v>
      </c>
      <c r="BP50">
        <f t="shared" si="79"/>
        <v>2505.7769464960934</v>
      </c>
      <c r="BQ50">
        <f t="shared" si="211"/>
        <v>1.9689843562962952E-6</v>
      </c>
      <c r="BR50">
        <f t="shared" si="80"/>
        <v>1.7797861930201836E-3</v>
      </c>
      <c r="BS50">
        <f t="shared" si="81"/>
        <v>0.30183048014492614</v>
      </c>
      <c r="BU50">
        <f t="shared" si="82"/>
        <v>9.7920996815423553</v>
      </c>
      <c r="BV50">
        <f t="shared" si="83"/>
        <v>0.128</v>
      </c>
      <c r="BW50">
        <f t="shared" si="13"/>
        <v>118854.17700000001</v>
      </c>
      <c r="BX50">
        <f t="shared" si="14"/>
        <v>5.0410413099101952E-3</v>
      </c>
      <c r="BY50">
        <f t="shared" si="84"/>
        <v>4.2141109487515895E-3</v>
      </c>
      <c r="BZ50">
        <f t="shared" si="85"/>
        <v>1.1521196917176374E-2</v>
      </c>
      <c r="CA50">
        <f t="shared" si="86"/>
        <v>13.712877410300319</v>
      </c>
      <c r="CB50">
        <f t="shared" si="246"/>
        <v>3.5155986236196999E-6</v>
      </c>
      <c r="CC50">
        <f t="shared" si="247"/>
        <v>2.0246860274399998E-2</v>
      </c>
      <c r="CD50">
        <f t="shared" si="87"/>
        <v>2406.4239147478061</v>
      </c>
      <c r="CE50">
        <f t="shared" si="248"/>
        <v>1.9295548499356632E-6</v>
      </c>
      <c r="CF50">
        <f t="shared" si="212"/>
        <v>1.6980213058673318E-3</v>
      </c>
      <c r="CG50">
        <f t="shared" si="88"/>
        <v>0.29220535894084254</v>
      </c>
      <c r="CI50">
        <f t="shared" si="89"/>
        <v>11.68979341827537</v>
      </c>
      <c r="CJ50">
        <f t="shared" si="90"/>
        <v>0.128</v>
      </c>
      <c r="CK50">
        <f t="shared" si="15"/>
        <v>118854.17700000001</v>
      </c>
      <c r="CL50">
        <f t="shared" si="16"/>
        <v>5.0410413099101952E-3</v>
      </c>
      <c r="CM50">
        <f t="shared" si="91"/>
        <v>4.2141109487515895E-3</v>
      </c>
      <c r="CN50">
        <f t="shared" si="92"/>
        <v>1.1521196917176374E-2</v>
      </c>
      <c r="CO50">
        <f t="shared" si="93"/>
        <v>13.712877410300319</v>
      </c>
      <c r="CP50">
        <f t="shared" si="249"/>
        <v>3.4057724697111914E-6</v>
      </c>
      <c r="CQ50">
        <f t="shared" si="213"/>
        <v>1.9457616738201237E-2</v>
      </c>
      <c r="CR50">
        <f t="shared" si="94"/>
        <v>2312.6190238003328</v>
      </c>
      <c r="CS50">
        <f t="shared" si="214"/>
        <v>1.891573006851437E-6</v>
      </c>
      <c r="CT50">
        <f t="shared" si="95"/>
        <v>1.6211046579732936E-3</v>
      </c>
      <c r="CU50">
        <f t="shared" si="96"/>
        <v>0.28307695887027767</v>
      </c>
      <c r="CW50">
        <f t="shared" si="97"/>
        <v>13.587487155008384</v>
      </c>
      <c r="CX50">
        <f t="shared" si="98"/>
        <v>0.128</v>
      </c>
      <c r="CY50">
        <f t="shared" si="17"/>
        <v>118854.17700000001</v>
      </c>
      <c r="CZ50">
        <f t="shared" si="18"/>
        <v>5.0410413099101952E-3</v>
      </c>
      <c r="DA50">
        <f t="shared" si="99"/>
        <v>4.2141109487515895E-3</v>
      </c>
      <c r="DB50">
        <f t="shared" si="100"/>
        <v>1.1521196917176374E-2</v>
      </c>
      <c r="DC50">
        <f t="shared" si="101"/>
        <v>13.712877410300319</v>
      </c>
      <c r="DD50">
        <f t="shared" si="250"/>
        <v>3.3015314031532983E-6</v>
      </c>
      <c r="DE50">
        <f t="shared" si="215"/>
        <v>1.8711851111396637E-2</v>
      </c>
      <c r="DF50">
        <f t="shared" si="102"/>
        <v>2223.9816639915825</v>
      </c>
      <c r="DG50">
        <f t="shared" si="216"/>
        <v>1.8549690256077802E-6</v>
      </c>
      <c r="DH50">
        <f t="shared" si="103"/>
        <v>1.5486922732485205E-3</v>
      </c>
      <c r="DI50">
        <f t="shared" si="104"/>
        <v>0.27441277346945292</v>
      </c>
      <c r="DK50">
        <f t="shared" si="105"/>
        <v>15.485180891741399</v>
      </c>
      <c r="DL50">
        <f t="shared" si="106"/>
        <v>0.128</v>
      </c>
      <c r="DM50">
        <f t="shared" si="19"/>
        <v>118854.17700000001</v>
      </c>
      <c r="DN50">
        <f t="shared" si="20"/>
        <v>5.0410413099101952E-3</v>
      </c>
      <c r="DO50">
        <f t="shared" si="107"/>
        <v>4.2141109487515895E-3</v>
      </c>
      <c r="DP50">
        <f t="shared" si="108"/>
        <v>1.1521196917176374E-2</v>
      </c>
      <c r="DQ50">
        <f t="shared" si="109"/>
        <v>13.712877410300319</v>
      </c>
      <c r="DR50">
        <f t="shared" si="251"/>
        <v>3.2025140364515934E-6</v>
      </c>
      <c r="DS50">
        <f t="shared" si="217"/>
        <v>1.8006612782458329E-2</v>
      </c>
      <c r="DT50">
        <f t="shared" si="110"/>
        <v>2140.1611428167648</v>
      </c>
      <c r="DU50">
        <f t="shared" si="218"/>
        <v>1.8196769685931581E-6</v>
      </c>
      <c r="DV50">
        <f t="shared" si="111"/>
        <v>1.480467842519021E-3</v>
      </c>
      <c r="DW50">
        <f t="shared" si="112"/>
        <v>0.26618276536100205</v>
      </c>
      <c r="DY50">
        <f t="shared" si="113"/>
        <v>17.382874628474411</v>
      </c>
      <c r="DZ50">
        <f t="shared" si="114"/>
        <v>0.128</v>
      </c>
      <c r="EA50">
        <f t="shared" si="21"/>
        <v>118854.17700000001</v>
      </c>
      <c r="EB50">
        <f t="shared" si="22"/>
        <v>5.0410413099101952E-3</v>
      </c>
      <c r="EC50">
        <f t="shared" si="115"/>
        <v>4.2141109487515895E-3</v>
      </c>
      <c r="ED50">
        <f t="shared" si="116"/>
        <v>1.1521196917176374E-2</v>
      </c>
      <c r="EE50">
        <f t="shared" si="117"/>
        <v>13.712877410300319</v>
      </c>
      <c r="EF50">
        <f t="shared" si="252"/>
        <v>3.1083861836469542E-6</v>
      </c>
      <c r="EG50">
        <f t="shared" si="219"/>
        <v>1.7339181059304851E-2</v>
      </c>
      <c r="EH50">
        <f t="shared" si="118"/>
        <v>2060.8340946576664</v>
      </c>
      <c r="EI50">
        <f t="shared" si="220"/>
        <v>1.7856345331983496E-6</v>
      </c>
      <c r="EJ50">
        <f t="shared" si="119"/>
        <v>1.4161402869832496E-3</v>
      </c>
      <c r="EK50">
        <f t="shared" si="120"/>
        <v>0.25835915807252519</v>
      </c>
      <c r="EM50">
        <f t="shared" si="121"/>
        <v>19.280568365207426</v>
      </c>
      <c r="EN50">
        <f t="shared" si="122"/>
        <v>0.128</v>
      </c>
      <c r="EO50">
        <f t="shared" si="23"/>
        <v>118854.17700000001</v>
      </c>
      <c r="EP50">
        <f t="shared" si="24"/>
        <v>5.0410413099101952E-3</v>
      </c>
      <c r="EQ50">
        <f t="shared" si="123"/>
        <v>4.2141109487515895E-3</v>
      </c>
      <c r="ER50">
        <f t="shared" si="124"/>
        <v>1.1521196917176374E-2</v>
      </c>
      <c r="ES50">
        <f t="shared" si="125"/>
        <v>13.712877410300319</v>
      </c>
      <c r="ET50">
        <f t="shared" si="253"/>
        <v>3.0188385837074001E-6</v>
      </c>
      <c r="EU50">
        <f t="shared" si="221"/>
        <v>1.6707045401874898E-2</v>
      </c>
      <c r="EV50">
        <f t="shared" si="126"/>
        <v>1985.7021313414755</v>
      </c>
      <c r="EW50">
        <f t="shared" si="222"/>
        <v>1.7527828367363626E-6</v>
      </c>
      <c r="EX50">
        <f t="shared" si="127"/>
        <v>1.3554415511364511E-3</v>
      </c>
      <c r="EY50">
        <f t="shared" si="128"/>
        <v>0.25091624681216995</v>
      </c>
      <c r="FA50">
        <f t="shared" si="129"/>
        <v>21.17826210194044</v>
      </c>
      <c r="FB50">
        <f t="shared" si="130"/>
        <v>0.128</v>
      </c>
      <c r="FC50">
        <f t="shared" si="25"/>
        <v>118854.17700000001</v>
      </c>
      <c r="FD50">
        <f t="shared" si="26"/>
        <v>5.0410413099101952E-3</v>
      </c>
      <c r="FE50">
        <f t="shared" si="131"/>
        <v>4.2141109487515895E-3</v>
      </c>
      <c r="FF50">
        <f t="shared" si="132"/>
        <v>1.1521196917176374E-2</v>
      </c>
      <c r="FG50">
        <f t="shared" si="133"/>
        <v>13.712877410300319</v>
      </c>
      <c r="FH50">
        <f t="shared" si="254"/>
        <v>2.9335848299971129E-6</v>
      </c>
      <c r="FI50">
        <f t="shared" si="223"/>
        <v>1.6107887482349665E-2</v>
      </c>
      <c r="FJ50">
        <f t="shared" si="134"/>
        <v>1914.4897099232717</v>
      </c>
      <c r="FK50">
        <f t="shared" si="224"/>
        <v>1.7210662143161171E-6</v>
      </c>
      <c r="FL50">
        <f t="shared" si="135"/>
        <v>1.2981246024532822E-3</v>
      </c>
      <c r="FM50">
        <f t="shared" si="136"/>
        <v>0.24383022637269233</v>
      </c>
      <c r="FO50">
        <f t="shared" si="137"/>
        <v>23.075955838673455</v>
      </c>
      <c r="FP50">
        <f t="shared" si="138"/>
        <v>0.128</v>
      </c>
      <c r="FQ50">
        <f t="shared" si="27"/>
        <v>118854.17700000001</v>
      </c>
      <c r="FR50">
        <f t="shared" si="28"/>
        <v>5.0410413099101952E-3</v>
      </c>
      <c r="FS50">
        <f t="shared" si="139"/>
        <v>4.2141109487515895E-3</v>
      </c>
      <c r="FT50">
        <f t="shared" si="140"/>
        <v>1.1521196917176374E-2</v>
      </c>
      <c r="FU50">
        <f t="shared" si="141"/>
        <v>13.712877410300319</v>
      </c>
      <c r="FV50">
        <f t="shared" si="255"/>
        <v>2.8523594860371858E-6</v>
      </c>
      <c r="FW50">
        <f t="shared" si="225"/>
        <v>1.5539564894641474E-2</v>
      </c>
      <c r="FX50">
        <f t="shared" si="142"/>
        <v>1846.9421964907042</v>
      </c>
      <c r="FY50">
        <f t="shared" si="226"/>
        <v>1.6904320289210353E-6</v>
      </c>
      <c r="FZ50">
        <f t="shared" si="143"/>
        <v>1.2439616174480946E-3</v>
      </c>
      <c r="GA50">
        <f t="shared" si="144"/>
        <v>0.23707903451949192</v>
      </c>
      <c r="GC50">
        <f t="shared" si="145"/>
        <v>24.973649575406469</v>
      </c>
      <c r="GD50">
        <f t="shared" si="146"/>
        <v>0.128</v>
      </c>
      <c r="GE50">
        <f t="shared" si="29"/>
        <v>118854.17700000001</v>
      </c>
      <c r="GF50">
        <f t="shared" si="30"/>
        <v>5.0410413099101952E-3</v>
      </c>
      <c r="GG50">
        <f t="shared" si="147"/>
        <v>4.2141109487515895E-3</v>
      </c>
      <c r="GH50">
        <f t="shared" si="148"/>
        <v>1.1521196917176374E-2</v>
      </c>
      <c r="GI50">
        <f t="shared" si="149"/>
        <v>13.712877410300319</v>
      </c>
      <c r="GJ50">
        <f t="shared" si="256"/>
        <v>2.7749163697571029E-6</v>
      </c>
      <c r="GK50">
        <f t="shared" si="227"/>
        <v>1.5000096352875646E-2</v>
      </c>
      <c r="GL50">
        <f t="shared" si="150"/>
        <v>1782.8241069417368</v>
      </c>
      <c r="GM50">
        <f t="shared" si="228"/>
        <v>1.6608304929812897E-6</v>
      </c>
      <c r="GN50">
        <f t="shared" si="151"/>
        <v>1.1927423358165652E-3</v>
      </c>
      <c r="GO50">
        <f t="shared" si="152"/>
        <v>0.23064220938306049</v>
      </c>
      <c r="GQ50">
        <f t="shared" si="153"/>
        <v>26.871343312139484</v>
      </c>
      <c r="GR50">
        <f t="shared" si="154"/>
        <v>0.128</v>
      </c>
      <c r="GS50">
        <f t="shared" si="31"/>
        <v>118854.17700000001</v>
      </c>
      <c r="GT50">
        <f t="shared" si="32"/>
        <v>5.0410413099101952E-3</v>
      </c>
      <c r="GU50">
        <f t="shared" si="155"/>
        <v>4.2141109487515895E-3</v>
      </c>
      <c r="GV50">
        <f t="shared" si="156"/>
        <v>1.1521196917176374E-2</v>
      </c>
      <c r="GW50">
        <f t="shared" si="157"/>
        <v>13.712877410300319</v>
      </c>
      <c r="GX50">
        <f t="shared" si="257"/>
        <v>2.7010269902152517E-6</v>
      </c>
      <c r="GY50">
        <f t="shared" si="229"/>
        <v>1.4487648234817699E-2</v>
      </c>
      <c r="GZ50">
        <f t="shared" si="158"/>
        <v>1721.9175076147606</v>
      </c>
      <c r="HA50">
        <f t="shared" si="230"/>
        <v>1.6322145007650913E-6</v>
      </c>
      <c r="HB50">
        <f t="shared" si="159"/>
        <v>1.1442725662280638E-3</v>
      </c>
      <c r="HC50">
        <f t="shared" si="160"/>
        <v>0.22450075952417056</v>
      </c>
      <c r="HE50">
        <f t="shared" si="161"/>
        <v>28.769037048872498</v>
      </c>
      <c r="HF50">
        <f t="shared" si="162"/>
        <v>0.128</v>
      </c>
      <c r="HG50">
        <f t="shared" si="33"/>
        <v>118854.17700000001</v>
      </c>
      <c r="HH50">
        <f t="shared" si="34"/>
        <v>5.0410413099101952E-3</v>
      </c>
      <c r="HI50">
        <f t="shared" si="263"/>
        <v>4.2141109487515895E-3</v>
      </c>
      <c r="HJ50">
        <f t="shared" si="164"/>
        <v>1.1521196917176374E-2</v>
      </c>
      <c r="HK50">
        <f t="shared" si="165"/>
        <v>13.712877410300319</v>
      </c>
      <c r="HL50">
        <f t="shared" si="258"/>
        <v>2.6304791223622433E-6</v>
      </c>
      <c r="HM50">
        <f t="shared" si="231"/>
        <v>1.4000522340730777E-2</v>
      </c>
      <c r="HN50">
        <f t="shared" si="166"/>
        <v>1664.0205603776701</v>
      </c>
      <c r="HO50">
        <f t="shared" si="232"/>
        <v>1.6045394709495727E-6</v>
      </c>
      <c r="HP50">
        <f t="shared" si="167"/>
        <v>1.0983728290086044E-3</v>
      </c>
      <c r="HQ50">
        <f t="shared" si="168"/>
        <v>0.21863704547274265</v>
      </c>
      <c r="HS50">
        <f t="shared" si="169"/>
        <v>30.666730785605512</v>
      </c>
      <c r="HT50">
        <f t="shared" si="170"/>
        <v>0.128</v>
      </c>
      <c r="HU50">
        <f t="shared" si="35"/>
        <v>118854.17700000001</v>
      </c>
      <c r="HV50">
        <f t="shared" si="36"/>
        <v>5.0410413099101952E-3</v>
      </c>
      <c r="HW50">
        <f t="shared" si="264"/>
        <v>4.2141109487515895E-3</v>
      </c>
      <c r="HX50">
        <f t="shared" si="172"/>
        <v>1.1521196917176374E-2</v>
      </c>
      <c r="HY50">
        <f t="shared" si="173"/>
        <v>13.712877410300319</v>
      </c>
      <c r="HZ50">
        <f t="shared" si="259"/>
        <v>2.5630755068520808E-6</v>
      </c>
      <c r="IA50">
        <f t="shared" si="233"/>
        <v>1.3537144751171445E-2</v>
      </c>
      <c r="IB50">
        <f t="shared" si="174"/>
        <v>1608.946198330352</v>
      </c>
      <c r="IC50">
        <f t="shared" si="234"/>
        <v>1.5777631987656937E-6</v>
      </c>
      <c r="ID50">
        <f t="shared" si="175"/>
        <v>1.0548771224502811E-3</v>
      </c>
      <c r="IE50">
        <f t="shared" si="176"/>
        <v>0.21303467166029114</v>
      </c>
      <c r="IG50">
        <f t="shared" si="177"/>
        <v>32.564424522338527</v>
      </c>
      <c r="IH50">
        <f t="shared" si="178"/>
        <v>0.128</v>
      </c>
      <c r="II50">
        <f t="shared" si="37"/>
        <v>118854.17700000001</v>
      </c>
      <c r="IJ50">
        <f t="shared" si="38"/>
        <v>5.0410413099101952E-3</v>
      </c>
      <c r="IK50">
        <f t="shared" si="265"/>
        <v>4.2141109487515895E-3</v>
      </c>
      <c r="IL50">
        <f t="shared" si="180"/>
        <v>1.1521196917176374E-2</v>
      </c>
      <c r="IM50">
        <f t="shared" si="181"/>
        <v>13.712877410300319</v>
      </c>
      <c r="IN50">
        <f t="shared" si="260"/>
        <v>2.4986326631904046E-6</v>
      </c>
      <c r="IO50">
        <f t="shared" si="235"/>
        <v>1.3096055678904768E-2</v>
      </c>
      <c r="IP50">
        <f t="shared" si="182"/>
        <v>1556.5209196624025</v>
      </c>
      <c r="IQ50">
        <f t="shared" si="236"/>
        <v>1.5518457171442004E-6</v>
      </c>
      <c r="IR50">
        <f t="shared" si="183"/>
        <v>1.013631800823039E-3</v>
      </c>
      <c r="IS50">
        <f t="shared" si="184"/>
        <v>0.20767838777258713</v>
      </c>
      <c r="IU50">
        <f t="shared" si="185"/>
        <v>34.462118259071545</v>
      </c>
      <c r="IV50">
        <f t="shared" si="186"/>
        <v>0.128</v>
      </c>
      <c r="IW50">
        <f t="shared" si="39"/>
        <v>118854.17700000001</v>
      </c>
      <c r="IX50">
        <f t="shared" si="40"/>
        <v>5.0410413099101952E-3</v>
      </c>
      <c r="IY50">
        <f t="shared" si="266"/>
        <v>4.2141109487515895E-3</v>
      </c>
      <c r="IZ50">
        <f t="shared" si="188"/>
        <v>1.1521196917176374E-2</v>
      </c>
      <c r="JA50">
        <f t="shared" si="189"/>
        <v>13.712877410300319</v>
      </c>
      <c r="JB50">
        <f t="shared" si="261"/>
        <v>2.4369798056617543E-6</v>
      </c>
      <c r="JC50">
        <f t="shared" si="237"/>
        <v>1.2675900220586005E-2</v>
      </c>
      <c r="JD50">
        <f t="shared" si="190"/>
        <v>1506.5836884518683</v>
      </c>
      <c r="JE50">
        <f t="shared" si="238"/>
        <v>1.5267491663209998E-6</v>
      </c>
      <c r="JF50">
        <f t="shared" si="191"/>
        <v>9.7449455336517628E-4</v>
      </c>
      <c r="JG50">
        <f t="shared" si="192"/>
        <v>0.20255399864498552</v>
      </c>
      <c r="JI50">
        <f t="shared" si="193"/>
        <v>36.359811995804556</v>
      </c>
      <c r="JJ50">
        <f t="shared" si="194"/>
        <v>0.128</v>
      </c>
      <c r="JK50">
        <f t="shared" si="41"/>
        <v>118854.17700000001</v>
      </c>
      <c r="JL50">
        <f t="shared" si="42"/>
        <v>5.0410413099101952E-3</v>
      </c>
      <c r="JM50">
        <f t="shared" si="267"/>
        <v>4.2141109487515895E-3</v>
      </c>
      <c r="JN50">
        <f t="shared" si="196"/>
        <v>1.1521196917176374E-2</v>
      </c>
      <c r="JO50">
        <f t="shared" si="197"/>
        <v>13.712877410300319</v>
      </c>
      <c r="JP50">
        <f t="shared" si="262"/>
        <v>2.3779578525126963E-6</v>
      </c>
      <c r="JQ50">
        <f t="shared" si="239"/>
        <v>1.2275419923236523E-2</v>
      </c>
      <c r="JR50">
        <f t="shared" si="198"/>
        <v>1458.9849323056803</v>
      </c>
      <c r="JS50">
        <f t="shared" si="240"/>
        <v>1.5024376713900082E-6</v>
      </c>
      <c r="JT50">
        <f t="shared" si="199"/>
        <v>9.3733347460516717E-4</v>
      </c>
      <c r="JU50">
        <f t="shared" si="200"/>
        <v>0.19764828190888301</v>
      </c>
    </row>
    <row r="51" spans="2:281">
      <c r="B51">
        <v>0.17</v>
      </c>
      <c r="C51">
        <f t="shared" si="43"/>
        <v>0.32260793524461245</v>
      </c>
      <c r="D51">
        <f t="shared" si="44"/>
        <v>0.13600000000000001</v>
      </c>
      <c r="E51">
        <f t="shared" si="3"/>
        <v>118669.74900000001</v>
      </c>
      <c r="F51">
        <f t="shared" si="4"/>
        <v>5.0436514329923214E-3</v>
      </c>
      <c r="G51">
        <f t="shared" si="45"/>
        <v>4.2130203924521121E-3</v>
      </c>
      <c r="H51">
        <f t="shared" si="46"/>
        <v>1.1539102333872259E-2</v>
      </c>
      <c r="I51">
        <f t="shared" si="47"/>
        <v>13.72708144546732</v>
      </c>
      <c r="J51">
        <f t="shared" si="241"/>
        <v>4.1611802536054078E-6</v>
      </c>
      <c r="K51">
        <f t="shared" si="201"/>
        <v>2.6131225667939885E-2</v>
      </c>
      <c r="L51">
        <f t="shared" si="48"/>
        <v>3100.9859910767836</v>
      </c>
      <c r="M51">
        <f t="shared" si="202"/>
        <v>2.1903875541567144E-6</v>
      </c>
      <c r="N51">
        <f t="shared" si="203"/>
        <v>2.1115731127182721E-3</v>
      </c>
      <c r="O51">
        <f t="shared" si="49"/>
        <v>0.34586404757730577</v>
      </c>
      <c r="Q51">
        <f t="shared" si="50"/>
        <v>2.220301671977627</v>
      </c>
      <c r="R51">
        <f t="shared" si="51"/>
        <v>0.13600000000000001</v>
      </c>
      <c r="S51">
        <f t="shared" si="5"/>
        <v>118669.74900000001</v>
      </c>
      <c r="T51">
        <f t="shared" si="6"/>
        <v>5.0436514329923214E-3</v>
      </c>
      <c r="U51">
        <f t="shared" si="52"/>
        <v>4.2130203924521121E-3</v>
      </c>
      <c r="V51">
        <f t="shared" si="53"/>
        <v>1.1539102333872259E-2</v>
      </c>
      <c r="W51">
        <f t="shared" si="54"/>
        <v>13.72708144546732</v>
      </c>
      <c r="X51">
        <f t="shared" si="242"/>
        <v>4.0169733490603592E-6</v>
      </c>
      <c r="Y51">
        <f t="shared" si="204"/>
        <v>2.5014012446364992E-2</v>
      </c>
      <c r="Z51">
        <f t="shared" si="55"/>
        <v>2968.4065784930099</v>
      </c>
      <c r="AA51">
        <f t="shared" si="205"/>
        <v>2.1430522200020966E-6</v>
      </c>
      <c r="AB51">
        <f t="shared" si="56"/>
        <v>2.0077816771804551E-3</v>
      </c>
      <c r="AC51">
        <f t="shared" si="57"/>
        <v>0.33387802903092573</v>
      </c>
      <c r="AE51">
        <f t="shared" si="58"/>
        <v>4.117995408710641</v>
      </c>
      <c r="AF51">
        <f t="shared" si="59"/>
        <v>0.13600000000000001</v>
      </c>
      <c r="AG51">
        <f t="shared" si="7"/>
        <v>118669.74900000001</v>
      </c>
      <c r="AH51">
        <f t="shared" si="8"/>
        <v>5.0436514329923214E-3</v>
      </c>
      <c r="AI51">
        <f t="shared" si="60"/>
        <v>4.2130203924521121E-3</v>
      </c>
      <c r="AJ51">
        <f t="shared" si="61"/>
        <v>1.1539102333872259E-2</v>
      </c>
      <c r="AK51">
        <f t="shared" si="62"/>
        <v>13.72708144546732</v>
      </c>
      <c r="AL51">
        <f t="shared" si="243"/>
        <v>3.8806568706827352E-6</v>
      </c>
      <c r="AM51">
        <f t="shared" si="206"/>
        <v>2.3962853962032949E-2</v>
      </c>
      <c r="AN51">
        <f t="shared" si="63"/>
        <v>2843.6658649981059</v>
      </c>
      <c r="AO51">
        <f t="shared" si="207"/>
        <v>2.0975404434922884E-6</v>
      </c>
      <c r="AP51">
        <f t="shared" si="64"/>
        <v>1.9104904871805552E-3</v>
      </c>
      <c r="AQ51">
        <f t="shared" si="65"/>
        <v>0.32254783757326916</v>
      </c>
      <c r="AS51">
        <f t="shared" si="66"/>
        <v>6.0156891454436554</v>
      </c>
      <c r="AT51">
        <f t="shared" si="67"/>
        <v>0.13600000000000001</v>
      </c>
      <c r="AU51">
        <f t="shared" si="9"/>
        <v>118669.74900000001</v>
      </c>
      <c r="AV51">
        <f t="shared" si="10"/>
        <v>5.0436514329923214E-3</v>
      </c>
      <c r="AW51">
        <f t="shared" si="68"/>
        <v>4.2130203924521121E-3</v>
      </c>
      <c r="AX51">
        <f t="shared" si="69"/>
        <v>1.1539102333872259E-2</v>
      </c>
      <c r="AY51">
        <f t="shared" si="70"/>
        <v>13.72708144546732</v>
      </c>
      <c r="AZ51">
        <f t="shared" si="244"/>
        <v>3.7516908711348049E-6</v>
      </c>
      <c r="BA51">
        <f t="shared" si="208"/>
        <v>2.297301364160248E-2</v>
      </c>
      <c r="BB51">
        <f t="shared" si="71"/>
        <v>2726.2017626225424</v>
      </c>
      <c r="BC51">
        <f t="shared" si="209"/>
        <v>2.053761735661694E-6</v>
      </c>
      <c r="BD51">
        <f t="shared" si="72"/>
        <v>1.8192179780090255E-3</v>
      </c>
      <c r="BE51">
        <f t="shared" si="73"/>
        <v>0.31182859450158223</v>
      </c>
      <c r="BG51">
        <f t="shared" si="74"/>
        <v>7.9133828821766699</v>
      </c>
      <c r="BH51">
        <f t="shared" si="75"/>
        <v>0.13600000000000001</v>
      </c>
      <c r="BI51">
        <f t="shared" si="11"/>
        <v>118669.74900000001</v>
      </c>
      <c r="BJ51">
        <f t="shared" si="12"/>
        <v>5.0436514329923214E-3</v>
      </c>
      <c r="BK51">
        <f t="shared" si="76"/>
        <v>4.2130203924521121E-3</v>
      </c>
      <c r="BL51">
        <f t="shared" si="77"/>
        <v>1.1539102333872259E-2</v>
      </c>
      <c r="BM51">
        <f t="shared" si="78"/>
        <v>13.72708144546732</v>
      </c>
      <c r="BN51">
        <f t="shared" si="245"/>
        <v>3.6295779003211663E-6</v>
      </c>
      <c r="BO51">
        <f t="shared" si="210"/>
        <v>2.2040140538855224E-2</v>
      </c>
      <c r="BP51">
        <f t="shared" si="79"/>
        <v>2615.4979456706742</v>
      </c>
      <c r="BQ51">
        <f t="shared" si="211"/>
        <v>2.0116306894805686E-6</v>
      </c>
      <c r="BR51">
        <f t="shared" si="80"/>
        <v>1.7335226729651625E-3</v>
      </c>
      <c r="BS51">
        <f t="shared" si="81"/>
        <v>0.30167895334852213</v>
      </c>
      <c r="BU51">
        <f t="shared" si="82"/>
        <v>9.8110766189096843</v>
      </c>
      <c r="BV51">
        <f t="shared" si="83"/>
        <v>0.13600000000000001</v>
      </c>
      <c r="BW51">
        <f t="shared" si="13"/>
        <v>118669.74900000001</v>
      </c>
      <c r="BX51">
        <f t="shared" si="14"/>
        <v>5.0436514329923214E-3</v>
      </c>
      <c r="BY51">
        <f t="shared" si="84"/>
        <v>4.2130203924521121E-3</v>
      </c>
      <c r="BZ51">
        <f t="shared" si="85"/>
        <v>1.1539102333872259E-2</v>
      </c>
      <c r="CA51">
        <f t="shared" si="86"/>
        <v>13.72708144546732</v>
      </c>
      <c r="CB51">
        <f t="shared" si="246"/>
        <v>3.5138593181904045E-6</v>
      </c>
      <c r="CC51">
        <f t="shared" si="247"/>
        <v>2.1160234999318694E-2</v>
      </c>
      <c r="CD51">
        <f t="shared" si="87"/>
        <v>2511.0797761501649</v>
      </c>
      <c r="CE51">
        <f t="shared" si="248"/>
        <v>1.9710666786006087E-6</v>
      </c>
      <c r="CF51">
        <f t="shared" si="212"/>
        <v>1.6529995555437027E-3</v>
      </c>
      <c r="CG51">
        <f t="shared" si="88"/>
        <v>0.29206079341397595</v>
      </c>
      <c r="CI51">
        <f t="shared" si="89"/>
        <v>11.708770355642699</v>
      </c>
      <c r="CJ51">
        <f t="shared" si="90"/>
        <v>0.13600000000000001</v>
      </c>
      <c r="CK51">
        <f t="shared" si="15"/>
        <v>118669.74900000001</v>
      </c>
      <c r="CL51">
        <f t="shared" si="16"/>
        <v>5.0436514329923214E-3</v>
      </c>
      <c r="CM51">
        <f t="shared" si="91"/>
        <v>4.2130203924521121E-3</v>
      </c>
      <c r="CN51">
        <f t="shared" si="92"/>
        <v>1.1539102333872259E-2</v>
      </c>
      <c r="CO51">
        <f t="shared" si="93"/>
        <v>13.72708144546732</v>
      </c>
      <c r="CP51">
        <f t="shared" si="249"/>
        <v>3.4041119510102033E-6</v>
      </c>
      <c r="CQ51">
        <f t="shared" si="213"/>
        <v>2.0329617587616058E-2</v>
      </c>
      <c r="CR51">
        <f t="shared" si="94"/>
        <v>2412.5106163883834</v>
      </c>
      <c r="CS51">
        <f t="shared" si="214"/>
        <v>1.9319935739263374E-6</v>
      </c>
      <c r="CT51">
        <f t="shared" si="95"/>
        <v>1.5772767905311972E-3</v>
      </c>
      <c r="CU51">
        <f t="shared" si="96"/>
        <v>0.28293894184529922</v>
      </c>
      <c r="CW51">
        <f t="shared" si="97"/>
        <v>13.606464092375713</v>
      </c>
      <c r="CX51">
        <f t="shared" si="98"/>
        <v>0.13600000000000001</v>
      </c>
      <c r="CY51">
        <f t="shared" si="17"/>
        <v>118669.74900000001</v>
      </c>
      <c r="CZ51">
        <f t="shared" si="18"/>
        <v>5.0436514329923214E-3</v>
      </c>
      <c r="DA51">
        <f t="shared" si="99"/>
        <v>4.2130203924521121E-3</v>
      </c>
      <c r="DB51">
        <f t="shared" si="100"/>
        <v>1.1539102333872259E-2</v>
      </c>
      <c r="DC51">
        <f t="shared" si="101"/>
        <v>13.72708144546732</v>
      </c>
      <c r="DD51">
        <f t="shared" si="250"/>
        <v>3.2999450574049493E-6</v>
      </c>
      <c r="DE51">
        <f t="shared" si="215"/>
        <v>1.9544900952511289E-2</v>
      </c>
      <c r="DF51">
        <f t="shared" si="102"/>
        <v>2319.3884902643758</v>
      </c>
      <c r="DG51">
        <f t="shared" si="216"/>
        <v>1.8943394770268757E-6</v>
      </c>
      <c r="DH51">
        <f t="shared" si="103"/>
        <v>1.5060127589489128E-3</v>
      </c>
      <c r="DI51">
        <f t="shared" si="104"/>
        <v>0.27428092146402594</v>
      </c>
      <c r="DK51">
        <f t="shared" si="105"/>
        <v>15.504157829108728</v>
      </c>
      <c r="DL51">
        <f t="shared" si="106"/>
        <v>0.13600000000000001</v>
      </c>
      <c r="DM51">
        <f t="shared" si="19"/>
        <v>118669.74900000001</v>
      </c>
      <c r="DN51">
        <f t="shared" si="20"/>
        <v>5.0436514329923214E-3</v>
      </c>
      <c r="DO51">
        <f t="shared" si="107"/>
        <v>4.2130203924521121E-3</v>
      </c>
      <c r="DP51">
        <f t="shared" si="108"/>
        <v>1.1539102333872259E-2</v>
      </c>
      <c r="DQ51">
        <f t="shared" si="109"/>
        <v>13.72708144546732</v>
      </c>
      <c r="DR51">
        <f t="shared" si="251"/>
        <v>3.2009975738798384E-6</v>
      </c>
      <c r="DS51">
        <f t="shared" si="217"/>
        <v>1.8802964338083296E-2</v>
      </c>
      <c r="DT51">
        <f t="shared" si="110"/>
        <v>2231.3430584562961</v>
      </c>
      <c r="DU51">
        <f t="shared" si="218"/>
        <v>1.8580364694481496E-6</v>
      </c>
      <c r="DV51">
        <f t="shared" si="111"/>
        <v>1.4388933754106463E-3</v>
      </c>
      <c r="DW51">
        <f t="shared" si="112"/>
        <v>0.26605672182260637</v>
      </c>
      <c r="DY51">
        <f t="shared" si="113"/>
        <v>17.401851565841742</v>
      </c>
      <c r="DZ51">
        <f t="shared" si="114"/>
        <v>0.13600000000000001</v>
      </c>
      <c r="EA51">
        <f t="shared" si="21"/>
        <v>118669.74900000001</v>
      </c>
      <c r="EB51">
        <f t="shared" si="22"/>
        <v>5.0436514329923214E-3</v>
      </c>
      <c r="EC51">
        <f t="shared" si="115"/>
        <v>4.2130203924521121E-3</v>
      </c>
      <c r="ED51">
        <f t="shared" si="116"/>
        <v>1.1539102333872259E-2</v>
      </c>
      <c r="EE51">
        <f t="shared" si="117"/>
        <v>13.72708144546732</v>
      </c>
      <c r="EF51">
        <f t="shared" si="252"/>
        <v>3.1069356126315709E-6</v>
      </c>
      <c r="EG51">
        <f t="shared" si="219"/>
        <v>1.8100930479409472E-2</v>
      </c>
      <c r="EH51">
        <f t="shared" si="118"/>
        <v>2148.0328766579719</v>
      </c>
      <c r="EI51">
        <f t="shared" si="220"/>
        <v>1.8230203770297466E-6</v>
      </c>
      <c r="EJ51">
        <f t="shared" si="119"/>
        <v>1.3756296597123338E-3</v>
      </c>
      <c r="EK51">
        <f t="shared" si="120"/>
        <v>0.25823859123040288</v>
      </c>
      <c r="EM51">
        <f t="shared" si="121"/>
        <v>19.299545302574757</v>
      </c>
      <c r="EN51">
        <f t="shared" si="122"/>
        <v>0.13600000000000001</v>
      </c>
      <c r="EO51">
        <f t="shared" si="23"/>
        <v>118669.74900000001</v>
      </c>
      <c r="EP51">
        <f t="shared" si="24"/>
        <v>5.0436514329923214E-3</v>
      </c>
      <c r="EQ51">
        <f t="shared" si="123"/>
        <v>4.2130203924521121E-3</v>
      </c>
      <c r="ER51">
        <f t="shared" si="124"/>
        <v>1.1539102333872259E-2</v>
      </c>
      <c r="ES51">
        <f t="shared" si="125"/>
        <v>13.72708144546732</v>
      </c>
      <c r="ET51">
        <f t="shared" si="253"/>
        <v>3.0174501872009261E-6</v>
      </c>
      <c r="EU51">
        <f t="shared" si="221"/>
        <v>1.743614464794141E-2</v>
      </c>
      <c r="EV51">
        <f t="shared" si="126"/>
        <v>2069.1429088989007</v>
      </c>
      <c r="EW51">
        <f t="shared" si="222"/>
        <v>1.7892305483735034E-6</v>
      </c>
      <c r="EX51">
        <f t="shared" si="127"/>
        <v>1.3159555373764209E-3</v>
      </c>
      <c r="EY51">
        <f t="shared" si="128"/>
        <v>0.25080084771717637</v>
      </c>
      <c r="FA51">
        <f t="shared" si="129"/>
        <v>21.197239039307771</v>
      </c>
      <c r="FB51">
        <f t="shared" si="130"/>
        <v>0.13600000000000001</v>
      </c>
      <c r="FC51">
        <f t="shared" si="25"/>
        <v>118669.74900000001</v>
      </c>
      <c r="FD51">
        <f t="shared" si="26"/>
        <v>5.0436514329923214E-3</v>
      </c>
      <c r="FE51">
        <f t="shared" si="131"/>
        <v>4.2130203924521121E-3</v>
      </c>
      <c r="FF51">
        <f t="shared" si="132"/>
        <v>1.1539102333872259E-2</v>
      </c>
      <c r="FG51">
        <f t="shared" si="133"/>
        <v>13.72708144546732</v>
      </c>
      <c r="FH51">
        <f t="shared" si="254"/>
        <v>2.9322551439907315E-6</v>
      </c>
      <c r="FI51">
        <f t="shared" si="223"/>
        <v>1.6806155635746268E-2</v>
      </c>
      <c r="FJ51">
        <f t="shared" si="134"/>
        <v>1994.3822709489452</v>
      </c>
      <c r="FK51">
        <f t="shared" si="224"/>
        <v>1.7566096466524243E-6</v>
      </c>
      <c r="FL51">
        <f t="shared" si="135"/>
        <v>1.2596258464740156E-3</v>
      </c>
      <c r="FM51">
        <f t="shared" si="136"/>
        <v>0.24371970710744889</v>
      </c>
      <c r="FO51">
        <f t="shared" si="137"/>
        <v>23.094932776040785</v>
      </c>
      <c r="FP51">
        <f t="shared" si="138"/>
        <v>0.13600000000000001</v>
      </c>
      <c r="FQ51">
        <f t="shared" si="27"/>
        <v>118669.74900000001</v>
      </c>
      <c r="FR51">
        <f t="shared" si="28"/>
        <v>5.0436514329923214E-3</v>
      </c>
      <c r="FS51">
        <f t="shared" si="139"/>
        <v>4.2130203924521121E-3</v>
      </c>
      <c r="FT51">
        <f t="shared" si="140"/>
        <v>1.1539102333872259E-2</v>
      </c>
      <c r="FU51">
        <f t="shared" si="141"/>
        <v>13.72708144546732</v>
      </c>
      <c r="FV51">
        <f t="shared" si="255"/>
        <v>2.8510852798846562E-6</v>
      </c>
      <c r="FW51">
        <f t="shared" si="225"/>
        <v>1.6208698489267259E-2</v>
      </c>
      <c r="FX51">
        <f t="shared" si="142"/>
        <v>1923.4821813380249</v>
      </c>
      <c r="FY51">
        <f t="shared" si="226"/>
        <v>1.7251034539888148E-6</v>
      </c>
      <c r="FZ51">
        <f t="shared" si="143"/>
        <v>1.2064145303745998E-3</v>
      </c>
      <c r="GA51">
        <f t="shared" si="144"/>
        <v>0.23697312656297406</v>
      </c>
      <c r="GC51">
        <f t="shared" si="145"/>
        <v>24.9926265127738</v>
      </c>
      <c r="GD51">
        <f t="shared" si="146"/>
        <v>0.13600000000000001</v>
      </c>
      <c r="GE51">
        <f t="shared" si="29"/>
        <v>118669.74900000001</v>
      </c>
      <c r="GF51">
        <f t="shared" si="30"/>
        <v>5.0436514329923214E-3</v>
      </c>
      <c r="GG51">
        <f t="shared" si="147"/>
        <v>4.2130203924521121E-3</v>
      </c>
      <c r="GH51">
        <f t="shared" si="148"/>
        <v>1.1539102333872259E-2</v>
      </c>
      <c r="GI51">
        <f t="shared" si="149"/>
        <v>13.72708144546732</v>
      </c>
      <c r="GJ51">
        <f t="shared" si="256"/>
        <v>2.7736946281845632E-6</v>
      </c>
      <c r="GK51">
        <f t="shared" si="227"/>
        <v>1.5641678822489579E-2</v>
      </c>
      <c r="GL51">
        <f t="shared" si="150"/>
        <v>1856.194099803454</v>
      </c>
      <c r="GM51">
        <f t="shared" si="228"/>
        <v>1.6946606876693738E-6</v>
      </c>
      <c r="GN51">
        <f t="shared" si="151"/>
        <v>1.1561129981553584E-3</v>
      </c>
      <c r="GO51">
        <f t="shared" si="152"/>
        <v>0.23054066211530971</v>
      </c>
      <c r="GQ51">
        <f t="shared" si="153"/>
        <v>26.890320249506814</v>
      </c>
      <c r="GR51">
        <f t="shared" si="154"/>
        <v>0.13600000000000001</v>
      </c>
      <c r="GS51">
        <f t="shared" si="31"/>
        <v>118669.74900000001</v>
      </c>
      <c r="GT51">
        <f t="shared" si="32"/>
        <v>5.0436514329923214E-3</v>
      </c>
      <c r="GU51">
        <f t="shared" si="155"/>
        <v>4.2130203924521121E-3</v>
      </c>
      <c r="GV51">
        <f t="shared" si="156"/>
        <v>1.1539102333872259E-2</v>
      </c>
      <c r="GW51">
        <f t="shared" si="157"/>
        <v>13.72708144546732</v>
      </c>
      <c r="GX51">
        <f t="shared" si="257"/>
        <v>2.6998548968615596E-6</v>
      </c>
      <c r="GY51">
        <f t="shared" si="229"/>
        <v>1.5103158556625359E-2</v>
      </c>
      <c r="GZ51">
        <f t="shared" si="158"/>
        <v>1792.2880350219339</v>
      </c>
      <c r="HA51">
        <f t="shared" si="230"/>
        <v>1.6652328275026144E-6</v>
      </c>
      <c r="HB51">
        <f t="shared" si="159"/>
        <v>1.1085286362662226E-3</v>
      </c>
      <c r="HC51">
        <f t="shared" si="160"/>
        <v>0.22440333885822003</v>
      </c>
      <c r="HE51">
        <f t="shared" si="161"/>
        <v>28.788013986239829</v>
      </c>
      <c r="HF51">
        <f t="shared" si="162"/>
        <v>0.13600000000000001</v>
      </c>
      <c r="HG51">
        <f t="shared" si="33"/>
        <v>118669.74900000001</v>
      </c>
      <c r="HH51">
        <f t="shared" si="34"/>
        <v>5.0436514329923214E-3</v>
      </c>
      <c r="HI51">
        <f t="shared" si="263"/>
        <v>4.2130203924521121E-3</v>
      </c>
      <c r="HJ51">
        <f t="shared" si="164"/>
        <v>1.1539102333872259E-2</v>
      </c>
      <c r="HK51">
        <f t="shared" si="165"/>
        <v>13.72708144546732</v>
      </c>
      <c r="HL51">
        <f t="shared" si="258"/>
        <v>2.6293540447096344E-6</v>
      </c>
      <c r="HM51">
        <f t="shared" si="231"/>
        <v>1.4591342948862994E-2</v>
      </c>
      <c r="HN51">
        <f t="shared" si="166"/>
        <v>1731.5510053144915</v>
      </c>
      <c r="HO51">
        <f t="shared" si="232"/>
        <v>1.6367739536601942E-6</v>
      </c>
      <c r="HP51">
        <f t="shared" si="167"/>
        <v>1.0634834567155428E-3</v>
      </c>
      <c r="HQ51">
        <f t="shared" si="168"/>
        <v>0.21854353260210146</v>
      </c>
      <c r="HS51">
        <f t="shared" si="169"/>
        <v>30.685707722972847</v>
      </c>
      <c r="HT51">
        <f t="shared" si="170"/>
        <v>0.13600000000000001</v>
      </c>
      <c r="HU51">
        <f t="shared" si="35"/>
        <v>118669.74900000001</v>
      </c>
      <c r="HV51">
        <f t="shared" si="36"/>
        <v>5.0436514329923214E-3</v>
      </c>
      <c r="HW51">
        <f t="shared" si="264"/>
        <v>4.2130203924521121E-3</v>
      </c>
      <c r="HX51">
        <f t="shared" si="172"/>
        <v>1.1539102333872259E-2</v>
      </c>
      <c r="HY51">
        <f t="shared" si="173"/>
        <v>13.72708144546732</v>
      </c>
      <c r="HZ51">
        <f t="shared" si="259"/>
        <v>2.5619949824205099E-6</v>
      </c>
      <c r="IA51">
        <f t="shared" si="233"/>
        <v>1.4104568786554309E-2</v>
      </c>
      <c r="IB51">
        <f t="shared" si="174"/>
        <v>1673.7856376536347</v>
      </c>
      <c r="IC51">
        <f t="shared" si="234"/>
        <v>1.6092405943786373E-6</v>
      </c>
      <c r="ID51">
        <f t="shared" si="175"/>
        <v>1.0208128685357675E-3</v>
      </c>
      <c r="IE51">
        <f t="shared" si="176"/>
        <v>0.21294486191146197</v>
      </c>
      <c r="IG51">
        <f t="shared" si="177"/>
        <v>32.583401459705861</v>
      </c>
      <c r="IH51">
        <f t="shared" si="178"/>
        <v>0.13600000000000001</v>
      </c>
      <c r="II51">
        <f t="shared" si="37"/>
        <v>118669.74900000001</v>
      </c>
      <c r="IJ51">
        <f t="shared" si="38"/>
        <v>5.0436514329923214E-3</v>
      </c>
      <c r="IK51">
        <f t="shared" si="265"/>
        <v>4.2130203924521121E-3</v>
      </c>
      <c r="IL51">
        <f t="shared" si="180"/>
        <v>1.1539102333872259E-2</v>
      </c>
      <c r="IM51">
        <f t="shared" si="181"/>
        <v>13.72708144546732</v>
      </c>
      <c r="IN51">
        <f t="shared" si="260"/>
        <v>2.497594386881158E-6</v>
      </c>
      <c r="IO51">
        <f t="shared" si="235"/>
        <v>1.3641293635605754E-2</v>
      </c>
      <c r="IP51">
        <f t="shared" si="182"/>
        <v>1618.8088917726325</v>
      </c>
      <c r="IQ51">
        <f t="shared" si="236"/>
        <v>1.5825915829314221E-6</v>
      </c>
      <c r="IR51">
        <f t="shared" si="183"/>
        <v>9.8036456062708778E-4</v>
      </c>
      <c r="IS51">
        <f t="shared" si="184"/>
        <v>0.20759208955310754</v>
      </c>
      <c r="IU51">
        <f t="shared" si="185"/>
        <v>34.481095196438879</v>
      </c>
      <c r="IV51">
        <f t="shared" si="186"/>
        <v>0.13600000000000001</v>
      </c>
      <c r="IW51">
        <f t="shared" si="39"/>
        <v>118669.74900000001</v>
      </c>
      <c r="IX51">
        <f t="shared" si="40"/>
        <v>5.0436514329923214E-3</v>
      </c>
      <c r="IY51">
        <f t="shared" si="266"/>
        <v>4.2130203924521121E-3</v>
      </c>
      <c r="IZ51">
        <f t="shared" si="188"/>
        <v>1.1539102333872259E-2</v>
      </c>
      <c r="JA51">
        <f t="shared" si="189"/>
        <v>13.72708144546732</v>
      </c>
      <c r="JB51">
        <f t="shared" si="261"/>
        <v>2.4359816181468917E-6</v>
      </c>
      <c r="JC51">
        <f t="shared" si="237"/>
        <v>1.3200086042954289E-2</v>
      </c>
      <c r="JD51">
        <f t="shared" si="190"/>
        <v>1566.4508974957889</v>
      </c>
      <c r="JE51">
        <f t="shared" si="238"/>
        <v>1.5567879233137975E-6</v>
      </c>
      <c r="JF51">
        <f t="shared" si="191"/>
        <v>9.4199748527601336E-4</v>
      </c>
      <c r="JG51">
        <f t="shared" si="192"/>
        <v>0.20247103247839554</v>
      </c>
      <c r="JI51">
        <f t="shared" si="193"/>
        <v>36.37878893317189</v>
      </c>
      <c r="JJ51">
        <f t="shared" si="194"/>
        <v>0.13600000000000001</v>
      </c>
      <c r="JK51">
        <f t="shared" si="41"/>
        <v>118669.74900000001</v>
      </c>
      <c r="JL51">
        <f t="shared" si="42"/>
        <v>5.0436514329923214E-3</v>
      </c>
      <c r="JM51">
        <f t="shared" si="267"/>
        <v>4.2130203924521121E-3</v>
      </c>
      <c r="JN51">
        <f t="shared" si="196"/>
        <v>1.1539102333872259E-2</v>
      </c>
      <c r="JO51">
        <f t="shared" si="197"/>
        <v>13.72708144546732</v>
      </c>
      <c r="JP51">
        <f t="shared" si="262"/>
        <v>2.3769977295767778E-6</v>
      </c>
      <c r="JQ51">
        <f t="shared" si="239"/>
        <v>1.2779616602963999E-2</v>
      </c>
      <c r="JR51">
        <f t="shared" si="198"/>
        <v>1516.5538945899705</v>
      </c>
      <c r="JS51">
        <f t="shared" si="240"/>
        <v>1.5317926641130562E-6</v>
      </c>
      <c r="JT51">
        <f t="shared" si="199"/>
        <v>9.05580932720998E-4</v>
      </c>
      <c r="JU51">
        <f t="shared" si="200"/>
        <v>0.19756847954884324</v>
      </c>
    </row>
    <row r="52" spans="2:281">
      <c r="B52">
        <v>0.18</v>
      </c>
      <c r="C52">
        <f t="shared" si="43"/>
        <v>0.34158487261194259</v>
      </c>
      <c r="D52">
        <f t="shared" si="44"/>
        <v>0.14399999999999999</v>
      </c>
      <c r="E52">
        <f t="shared" si="3"/>
        <v>118485.32100000001</v>
      </c>
      <c r="F52">
        <f t="shared" si="4"/>
        <v>5.0462669703068347E-3</v>
      </c>
      <c r="G52">
        <f t="shared" si="45"/>
        <v>4.2119284228499454E-3</v>
      </c>
      <c r="H52">
        <f t="shared" si="46"/>
        <v>1.1557063491822207E-2</v>
      </c>
      <c r="I52">
        <f t="shared" si="47"/>
        <v>13.741322319836941</v>
      </c>
      <c r="J52">
        <f t="shared" si="241"/>
        <v>4.1590173416521743E-6</v>
      </c>
      <c r="K52">
        <f t="shared" si="201"/>
        <v>2.7267052117414113E-2</v>
      </c>
      <c r="L52">
        <f t="shared" si="48"/>
        <v>3230.7454228555412</v>
      </c>
      <c r="M52">
        <f t="shared" si="202"/>
        <v>2.2357458322448695E-6</v>
      </c>
      <c r="N52">
        <f t="shared" si="203"/>
        <v>2.0622604543845814E-3</v>
      </c>
      <c r="O52">
        <f t="shared" si="49"/>
        <v>0.34568427322553369</v>
      </c>
      <c r="Q52">
        <f t="shared" si="50"/>
        <v>2.2392786093449568</v>
      </c>
      <c r="R52">
        <f t="shared" si="51"/>
        <v>0.14399999999999999</v>
      </c>
      <c r="S52">
        <f t="shared" si="5"/>
        <v>118485.32100000001</v>
      </c>
      <c r="T52">
        <f t="shared" si="6"/>
        <v>5.0462669703068347E-3</v>
      </c>
      <c r="U52">
        <f t="shared" si="52"/>
        <v>4.2119284228499454E-3</v>
      </c>
      <c r="V52">
        <f t="shared" si="53"/>
        <v>1.1557063491822207E-2</v>
      </c>
      <c r="W52">
        <f t="shared" si="54"/>
        <v>13.741322319836941</v>
      </c>
      <c r="X52">
        <f t="shared" si="242"/>
        <v>4.0149167520318689E-6</v>
      </c>
      <c r="Y52">
        <f t="shared" si="204"/>
        <v>2.609400892859692E-2</v>
      </c>
      <c r="Z52">
        <f t="shared" si="55"/>
        <v>3091.7570240816726</v>
      </c>
      <c r="AA52">
        <f t="shared" si="205"/>
        <v>2.1871256759023097E-6</v>
      </c>
      <c r="AB52">
        <f t="shared" si="56"/>
        <v>1.9598799424531792E-3</v>
      </c>
      <c r="AC52">
        <f t="shared" si="57"/>
        <v>0.33370709123704073</v>
      </c>
      <c r="AE52">
        <f t="shared" si="58"/>
        <v>4.1369723460779717</v>
      </c>
      <c r="AF52">
        <f t="shared" si="59"/>
        <v>0.14399999999999999</v>
      </c>
      <c r="AG52">
        <f t="shared" si="7"/>
        <v>118485.32100000001</v>
      </c>
      <c r="AH52">
        <f t="shared" si="8"/>
        <v>5.0462669703068347E-3</v>
      </c>
      <c r="AI52">
        <f t="shared" si="60"/>
        <v>4.2119284228499454E-3</v>
      </c>
      <c r="AJ52">
        <f t="shared" si="61"/>
        <v>1.1557063491822207E-2</v>
      </c>
      <c r="AK52">
        <f t="shared" si="62"/>
        <v>13.741322319836941</v>
      </c>
      <c r="AL52">
        <f t="shared" si="243"/>
        <v>3.8786999302924773E-6</v>
      </c>
      <c r="AM52">
        <f t="shared" si="206"/>
        <v>2.4990516993797538E-2</v>
      </c>
      <c r="AN52">
        <f t="shared" si="63"/>
        <v>2961.0094279660566</v>
      </c>
      <c r="AO52">
        <f t="shared" si="207"/>
        <v>2.1403803541879015E-6</v>
      </c>
      <c r="AP52">
        <f t="shared" si="64"/>
        <v>1.8639426109877671E-3</v>
      </c>
      <c r="AQ52">
        <f t="shared" si="65"/>
        <v>0.32238518292170587</v>
      </c>
      <c r="AS52">
        <f t="shared" si="66"/>
        <v>6.0346660828109862</v>
      </c>
      <c r="AT52">
        <f t="shared" si="67"/>
        <v>0.14399999999999999</v>
      </c>
      <c r="AU52">
        <f t="shared" si="9"/>
        <v>118485.32100000001</v>
      </c>
      <c r="AV52">
        <f t="shared" si="10"/>
        <v>5.0462669703068347E-3</v>
      </c>
      <c r="AW52">
        <f t="shared" si="68"/>
        <v>4.2119284228499454E-3</v>
      </c>
      <c r="AX52">
        <f t="shared" si="69"/>
        <v>1.1557063491822207E-2</v>
      </c>
      <c r="AY52">
        <f t="shared" si="70"/>
        <v>13.741322319836941</v>
      </c>
      <c r="AZ52">
        <f t="shared" si="244"/>
        <v>3.7498274223692977E-6</v>
      </c>
      <c r="BA52">
        <f t="shared" si="208"/>
        <v>2.3951580703446593E-2</v>
      </c>
      <c r="BB52">
        <f t="shared" si="71"/>
        <v>2837.9107281052757</v>
      </c>
      <c r="BC52">
        <f t="shared" si="209"/>
        <v>2.095416820864245E-6</v>
      </c>
      <c r="BD52">
        <f t="shared" si="72"/>
        <v>1.7739697916337887E-3</v>
      </c>
      <c r="BE52">
        <f t="shared" si="73"/>
        <v>0.31167371057605825</v>
      </c>
      <c r="BG52">
        <f t="shared" si="74"/>
        <v>7.9323598195439997</v>
      </c>
      <c r="BH52">
        <f t="shared" si="75"/>
        <v>0.14399999999999999</v>
      </c>
      <c r="BI52">
        <f t="shared" si="11"/>
        <v>118485.32100000001</v>
      </c>
      <c r="BJ52">
        <f t="shared" si="12"/>
        <v>5.0462669703068347E-3</v>
      </c>
      <c r="BK52">
        <f t="shared" si="76"/>
        <v>4.2119284228499454E-3</v>
      </c>
      <c r="BL52">
        <f t="shared" si="77"/>
        <v>1.1557063491822207E-2</v>
      </c>
      <c r="BM52">
        <f t="shared" si="78"/>
        <v>13.741322319836941</v>
      </c>
      <c r="BN52">
        <f t="shared" si="245"/>
        <v>3.6278022303772872E-6</v>
      </c>
      <c r="BO52">
        <f t="shared" si="210"/>
        <v>2.2972611638651694E-2</v>
      </c>
      <c r="BP52">
        <f t="shared" si="79"/>
        <v>2721.9172642139824</v>
      </c>
      <c r="BQ52">
        <f t="shared" si="211"/>
        <v>2.052147255217124E-6</v>
      </c>
      <c r="BR52">
        <f t="shared" si="80"/>
        <v>1.6895227372387461E-3</v>
      </c>
      <c r="BS52">
        <f t="shared" si="81"/>
        <v>0.30153136531903957</v>
      </c>
      <c r="BU52">
        <f t="shared" si="82"/>
        <v>9.830053556277015</v>
      </c>
      <c r="BV52">
        <f t="shared" si="83"/>
        <v>0.14399999999999999</v>
      </c>
      <c r="BW52">
        <f t="shared" si="13"/>
        <v>118485.32100000001</v>
      </c>
      <c r="BX52">
        <f t="shared" si="14"/>
        <v>5.0462669703068347E-3</v>
      </c>
      <c r="BY52">
        <f t="shared" si="84"/>
        <v>4.2119284228499454E-3</v>
      </c>
      <c r="BZ52">
        <f t="shared" si="85"/>
        <v>1.1557063491822207E-2</v>
      </c>
      <c r="CA52">
        <f t="shared" si="86"/>
        <v>13.741322319836941</v>
      </c>
      <c r="CB52">
        <f t="shared" si="246"/>
        <v>3.5121661291287328E-6</v>
      </c>
      <c r="CC52">
        <f t="shared" si="247"/>
        <v>2.2049392284400227E-2</v>
      </c>
      <c r="CD52">
        <f t="shared" si="87"/>
        <v>2612.5293226720842</v>
      </c>
      <c r="CE52">
        <f t="shared" si="248"/>
        <v>2.0104887523188434E-6</v>
      </c>
      <c r="CF52">
        <f t="shared" si="212"/>
        <v>1.6101990042962607E-3</v>
      </c>
      <c r="CG52">
        <f t="shared" si="88"/>
        <v>0.2919200609326863</v>
      </c>
      <c r="CI52">
        <f t="shared" si="89"/>
        <v>11.727747293010029</v>
      </c>
      <c r="CJ52">
        <f t="shared" si="90"/>
        <v>0.14399999999999999</v>
      </c>
      <c r="CK52">
        <f t="shared" si="15"/>
        <v>118485.32100000001</v>
      </c>
      <c r="CL52">
        <f t="shared" si="16"/>
        <v>5.0462669703068347E-3</v>
      </c>
      <c r="CM52">
        <f t="shared" si="91"/>
        <v>4.2119284228499454E-3</v>
      </c>
      <c r="CN52">
        <f t="shared" si="92"/>
        <v>1.1557063491822207E-2</v>
      </c>
      <c r="CO52">
        <f t="shared" si="93"/>
        <v>13.741322319836941</v>
      </c>
      <c r="CP52">
        <f t="shared" si="249"/>
        <v>3.4024963257669902E-6</v>
      </c>
      <c r="CQ52">
        <f t="shared" si="213"/>
        <v>2.1178043193168954E-2</v>
      </c>
      <c r="CR52">
        <f t="shared" si="94"/>
        <v>2509.2872458944889</v>
      </c>
      <c r="CS52">
        <f t="shared" si="214"/>
        <v>1.9703630316162013E-6</v>
      </c>
      <c r="CT52">
        <f t="shared" si="95"/>
        <v>1.5356291836532499E-3</v>
      </c>
      <c r="CU52">
        <f t="shared" si="96"/>
        <v>0.28280465622152662</v>
      </c>
      <c r="CW52">
        <f t="shared" si="97"/>
        <v>13.625441029743044</v>
      </c>
      <c r="CX52">
        <f t="shared" si="98"/>
        <v>0.14399999999999999</v>
      </c>
      <c r="CY52">
        <f t="shared" si="17"/>
        <v>118485.32100000001</v>
      </c>
      <c r="CZ52">
        <f t="shared" si="18"/>
        <v>5.0462669703068347E-3</v>
      </c>
      <c r="DA52">
        <f t="shared" si="99"/>
        <v>4.2119284228499454E-3</v>
      </c>
      <c r="DB52">
        <f t="shared" si="100"/>
        <v>1.1557063491822207E-2</v>
      </c>
      <c r="DC52">
        <f t="shared" si="101"/>
        <v>13.741322319836941</v>
      </c>
      <c r="DD52">
        <f t="shared" si="250"/>
        <v>3.2984024288412341E-6</v>
      </c>
      <c r="DE52">
        <f t="shared" si="215"/>
        <v>2.0354993255049577E-2</v>
      </c>
      <c r="DF52">
        <f t="shared" si="102"/>
        <v>2411.7679097773844</v>
      </c>
      <c r="DG52">
        <f t="shared" si="216"/>
        <v>1.9316961628303798E-6</v>
      </c>
      <c r="DH52">
        <f t="shared" si="103"/>
        <v>1.465473944457472E-3</v>
      </c>
      <c r="DI52">
        <f t="shared" si="104"/>
        <v>0.27415270309172812</v>
      </c>
      <c r="DK52">
        <f t="shared" si="105"/>
        <v>15.523134766476058</v>
      </c>
      <c r="DL52">
        <f t="shared" si="106"/>
        <v>0.14399999999999999</v>
      </c>
      <c r="DM52">
        <f t="shared" si="19"/>
        <v>118485.32100000001</v>
      </c>
      <c r="DN52">
        <f t="shared" si="20"/>
        <v>5.0462669703068347E-3</v>
      </c>
      <c r="DO52">
        <f t="shared" si="107"/>
        <v>4.2119284228499454E-3</v>
      </c>
      <c r="DP52">
        <f t="shared" si="108"/>
        <v>1.1557063491822207E-2</v>
      </c>
      <c r="DQ52">
        <f t="shared" si="109"/>
        <v>13.741322319836941</v>
      </c>
      <c r="DR52">
        <f t="shared" si="251"/>
        <v>3.1995236965784282E-6</v>
      </c>
      <c r="DS52">
        <f t="shared" si="217"/>
        <v>1.9576952765915097E-2</v>
      </c>
      <c r="DT52">
        <f t="shared" si="110"/>
        <v>2319.5815326712882</v>
      </c>
      <c r="DU52">
        <f t="shared" si="218"/>
        <v>1.8944183082026291E-6</v>
      </c>
      <c r="DV52">
        <f t="shared" si="111"/>
        <v>1.3994213599519661E-3</v>
      </c>
      <c r="DW52">
        <f t="shared" si="112"/>
        <v>0.26593421783622984</v>
      </c>
      <c r="DY52">
        <f t="shared" si="113"/>
        <v>17.420828503209073</v>
      </c>
      <c r="DZ52">
        <f t="shared" si="114"/>
        <v>0.14399999999999999</v>
      </c>
      <c r="EA52">
        <f t="shared" si="21"/>
        <v>118485.32100000001</v>
      </c>
      <c r="EB52">
        <f t="shared" si="22"/>
        <v>5.0462669703068347E-3</v>
      </c>
      <c r="EC52">
        <f t="shared" si="115"/>
        <v>4.2119284228499454E-3</v>
      </c>
      <c r="ED52">
        <f t="shared" si="116"/>
        <v>1.1557063491822207E-2</v>
      </c>
      <c r="EE52">
        <f t="shared" si="117"/>
        <v>13.741322319836941</v>
      </c>
      <c r="EF52">
        <f t="shared" si="252"/>
        <v>3.1055265371814749E-6</v>
      </c>
      <c r="EG52">
        <f t="shared" si="219"/>
        <v>1.8840889016848484E-2</v>
      </c>
      <c r="EH52">
        <f t="shared" si="118"/>
        <v>2232.368783086667</v>
      </c>
      <c r="EI52">
        <f t="shared" si="220"/>
        <v>1.8584634801650977E-6</v>
      </c>
      <c r="EJ52">
        <f t="shared" si="119"/>
        <v>1.3371844869689573E-3</v>
      </c>
      <c r="EK52">
        <f t="shared" si="120"/>
        <v>0.25812147336748653</v>
      </c>
      <c r="EM52">
        <f t="shared" si="121"/>
        <v>19.318522239942087</v>
      </c>
      <c r="EN52">
        <f t="shared" si="122"/>
        <v>0.14399999999999999</v>
      </c>
      <c r="EO52">
        <f t="shared" si="23"/>
        <v>118485.32100000001</v>
      </c>
      <c r="EP52">
        <f t="shared" si="24"/>
        <v>5.0462669703068347E-3</v>
      </c>
      <c r="EQ52">
        <f t="shared" si="123"/>
        <v>4.2119284228499454E-3</v>
      </c>
      <c r="ER52">
        <f t="shared" si="124"/>
        <v>1.1557063491822207E-2</v>
      </c>
      <c r="ES52">
        <f t="shared" si="125"/>
        <v>13.741322319836941</v>
      </c>
      <c r="ET52">
        <f t="shared" si="253"/>
        <v>3.0161022367347209E-6</v>
      </c>
      <c r="EU52">
        <f t="shared" si="221"/>
        <v>1.8144004156419476E-2</v>
      </c>
      <c r="EV52">
        <f t="shared" si="126"/>
        <v>2149.7981566986959</v>
      </c>
      <c r="EW52">
        <f t="shared" si="222"/>
        <v>1.8237693135601812E-6</v>
      </c>
      <c r="EX52">
        <f t="shared" si="127"/>
        <v>1.2784991738797101E-3</v>
      </c>
      <c r="EY52">
        <f t="shared" si="128"/>
        <v>0.25068881036821233</v>
      </c>
      <c r="FA52">
        <f t="shared" si="129"/>
        <v>21.216215976675102</v>
      </c>
      <c r="FB52">
        <f t="shared" si="130"/>
        <v>0.14399999999999999</v>
      </c>
      <c r="FC52">
        <f t="shared" si="25"/>
        <v>118485.32100000001</v>
      </c>
      <c r="FD52">
        <f t="shared" si="26"/>
        <v>5.0462669703068347E-3</v>
      </c>
      <c r="FE52">
        <f t="shared" si="131"/>
        <v>4.2119284228499454E-3</v>
      </c>
      <c r="FF52">
        <f t="shared" si="132"/>
        <v>1.1557063491822207E-2</v>
      </c>
      <c r="FG52">
        <f t="shared" si="133"/>
        <v>13.741322319836941</v>
      </c>
      <c r="FH52">
        <f t="shared" si="254"/>
        <v>2.9309648927635635E-6</v>
      </c>
      <c r="FI52">
        <f t="shared" si="223"/>
        <v>1.7483715102784948E-2</v>
      </c>
      <c r="FJ52">
        <f t="shared" si="134"/>
        <v>2071.5635962260226</v>
      </c>
      <c r="FK52">
        <f t="shared" si="224"/>
        <v>1.7902768515744192E-6</v>
      </c>
      <c r="FL52">
        <f t="shared" si="135"/>
        <v>1.2231220743548171E-3</v>
      </c>
      <c r="FM52">
        <f t="shared" si="136"/>
        <v>0.24361246553543736</v>
      </c>
      <c r="FO52">
        <f t="shared" si="137"/>
        <v>23.113909713408116</v>
      </c>
      <c r="FP52">
        <f t="shared" si="138"/>
        <v>0.14399999999999999</v>
      </c>
      <c r="FQ52">
        <f t="shared" si="27"/>
        <v>118485.32100000001</v>
      </c>
      <c r="FR52">
        <f t="shared" si="28"/>
        <v>5.0462669703068347E-3</v>
      </c>
      <c r="FS52">
        <f t="shared" si="139"/>
        <v>4.2119284228499454E-3</v>
      </c>
      <c r="FT52">
        <f t="shared" si="140"/>
        <v>1.1557063491822207E-2</v>
      </c>
      <c r="FU52">
        <f t="shared" si="141"/>
        <v>13.741322319836941</v>
      </c>
      <c r="FV52">
        <f t="shared" si="255"/>
        <v>2.8498495337044339E-6</v>
      </c>
      <c r="FW52">
        <f t="shared" si="225"/>
        <v>1.68576353053198E-2</v>
      </c>
      <c r="FX52">
        <f t="shared" si="142"/>
        <v>1997.3823304517498</v>
      </c>
      <c r="FY52">
        <f t="shared" si="226"/>
        <v>1.7579303445943741E-6</v>
      </c>
      <c r="FZ52">
        <f t="shared" si="143"/>
        <v>1.1708288466142256E-3</v>
      </c>
      <c r="GA52">
        <f t="shared" si="144"/>
        <v>0.23687041527684327</v>
      </c>
      <c r="GC52">
        <f t="shared" si="145"/>
        <v>25.011603450141131</v>
      </c>
      <c r="GD52">
        <f t="shared" si="146"/>
        <v>0.14399999999999999</v>
      </c>
      <c r="GE52">
        <f t="shared" si="29"/>
        <v>118485.32100000001</v>
      </c>
      <c r="GF52">
        <f t="shared" si="30"/>
        <v>5.0462669703068347E-3</v>
      </c>
      <c r="GG52">
        <f t="shared" si="147"/>
        <v>4.2119284228499454E-3</v>
      </c>
      <c r="GH52">
        <f t="shared" si="148"/>
        <v>1.1557063491822207E-2</v>
      </c>
      <c r="GI52">
        <f t="shared" si="149"/>
        <v>13.741322319836941</v>
      </c>
      <c r="GJ52">
        <f t="shared" si="256"/>
        <v>2.7725104065216063E-6</v>
      </c>
      <c r="GK52">
        <f t="shared" si="227"/>
        <v>1.6263558175838331E-2</v>
      </c>
      <c r="GL52">
        <f t="shared" si="150"/>
        <v>1926.9929110663793</v>
      </c>
      <c r="GM52">
        <f t="shared" si="228"/>
        <v>1.7266770612318499E-6</v>
      </c>
      <c r="GN52">
        <f t="shared" si="151"/>
        <v>1.1214125199267655E-3</v>
      </c>
      <c r="GO52">
        <f t="shared" si="152"/>
        <v>0.23044223338292685</v>
      </c>
      <c r="GQ52">
        <f t="shared" si="153"/>
        <v>26.909297186874145</v>
      </c>
      <c r="GR52">
        <f t="shared" si="154"/>
        <v>0.14399999999999999</v>
      </c>
      <c r="GS52">
        <f t="shared" si="31"/>
        <v>118485.32100000001</v>
      </c>
      <c r="GT52">
        <f t="shared" si="32"/>
        <v>5.0462669703068347E-3</v>
      </c>
      <c r="GU52">
        <f t="shared" si="155"/>
        <v>4.2119284228499454E-3</v>
      </c>
      <c r="GV52">
        <f t="shared" si="156"/>
        <v>1.1557063491822207E-2</v>
      </c>
      <c r="GW52">
        <f t="shared" si="157"/>
        <v>13.741322319836941</v>
      </c>
      <c r="GX52">
        <f t="shared" si="257"/>
        <v>2.698719416482765E-6</v>
      </c>
      <c r="GY52">
        <f t="shared" si="229"/>
        <v>1.5699442027695867E-2</v>
      </c>
      <c r="GZ52">
        <f t="shared" si="158"/>
        <v>1860.153428172436</v>
      </c>
      <c r="HA52">
        <f t="shared" si="230"/>
        <v>1.6964671108044807E-6</v>
      </c>
      <c r="HB52">
        <f t="shared" si="159"/>
        <v>1.0746820119812682E-3</v>
      </c>
      <c r="HC52">
        <f t="shared" si="160"/>
        <v>0.22430896134611533</v>
      </c>
      <c r="HE52">
        <f t="shared" si="161"/>
        <v>28.80699092360716</v>
      </c>
      <c r="HF52">
        <f t="shared" si="162"/>
        <v>0.14399999999999999</v>
      </c>
      <c r="HG52">
        <f t="shared" si="33"/>
        <v>118485.32100000001</v>
      </c>
      <c r="HH52">
        <f t="shared" si="34"/>
        <v>5.0462669703068347E-3</v>
      </c>
      <c r="HI52">
        <f t="shared" si="263"/>
        <v>4.2119284228499454E-3</v>
      </c>
      <c r="HJ52">
        <f t="shared" si="164"/>
        <v>1.1557063491822207E-2</v>
      </c>
      <c r="HK52">
        <f t="shared" si="165"/>
        <v>13.741322319836941</v>
      </c>
      <c r="HL52">
        <f t="shared" si="258"/>
        <v>2.6282647046973273E-6</v>
      </c>
      <c r="HM52">
        <f t="shared" si="231"/>
        <v>1.5163396377389953E-2</v>
      </c>
      <c r="HN52">
        <f t="shared" si="166"/>
        <v>1796.639887225286</v>
      </c>
      <c r="HO52">
        <f t="shared" si="232"/>
        <v>1.6672532765949147E-6</v>
      </c>
      <c r="HP52">
        <f t="shared" si="167"/>
        <v>1.0304607824186019E-3</v>
      </c>
      <c r="HQ52">
        <f t="shared" si="168"/>
        <v>0.2184529901302828</v>
      </c>
      <c r="HS52">
        <f t="shared" si="169"/>
        <v>30.704684660340174</v>
      </c>
      <c r="HT52">
        <f t="shared" si="170"/>
        <v>0.14399999999999999</v>
      </c>
      <c r="HU52">
        <f t="shared" si="35"/>
        <v>118485.32100000001</v>
      </c>
      <c r="HV52">
        <f t="shared" si="36"/>
        <v>5.0462669703068347E-3</v>
      </c>
      <c r="HW52">
        <f t="shared" si="264"/>
        <v>4.2119284228499454E-3</v>
      </c>
      <c r="HX52">
        <f t="shared" si="172"/>
        <v>1.1557063491822207E-2</v>
      </c>
      <c r="HY52">
        <f t="shared" si="173"/>
        <v>13.741322319836941</v>
      </c>
      <c r="HZ52">
        <f t="shared" si="259"/>
        <v>2.5609493504496957E-6</v>
      </c>
      <c r="IA52">
        <f t="shared" si="233"/>
        <v>1.4653669477912232E-2</v>
      </c>
      <c r="IB52">
        <f t="shared" si="174"/>
        <v>1736.2447319183334</v>
      </c>
      <c r="IC52">
        <f t="shared" si="234"/>
        <v>1.6389908592476901E-6</v>
      </c>
      <c r="ID52">
        <f t="shared" si="175"/>
        <v>9.8858560930687378E-4</v>
      </c>
      <c r="IE52">
        <f t="shared" si="176"/>
        <v>0.21285795231282376</v>
      </c>
      <c r="IG52">
        <f t="shared" si="177"/>
        <v>32.602378397073188</v>
      </c>
      <c r="IH52">
        <f t="shared" si="178"/>
        <v>0.14399999999999999</v>
      </c>
      <c r="II52">
        <f t="shared" si="37"/>
        <v>118485.32100000001</v>
      </c>
      <c r="IJ52">
        <f t="shared" si="38"/>
        <v>5.0462669703068347E-3</v>
      </c>
      <c r="IK52">
        <f t="shared" si="265"/>
        <v>4.2119284228499454E-3</v>
      </c>
      <c r="IL52">
        <f t="shared" si="180"/>
        <v>1.1557063491822207E-2</v>
      </c>
      <c r="IM52">
        <f t="shared" si="181"/>
        <v>13.741322319836941</v>
      </c>
      <c r="IN52">
        <f t="shared" si="260"/>
        <v>2.4965901866410931E-6</v>
      </c>
      <c r="IO52">
        <f t="shared" si="235"/>
        <v>1.4168636966215696E-2</v>
      </c>
      <c r="IP52">
        <f t="shared" si="182"/>
        <v>1678.7754990745329</v>
      </c>
      <c r="IQ52">
        <f t="shared" si="236"/>
        <v>1.6116375296973443E-6</v>
      </c>
      <c r="IR52">
        <f t="shared" si="183"/>
        <v>9.4890547667919741E-4</v>
      </c>
      <c r="IS52">
        <f t="shared" si="184"/>
        <v>0.2075086236279518</v>
      </c>
      <c r="IU52">
        <f t="shared" si="185"/>
        <v>34.500072133806199</v>
      </c>
      <c r="IV52">
        <f t="shared" si="186"/>
        <v>0.14399999999999999</v>
      </c>
      <c r="IW52">
        <f t="shared" si="39"/>
        <v>118485.32100000001</v>
      </c>
      <c r="IX52">
        <f t="shared" si="40"/>
        <v>5.0462669703068347E-3</v>
      </c>
      <c r="IY52">
        <f t="shared" si="266"/>
        <v>4.2119284228499454E-3</v>
      </c>
      <c r="IZ52">
        <f t="shared" si="188"/>
        <v>1.1557063491822207E-2</v>
      </c>
      <c r="JA52">
        <f t="shared" si="189"/>
        <v>13.741322319836941</v>
      </c>
      <c r="JB52">
        <f t="shared" si="261"/>
        <v>2.4350167178038507E-6</v>
      </c>
      <c r="JC52">
        <f t="shared" si="237"/>
        <v>1.3706791518918973E-2</v>
      </c>
      <c r="JD52">
        <f t="shared" si="190"/>
        <v>1624.0535929991922</v>
      </c>
      <c r="JE52">
        <f t="shared" si="238"/>
        <v>1.5851531910544498E-6</v>
      </c>
      <c r="JF52">
        <f t="shared" si="191"/>
        <v>9.112805624512235E-4</v>
      </c>
      <c r="JG52">
        <f t="shared" si="192"/>
        <v>0.20239083303549382</v>
      </c>
      <c r="JI52">
        <f t="shared" si="193"/>
        <v>36.397765870539217</v>
      </c>
      <c r="JJ52">
        <f t="shared" si="194"/>
        <v>0.14399999999999999</v>
      </c>
      <c r="JK52">
        <f t="shared" si="41"/>
        <v>118485.32100000001</v>
      </c>
      <c r="JL52">
        <f t="shared" si="42"/>
        <v>5.0462669703068347E-3</v>
      </c>
      <c r="JM52">
        <f t="shared" si="267"/>
        <v>4.2119284228499454E-3</v>
      </c>
      <c r="JN52">
        <f t="shared" si="196"/>
        <v>1.1557063491822207E-2</v>
      </c>
      <c r="JO52">
        <f t="shared" si="197"/>
        <v>13.741322319836941</v>
      </c>
      <c r="JP52">
        <f t="shared" si="262"/>
        <v>2.376070131184752E-6</v>
      </c>
      <c r="JQ52">
        <f t="shared" si="239"/>
        <v>1.3266733420908217E-2</v>
      </c>
      <c r="JR52">
        <f t="shared" si="198"/>
        <v>1571.9131679977384</v>
      </c>
      <c r="JS52">
        <f t="shared" si="240"/>
        <v>1.5594998489077855E-6</v>
      </c>
      <c r="JT52">
        <f t="shared" si="199"/>
        <v>8.755813171091979E-4</v>
      </c>
      <c r="JU52">
        <f t="shared" si="200"/>
        <v>0.19749138052528756</v>
      </c>
    </row>
    <row r="53" spans="2:281">
      <c r="B53">
        <v>0.19</v>
      </c>
      <c r="C53">
        <f t="shared" si="43"/>
        <v>0.36056180997927273</v>
      </c>
      <c r="D53">
        <f t="shared" si="44"/>
        <v>0.152</v>
      </c>
      <c r="E53">
        <f t="shared" si="3"/>
        <v>118300.89300000001</v>
      </c>
      <c r="F53">
        <f t="shared" si="4"/>
        <v>5.0488879415383561E-3</v>
      </c>
      <c r="G53">
        <f t="shared" si="45"/>
        <v>4.210835035909374E-3</v>
      </c>
      <c r="H53">
        <f t="shared" si="46"/>
        <v>1.1575080651723696E-2</v>
      </c>
      <c r="I53">
        <f t="shared" si="47"/>
        <v>13.755600186519718</v>
      </c>
      <c r="J53">
        <f t="shared" si="241"/>
        <v>4.1569049412997531E-6</v>
      </c>
      <c r="K53">
        <f t="shared" si="201"/>
        <v>2.8376353024726467E-2</v>
      </c>
      <c r="L53">
        <f t="shared" si="48"/>
        <v>3356.9479029083923</v>
      </c>
      <c r="M53">
        <f t="shared" si="202"/>
        <v>2.2789949439643437E-6</v>
      </c>
      <c r="N53">
        <f t="shared" si="203"/>
        <v>2.0151897845232729E-3</v>
      </c>
      <c r="O53">
        <f t="shared" si="49"/>
        <v>0.34550869723712052</v>
      </c>
      <c r="Q53">
        <f t="shared" si="50"/>
        <v>2.2582555467122871</v>
      </c>
      <c r="R53">
        <f t="shared" si="51"/>
        <v>0.152</v>
      </c>
      <c r="S53">
        <f t="shared" si="5"/>
        <v>118300.89300000001</v>
      </c>
      <c r="T53">
        <f t="shared" si="6"/>
        <v>5.0488879415383561E-3</v>
      </c>
      <c r="U53">
        <f t="shared" si="52"/>
        <v>4.210835035909374E-3</v>
      </c>
      <c r="V53">
        <f t="shared" si="53"/>
        <v>1.1575080651723696E-2</v>
      </c>
      <c r="W53">
        <f t="shared" si="54"/>
        <v>13.755600186519718</v>
      </c>
      <c r="X53">
        <f t="shared" si="242"/>
        <v>4.0129092213766896E-6</v>
      </c>
      <c r="Y53">
        <f t="shared" si="204"/>
        <v>2.7148238812006776E-2</v>
      </c>
      <c r="Z53">
        <f t="shared" si="55"/>
        <v>3211.6608948376611</v>
      </c>
      <c r="AA53">
        <f t="shared" si="205"/>
        <v>2.2291325979784378E-6</v>
      </c>
      <c r="AB53">
        <f t="shared" si="56"/>
        <v>1.914175032053755E-3</v>
      </c>
      <c r="AC53">
        <f t="shared" si="57"/>
        <v>0.33354023168380842</v>
      </c>
      <c r="AE53">
        <f t="shared" si="58"/>
        <v>4.1559492834453016</v>
      </c>
      <c r="AF53">
        <f t="shared" si="59"/>
        <v>0.152</v>
      </c>
      <c r="AG53">
        <f t="shared" si="7"/>
        <v>118300.89300000001</v>
      </c>
      <c r="AH53">
        <f t="shared" si="8"/>
        <v>5.0488879415383561E-3</v>
      </c>
      <c r="AI53">
        <f t="shared" si="60"/>
        <v>4.210835035909374E-3</v>
      </c>
      <c r="AJ53">
        <f t="shared" si="61"/>
        <v>1.1575080651723696E-2</v>
      </c>
      <c r="AK53">
        <f t="shared" si="62"/>
        <v>13.755600186519718</v>
      </c>
      <c r="AL53">
        <f t="shared" si="243"/>
        <v>3.8767906695005285E-6</v>
      </c>
      <c r="AM53">
        <f t="shared" si="206"/>
        <v>2.5993141674472944E-2</v>
      </c>
      <c r="AN53">
        <f t="shared" si="63"/>
        <v>3075.0118719656648</v>
      </c>
      <c r="AO53">
        <f t="shared" si="207"/>
        <v>2.1811948288563612E-6</v>
      </c>
      <c r="AP53">
        <f t="shared" si="64"/>
        <v>1.8195480196572934E-3</v>
      </c>
      <c r="AQ53">
        <f t="shared" si="65"/>
        <v>0.32222649124647457</v>
      </c>
      <c r="AS53">
        <f t="shared" si="66"/>
        <v>6.053643020178316</v>
      </c>
      <c r="AT53">
        <f t="shared" si="67"/>
        <v>0.152</v>
      </c>
      <c r="AU53">
        <f t="shared" si="9"/>
        <v>118300.89300000001</v>
      </c>
      <c r="AV53">
        <f t="shared" si="10"/>
        <v>5.0488879415383561E-3</v>
      </c>
      <c r="AW53">
        <f t="shared" si="68"/>
        <v>4.210835035909374E-3</v>
      </c>
      <c r="AX53">
        <f t="shared" si="69"/>
        <v>1.1575080651723696E-2</v>
      </c>
      <c r="AY53">
        <f t="shared" si="70"/>
        <v>13.755600186519718</v>
      </c>
      <c r="AZ53">
        <f t="shared" si="244"/>
        <v>3.7480103219128233E-6</v>
      </c>
      <c r="BA53">
        <f t="shared" si="208"/>
        <v>2.4905808524292476E-2</v>
      </c>
      <c r="BB53">
        <f t="shared" si="71"/>
        <v>2946.3793893108123</v>
      </c>
      <c r="BC53">
        <f t="shared" si="209"/>
        <v>2.135086108501314E-6</v>
      </c>
      <c r="BD53">
        <f t="shared" si="72"/>
        <v>1.7308328954471033E-3</v>
      </c>
      <c r="BE53">
        <f t="shared" si="73"/>
        <v>0.31152267897434227</v>
      </c>
      <c r="BG53">
        <f t="shared" si="74"/>
        <v>7.9513367569113313</v>
      </c>
      <c r="BH53">
        <f t="shared" si="75"/>
        <v>0.152</v>
      </c>
      <c r="BI53">
        <f t="shared" si="11"/>
        <v>118300.89300000001</v>
      </c>
      <c r="BJ53">
        <f t="shared" si="12"/>
        <v>5.0488879415383561E-3</v>
      </c>
      <c r="BK53">
        <f t="shared" si="76"/>
        <v>4.210835035909374E-3</v>
      </c>
      <c r="BL53">
        <f t="shared" si="77"/>
        <v>1.1575080651723696E-2</v>
      </c>
      <c r="BM53">
        <f t="shared" si="78"/>
        <v>13.755600186519718</v>
      </c>
      <c r="BN53">
        <f t="shared" si="245"/>
        <v>3.6260716301429772E-6</v>
      </c>
      <c r="BO53">
        <f t="shared" si="210"/>
        <v>2.3881414938137564E-2</v>
      </c>
      <c r="BP53">
        <f t="shared" si="79"/>
        <v>2825.1927132852138</v>
      </c>
      <c r="BQ53">
        <f t="shared" si="211"/>
        <v>2.0907162736807017E-6</v>
      </c>
      <c r="BR53">
        <f t="shared" si="80"/>
        <v>1.6475935664361061E-3</v>
      </c>
      <c r="BS53">
        <f t="shared" si="81"/>
        <v>0.30138752334025048</v>
      </c>
      <c r="BU53">
        <f t="shared" si="82"/>
        <v>9.8490304936443458</v>
      </c>
      <c r="BV53">
        <f t="shared" si="83"/>
        <v>0.152</v>
      </c>
      <c r="BW53">
        <f t="shared" si="13"/>
        <v>118300.89300000001</v>
      </c>
      <c r="BX53">
        <f t="shared" si="14"/>
        <v>5.0488879415383561E-3</v>
      </c>
      <c r="BY53">
        <f t="shared" si="84"/>
        <v>4.210835035909374E-3</v>
      </c>
      <c r="BZ53">
        <f t="shared" si="85"/>
        <v>1.1575080651723696E-2</v>
      </c>
      <c r="CA53">
        <f t="shared" si="86"/>
        <v>13.755600186519718</v>
      </c>
      <c r="CB53">
        <f t="shared" si="246"/>
        <v>3.5105167812314233E-6</v>
      </c>
      <c r="CC53">
        <f t="shared" si="247"/>
        <v>2.2915526924484949E-2</v>
      </c>
      <c r="CD53">
        <f t="shared" si="87"/>
        <v>2710.9272987321133</v>
      </c>
      <c r="CE53">
        <f t="shared" si="248"/>
        <v>2.0480002080609661E-6</v>
      </c>
      <c r="CF53">
        <f t="shared" si="212"/>
        <v>1.5694300909686713E-3</v>
      </c>
      <c r="CG53">
        <f t="shared" si="88"/>
        <v>0.29178297238932599</v>
      </c>
      <c r="CI53">
        <f t="shared" si="89"/>
        <v>11.74672423037736</v>
      </c>
      <c r="CJ53">
        <f t="shared" si="90"/>
        <v>0.152</v>
      </c>
      <c r="CK53">
        <f t="shared" si="15"/>
        <v>118300.89300000001</v>
      </c>
      <c r="CL53">
        <f t="shared" si="16"/>
        <v>5.0488879415383561E-3</v>
      </c>
      <c r="CM53">
        <f t="shared" si="91"/>
        <v>4.210835035909374E-3</v>
      </c>
      <c r="CN53">
        <f t="shared" si="92"/>
        <v>1.1575080651723696E-2</v>
      </c>
      <c r="CO53">
        <f t="shared" si="93"/>
        <v>13.755600186519718</v>
      </c>
      <c r="CP53">
        <f t="shared" si="249"/>
        <v>3.4009233607121446E-6</v>
      </c>
      <c r="CQ53">
        <f t="shared" si="213"/>
        <v>2.2004066328656115E-2</v>
      </c>
      <c r="CR53">
        <f t="shared" si="94"/>
        <v>2603.10069631125</v>
      </c>
      <c r="CS53">
        <f t="shared" si="214"/>
        <v>2.0068575430507619E-6</v>
      </c>
      <c r="CT53">
        <f t="shared" si="95"/>
        <v>1.4959754187849599E-3</v>
      </c>
      <c r="CU53">
        <f t="shared" si="96"/>
        <v>0.28267391637672051</v>
      </c>
      <c r="CW53">
        <f t="shared" si="97"/>
        <v>13.644417967110375</v>
      </c>
      <c r="CX53">
        <f t="shared" si="98"/>
        <v>0.152</v>
      </c>
      <c r="CY53">
        <f t="shared" si="17"/>
        <v>118300.89300000001</v>
      </c>
      <c r="CZ53">
        <f t="shared" si="18"/>
        <v>5.0488879415383561E-3</v>
      </c>
      <c r="DA53">
        <f t="shared" si="99"/>
        <v>4.210835035909374E-3</v>
      </c>
      <c r="DB53">
        <f t="shared" si="100"/>
        <v>1.1575080651723696E-2</v>
      </c>
      <c r="DC53">
        <f t="shared" si="101"/>
        <v>13.755600186519718</v>
      </c>
      <c r="DD53">
        <f t="shared" si="250"/>
        <v>3.2969013247153446E-6</v>
      </c>
      <c r="DE53">
        <f t="shared" si="215"/>
        <v>2.1143279512865865E-2</v>
      </c>
      <c r="DF53">
        <f t="shared" si="102"/>
        <v>2501.2688473206372</v>
      </c>
      <c r="DG53">
        <f t="shared" si="216"/>
        <v>1.9672123764131475E-6</v>
      </c>
      <c r="DH53">
        <f t="shared" si="103"/>
        <v>1.4268924437348786E-3</v>
      </c>
      <c r="DI53">
        <f t="shared" si="104"/>
        <v>0.27402793609842974</v>
      </c>
      <c r="DK53">
        <f t="shared" si="105"/>
        <v>15.542111703843387</v>
      </c>
      <c r="DL53">
        <f t="shared" si="106"/>
        <v>0.152</v>
      </c>
      <c r="DM53">
        <f t="shared" si="19"/>
        <v>118300.89300000001</v>
      </c>
      <c r="DN53">
        <f t="shared" si="20"/>
        <v>5.0488879415383561E-3</v>
      </c>
      <c r="DO53">
        <f t="shared" si="107"/>
        <v>4.210835035909374E-3</v>
      </c>
      <c r="DP53">
        <f t="shared" si="108"/>
        <v>1.1575080651723696E-2</v>
      </c>
      <c r="DQ53">
        <f t="shared" si="109"/>
        <v>13.755600186519718</v>
      </c>
      <c r="DR53">
        <f t="shared" si="251"/>
        <v>3.1980902509786436E-6</v>
      </c>
      <c r="DS53">
        <f t="shared" si="217"/>
        <v>2.0329708985919407E-2</v>
      </c>
      <c r="DT53">
        <f t="shared" si="110"/>
        <v>2405.0227274643903</v>
      </c>
      <c r="DU53">
        <f t="shared" si="218"/>
        <v>1.928993007655453E-6</v>
      </c>
      <c r="DV53">
        <f t="shared" si="111"/>
        <v>1.3618713377852878E-3</v>
      </c>
      <c r="DW53">
        <f t="shared" si="112"/>
        <v>0.26581507440410052</v>
      </c>
      <c r="DY53">
        <f t="shared" si="113"/>
        <v>17.439805440576404</v>
      </c>
      <c r="DZ53">
        <f t="shared" si="114"/>
        <v>0.152</v>
      </c>
      <c r="EA53">
        <f t="shared" si="21"/>
        <v>118300.89300000001</v>
      </c>
      <c r="EB53">
        <f t="shared" si="22"/>
        <v>5.0488879415383561E-3</v>
      </c>
      <c r="EC53">
        <f t="shared" si="115"/>
        <v>4.210835035909374E-3</v>
      </c>
      <c r="ED53">
        <f t="shared" si="116"/>
        <v>1.1575080651723696E-2</v>
      </c>
      <c r="EE53">
        <f t="shared" si="117"/>
        <v>13.755600186519718</v>
      </c>
      <c r="EF53">
        <f t="shared" si="252"/>
        <v>3.1041568416245825E-6</v>
      </c>
      <c r="EG53">
        <f t="shared" si="219"/>
        <v>1.9560167690638199E-2</v>
      </c>
      <c r="EH53">
        <f t="shared" si="118"/>
        <v>2313.9853050322467</v>
      </c>
      <c r="EI53">
        <f t="shared" si="220"/>
        <v>1.892131689252035E-6</v>
      </c>
      <c r="EJ53">
        <f t="shared" si="119"/>
        <v>1.3006271382079331E-3</v>
      </c>
      <c r="EK53">
        <f t="shared" si="120"/>
        <v>0.2580076286358518</v>
      </c>
      <c r="EM53">
        <f t="shared" si="121"/>
        <v>19.337499177309418</v>
      </c>
      <c r="EN53">
        <f t="shared" si="122"/>
        <v>0.152</v>
      </c>
      <c r="EO53">
        <f t="shared" si="23"/>
        <v>118300.89300000001</v>
      </c>
      <c r="EP53">
        <f t="shared" si="24"/>
        <v>5.0488879415383561E-3</v>
      </c>
      <c r="EQ53">
        <f t="shared" si="123"/>
        <v>4.210835035909374E-3</v>
      </c>
      <c r="ER53">
        <f t="shared" si="124"/>
        <v>1.1575080651723696E-2</v>
      </c>
      <c r="ES53">
        <f t="shared" si="125"/>
        <v>13.755600186519718</v>
      </c>
      <c r="ET53">
        <f t="shared" si="253"/>
        <v>3.0147926533114771E-6</v>
      </c>
      <c r="EU53">
        <f t="shared" si="221"/>
        <v>1.8831715687020557E-2</v>
      </c>
      <c r="EV53">
        <f t="shared" si="126"/>
        <v>2227.8087824966406</v>
      </c>
      <c r="EW53">
        <f t="shared" si="222"/>
        <v>1.856564392800254E-6</v>
      </c>
      <c r="EX53">
        <f t="shared" si="127"/>
        <v>1.2428975627373996E-3</v>
      </c>
      <c r="EY53">
        <f t="shared" si="128"/>
        <v>0.25057996196564414</v>
      </c>
      <c r="FA53">
        <f t="shared" si="129"/>
        <v>21.235192914042432</v>
      </c>
      <c r="FB53">
        <f t="shared" si="130"/>
        <v>0.152</v>
      </c>
      <c r="FC53">
        <f t="shared" si="25"/>
        <v>118300.89300000001</v>
      </c>
      <c r="FD53">
        <f t="shared" si="26"/>
        <v>5.0488879415383561E-3</v>
      </c>
      <c r="FE53">
        <f t="shared" si="131"/>
        <v>4.210835035909374E-3</v>
      </c>
      <c r="FF53">
        <f t="shared" si="132"/>
        <v>1.1575080651723696E-2</v>
      </c>
      <c r="FG53">
        <f t="shared" si="133"/>
        <v>13.755600186519718</v>
      </c>
      <c r="FH53">
        <f t="shared" si="254"/>
        <v>2.9297120328275513E-6</v>
      </c>
      <c r="FI53">
        <f t="shared" si="223"/>
        <v>1.8141638995933792E-2</v>
      </c>
      <c r="FJ53">
        <f t="shared" si="134"/>
        <v>2146.1720937025912</v>
      </c>
      <c r="FK53">
        <f t="shared" si="224"/>
        <v>1.8222305892539678E-6</v>
      </c>
      <c r="FL53">
        <f t="shared" si="135"/>
        <v>1.1884410300841263E-3</v>
      </c>
      <c r="FM53">
        <f t="shared" si="136"/>
        <v>0.24350833180843981</v>
      </c>
      <c r="FO53">
        <f t="shared" si="137"/>
        <v>23.132886650775447</v>
      </c>
      <c r="FP53">
        <f t="shared" si="138"/>
        <v>0.152</v>
      </c>
      <c r="FQ53">
        <f t="shared" si="27"/>
        <v>118300.89300000001</v>
      </c>
      <c r="FR53">
        <f t="shared" si="28"/>
        <v>5.0488879415383561E-3</v>
      </c>
      <c r="FS53">
        <f t="shared" si="139"/>
        <v>4.210835035909374E-3</v>
      </c>
      <c r="FT53">
        <f t="shared" si="140"/>
        <v>1.1575080651723696E-2</v>
      </c>
      <c r="FU53">
        <f t="shared" si="141"/>
        <v>13.755600186519718</v>
      </c>
      <c r="FV53">
        <f t="shared" si="255"/>
        <v>2.8486502384054557E-6</v>
      </c>
      <c r="FW53">
        <f t="shared" si="225"/>
        <v>1.748743039211172E-2</v>
      </c>
      <c r="FX53">
        <f t="shared" si="142"/>
        <v>2068.7786316621568</v>
      </c>
      <c r="FY53">
        <f t="shared" si="226"/>
        <v>1.7890730424210543E-6</v>
      </c>
      <c r="FZ53">
        <f t="shared" si="143"/>
        <v>1.1370348655107602E-3</v>
      </c>
      <c r="GA53">
        <f t="shared" si="144"/>
        <v>0.23677073367185014</v>
      </c>
      <c r="GC53">
        <f t="shared" si="145"/>
        <v>25.030580387508461</v>
      </c>
      <c r="GD53">
        <f t="shared" si="146"/>
        <v>0.152</v>
      </c>
      <c r="GE53">
        <f t="shared" si="29"/>
        <v>118300.89300000001</v>
      </c>
      <c r="GF53">
        <f t="shared" si="30"/>
        <v>5.0488879415383561E-3</v>
      </c>
      <c r="GG53">
        <f t="shared" si="147"/>
        <v>4.210835035909374E-3</v>
      </c>
      <c r="GH53">
        <f t="shared" si="148"/>
        <v>1.1575080651723696E-2</v>
      </c>
      <c r="GI53">
        <f t="shared" si="149"/>
        <v>13.755600186519718</v>
      </c>
      <c r="GJ53">
        <f t="shared" si="256"/>
        <v>2.7713617290122907E-6</v>
      </c>
      <c r="GK53">
        <f t="shared" si="227"/>
        <v>1.6866771956707469E-2</v>
      </c>
      <c r="GL53">
        <f t="shared" si="150"/>
        <v>1995.3541845058512</v>
      </c>
      <c r="GM53">
        <f t="shared" si="228"/>
        <v>1.7570376149526528E-6</v>
      </c>
      <c r="GN53">
        <f t="shared" si="151"/>
        <v>1.0884736732585363E-3</v>
      </c>
      <c r="GO53">
        <f t="shared" si="152"/>
        <v>0.23034675896737161</v>
      </c>
      <c r="GQ53">
        <f t="shared" si="153"/>
        <v>26.928274124241476</v>
      </c>
      <c r="GR53">
        <f t="shared" si="154"/>
        <v>0.152</v>
      </c>
      <c r="GS53">
        <f t="shared" si="31"/>
        <v>118300.89300000001</v>
      </c>
      <c r="GT53">
        <f t="shared" si="32"/>
        <v>5.0488879415383561E-3</v>
      </c>
      <c r="GU53">
        <f t="shared" si="155"/>
        <v>4.210835035909374E-3</v>
      </c>
      <c r="GV53">
        <f t="shared" si="156"/>
        <v>1.1575080651723696E-2</v>
      </c>
      <c r="GW53">
        <f t="shared" si="157"/>
        <v>13.755600186519718</v>
      </c>
      <c r="GX53">
        <f t="shared" si="257"/>
        <v>2.6976186056438512E-6</v>
      </c>
      <c r="GY53">
        <f t="shared" si="229"/>
        <v>1.627751921888115E-2</v>
      </c>
      <c r="GZ53">
        <f t="shared" si="158"/>
        <v>1925.6450594183027</v>
      </c>
      <c r="HA53">
        <f t="shared" si="230"/>
        <v>1.7260730860913721E-6</v>
      </c>
      <c r="HB53">
        <f t="shared" si="159"/>
        <v>1.0425678594711823E-3</v>
      </c>
      <c r="HC53">
        <f t="shared" si="160"/>
        <v>0.22421746545572852</v>
      </c>
      <c r="HE53">
        <f t="shared" si="161"/>
        <v>28.82596786097449</v>
      </c>
      <c r="HF53">
        <f t="shared" si="162"/>
        <v>0.152</v>
      </c>
      <c r="HG53">
        <f t="shared" si="33"/>
        <v>118300.89300000001</v>
      </c>
      <c r="HH53">
        <f t="shared" si="34"/>
        <v>5.0488879415383561E-3</v>
      </c>
      <c r="HI53">
        <f t="shared" si="263"/>
        <v>4.210835035909374E-3</v>
      </c>
      <c r="HJ53">
        <f t="shared" si="164"/>
        <v>1.1575080651723696E-2</v>
      </c>
      <c r="HK53">
        <f t="shared" si="165"/>
        <v>13.755600186519718</v>
      </c>
      <c r="HL53">
        <f t="shared" si="258"/>
        <v>2.6272091902421529E-6</v>
      </c>
      <c r="HM53">
        <f t="shared" si="231"/>
        <v>1.5717686733128705E-2</v>
      </c>
      <c r="HN53">
        <f t="shared" si="166"/>
        <v>1859.4163764233788</v>
      </c>
      <c r="HO53">
        <f t="shared" si="232"/>
        <v>1.6961309804839138E-6</v>
      </c>
      <c r="HP53">
        <f t="shared" si="167"/>
        <v>9.9914229092945106E-4</v>
      </c>
      <c r="HQ53">
        <f t="shared" si="168"/>
        <v>0.21836525913102442</v>
      </c>
      <c r="HS53">
        <f t="shared" si="169"/>
        <v>30.723661597707505</v>
      </c>
      <c r="HT53">
        <f t="shared" si="170"/>
        <v>0.152</v>
      </c>
      <c r="HU53">
        <f t="shared" si="35"/>
        <v>118300.89300000001</v>
      </c>
      <c r="HV53">
        <f t="shared" si="36"/>
        <v>5.0488879415383561E-3</v>
      </c>
      <c r="HW53">
        <f t="shared" si="264"/>
        <v>4.210835035909374E-3</v>
      </c>
      <c r="HX53">
        <f t="shared" si="172"/>
        <v>1.1575080651723696E-2</v>
      </c>
      <c r="HY53">
        <f t="shared" si="173"/>
        <v>13.755600186519718</v>
      </c>
      <c r="HZ53">
        <f t="shared" si="259"/>
        <v>2.5599367292819582E-6</v>
      </c>
      <c r="IA53">
        <f t="shared" si="233"/>
        <v>1.5185434954493289E-2</v>
      </c>
      <c r="IB53">
        <f t="shared" si="174"/>
        <v>1796.4505157099707</v>
      </c>
      <c r="IC53">
        <f t="shared" si="234"/>
        <v>1.6671654074003619E-6</v>
      </c>
      <c r="ID53">
        <f t="shared" si="175"/>
        <v>9.5803507640084072E-4</v>
      </c>
      <c r="IE53">
        <f t="shared" si="176"/>
        <v>0.21277378646698406</v>
      </c>
      <c r="IG53">
        <f t="shared" si="177"/>
        <v>32.621355334440523</v>
      </c>
      <c r="IH53">
        <f t="shared" si="178"/>
        <v>0.152</v>
      </c>
      <c r="II53">
        <f t="shared" si="37"/>
        <v>118300.89300000001</v>
      </c>
      <c r="IJ53">
        <f t="shared" si="38"/>
        <v>5.0488879415383561E-3</v>
      </c>
      <c r="IK53">
        <f t="shared" si="265"/>
        <v>4.210835035909374E-3</v>
      </c>
      <c r="IL53">
        <f t="shared" si="180"/>
        <v>1.1575080651723696E-2</v>
      </c>
      <c r="IM53">
        <f t="shared" si="181"/>
        <v>13.755600186519718</v>
      </c>
      <c r="IN53">
        <f t="shared" si="260"/>
        <v>2.4956182103521184E-6</v>
      </c>
      <c r="IO53">
        <f t="shared" si="235"/>
        <v>1.4679058287633242E-2</v>
      </c>
      <c r="IP53">
        <f t="shared" si="182"/>
        <v>1736.5457038260636</v>
      </c>
      <c r="IQ53">
        <f t="shared" si="236"/>
        <v>1.6391329097377261E-6</v>
      </c>
      <c r="IR53">
        <f t="shared" si="183"/>
        <v>9.1909645874481936E-4</v>
      </c>
      <c r="IS53">
        <f t="shared" si="184"/>
        <v>0.20742783605496393</v>
      </c>
      <c r="IU53">
        <f t="shared" si="185"/>
        <v>34.519049071173534</v>
      </c>
      <c r="IV53">
        <f t="shared" si="186"/>
        <v>0.152</v>
      </c>
      <c r="IW53">
        <f t="shared" si="39"/>
        <v>118300.89300000001</v>
      </c>
      <c r="IX53">
        <f t="shared" si="40"/>
        <v>5.0488879415383561E-3</v>
      </c>
      <c r="IY53">
        <f t="shared" si="266"/>
        <v>4.210835035909374E-3</v>
      </c>
      <c r="IZ53">
        <f t="shared" si="188"/>
        <v>1.1575080651723696E-2</v>
      </c>
      <c r="JA53">
        <f t="shared" si="189"/>
        <v>13.755600186519718</v>
      </c>
      <c r="JB53">
        <f t="shared" si="261"/>
        <v>2.4340832812065557E-6</v>
      </c>
      <c r="JC53">
        <f t="shared" si="237"/>
        <v>1.4196974198121413E-2</v>
      </c>
      <c r="JD53">
        <f t="shared" si="190"/>
        <v>1679.5147255357222</v>
      </c>
      <c r="JE53">
        <f t="shared" si="238"/>
        <v>1.6119923222192978E-6</v>
      </c>
      <c r="JF53">
        <f t="shared" si="191"/>
        <v>8.8218780711042189E-4</v>
      </c>
      <c r="JG53">
        <f t="shared" si="192"/>
        <v>0.20231324875891327</v>
      </c>
      <c r="JI53">
        <f t="shared" si="193"/>
        <v>36.416742807906552</v>
      </c>
      <c r="JJ53">
        <f t="shared" si="194"/>
        <v>0.152</v>
      </c>
      <c r="JK53">
        <f t="shared" si="41"/>
        <v>118300.89300000001</v>
      </c>
      <c r="JL53">
        <f t="shared" si="42"/>
        <v>5.0488879415383561E-3</v>
      </c>
      <c r="JM53">
        <f t="shared" si="267"/>
        <v>4.210835035909374E-3</v>
      </c>
      <c r="JN53">
        <f t="shared" si="196"/>
        <v>1.1575080651723696E-2</v>
      </c>
      <c r="JO53">
        <f t="shared" si="197"/>
        <v>13.755600186519718</v>
      </c>
      <c r="JP53">
        <f t="shared" si="262"/>
        <v>2.3751732617913139E-6</v>
      </c>
      <c r="JQ53">
        <f t="shared" si="239"/>
        <v>1.3737713285469041E-2</v>
      </c>
      <c r="JR53">
        <f t="shared" si="198"/>
        <v>1625.1837494489516</v>
      </c>
      <c r="JS53">
        <f t="shared" si="240"/>
        <v>1.5857046382338559E-6</v>
      </c>
      <c r="JT53">
        <f t="shared" si="199"/>
        <v>8.4718069963524785E-4</v>
      </c>
      <c r="JU53">
        <f t="shared" si="200"/>
        <v>0.19741683559820972</v>
      </c>
    </row>
    <row r="54" spans="2:281">
      <c r="B54">
        <v>0.2</v>
      </c>
      <c r="C54">
        <f t="shared" si="43"/>
        <v>0.37953874734660292</v>
      </c>
      <c r="D54">
        <f t="shared" si="44"/>
        <v>0.16000000000000003</v>
      </c>
      <c r="E54">
        <f t="shared" si="3"/>
        <v>118116.46500000001</v>
      </c>
      <c r="F54">
        <f t="shared" si="4"/>
        <v>5.0515143664739059E-3</v>
      </c>
      <c r="G54">
        <f t="shared" si="45"/>
        <v>4.2097402275768376E-3</v>
      </c>
      <c r="H54">
        <f t="shared" si="46"/>
        <v>1.1593154075902418E-2</v>
      </c>
      <c r="I54">
        <f t="shared" si="47"/>
        <v>13.769915199502545</v>
      </c>
      <c r="J54">
        <f t="shared" si="241"/>
        <v>4.154840756050033E-6</v>
      </c>
      <c r="K54">
        <f t="shared" si="201"/>
        <v>2.9460334367444579E-2</v>
      </c>
      <c r="L54">
        <f t="shared" si="48"/>
        <v>3479.7505532005653</v>
      </c>
      <c r="M54">
        <f t="shared" si="202"/>
        <v>2.3203052210274064E-6</v>
      </c>
      <c r="N54">
        <f t="shared" si="203"/>
        <v>1.9701808727943405E-3</v>
      </c>
      <c r="O54">
        <f t="shared" si="49"/>
        <v>0.34533712873445854</v>
      </c>
      <c r="Q54">
        <f t="shared" si="50"/>
        <v>2.2772324840796174</v>
      </c>
      <c r="R54">
        <f t="shared" si="51"/>
        <v>0.16000000000000003</v>
      </c>
      <c r="S54">
        <f t="shared" si="5"/>
        <v>118116.46500000001</v>
      </c>
      <c r="T54">
        <f t="shared" si="6"/>
        <v>5.0515143664739059E-3</v>
      </c>
      <c r="U54">
        <f t="shared" si="52"/>
        <v>4.2097402275768376E-3</v>
      </c>
      <c r="V54">
        <f t="shared" si="53"/>
        <v>1.1593154075902418E-2</v>
      </c>
      <c r="W54">
        <f t="shared" si="54"/>
        <v>13.769915199502545</v>
      </c>
      <c r="X54">
        <f t="shared" si="242"/>
        <v>4.0109485068589333E-6</v>
      </c>
      <c r="Y54">
        <f t="shared" si="204"/>
        <v>2.8177883780127724E-2</v>
      </c>
      <c r="Z54">
        <f t="shared" si="55"/>
        <v>3328.2720232895244</v>
      </c>
      <c r="AA54">
        <f t="shared" si="205"/>
        <v>2.2692401980630808E-6</v>
      </c>
      <c r="AB54">
        <f t="shared" si="56"/>
        <v>1.8704900125765319E-3</v>
      </c>
      <c r="AC54">
        <f t="shared" si="57"/>
        <v>0.33337726333878964</v>
      </c>
      <c r="AE54">
        <f t="shared" si="58"/>
        <v>4.1749262208126323</v>
      </c>
      <c r="AF54">
        <f t="shared" si="59"/>
        <v>0.16000000000000003</v>
      </c>
      <c r="AG54">
        <f t="shared" si="7"/>
        <v>118116.46500000001</v>
      </c>
      <c r="AH54">
        <f t="shared" si="8"/>
        <v>5.0515143664739059E-3</v>
      </c>
      <c r="AI54">
        <f t="shared" si="60"/>
        <v>4.2097402275768376E-3</v>
      </c>
      <c r="AJ54">
        <f t="shared" si="61"/>
        <v>1.1593154075902418E-2</v>
      </c>
      <c r="AK54">
        <f t="shared" si="62"/>
        <v>13.769915199502545</v>
      </c>
      <c r="AL54">
        <f t="shared" si="243"/>
        <v>3.8749268826690449E-6</v>
      </c>
      <c r="AM54">
        <f t="shared" si="206"/>
        <v>2.697188626748151E-2</v>
      </c>
      <c r="AN54">
        <f t="shared" si="63"/>
        <v>3185.8238602969604</v>
      </c>
      <c r="AO54">
        <f t="shared" si="207"/>
        <v>2.2201480758106149E-6</v>
      </c>
      <c r="AP54">
        <f t="shared" si="64"/>
        <v>1.7771329536757699E-3</v>
      </c>
      <c r="AQ54">
        <f t="shared" si="65"/>
        <v>0.32207157922198354</v>
      </c>
      <c r="AS54">
        <f t="shared" si="66"/>
        <v>6.0726199575456468</v>
      </c>
      <c r="AT54">
        <f t="shared" si="67"/>
        <v>0.16000000000000003</v>
      </c>
      <c r="AU54">
        <f t="shared" si="9"/>
        <v>118116.46500000001</v>
      </c>
      <c r="AV54">
        <f t="shared" si="10"/>
        <v>5.0515143664739059E-3</v>
      </c>
      <c r="AW54">
        <f t="shared" si="68"/>
        <v>4.2097402275768376E-3</v>
      </c>
      <c r="AX54">
        <f t="shared" si="69"/>
        <v>1.1593154075902418E-2</v>
      </c>
      <c r="AY54">
        <f t="shared" si="70"/>
        <v>13.769915199502545</v>
      </c>
      <c r="AZ54">
        <f t="shared" si="244"/>
        <v>3.7462374071432312E-6</v>
      </c>
      <c r="BA54">
        <f t="shared" si="208"/>
        <v>2.5836832778403273E-2</v>
      </c>
      <c r="BB54">
        <f t="shared" si="71"/>
        <v>3051.7553545811234</v>
      </c>
      <c r="BC54">
        <f t="shared" si="209"/>
        <v>2.1729309139682135E-6</v>
      </c>
      <c r="BD54">
        <f t="shared" si="72"/>
        <v>1.6896365868750147E-3</v>
      </c>
      <c r="BE54">
        <f t="shared" si="73"/>
        <v>0.31137531994617007</v>
      </c>
      <c r="BG54">
        <f t="shared" si="74"/>
        <v>7.9703136942786612</v>
      </c>
      <c r="BH54">
        <f t="shared" si="75"/>
        <v>0.16000000000000003</v>
      </c>
      <c r="BI54">
        <f t="shared" si="11"/>
        <v>118116.46500000001</v>
      </c>
      <c r="BJ54">
        <f t="shared" si="12"/>
        <v>5.0515143664739059E-3</v>
      </c>
      <c r="BK54">
        <f t="shared" si="76"/>
        <v>4.2097402275768376E-3</v>
      </c>
      <c r="BL54">
        <f t="shared" si="77"/>
        <v>1.1593154075902418E-2</v>
      </c>
      <c r="BM54">
        <f t="shared" si="78"/>
        <v>13.769915199502545</v>
      </c>
      <c r="BN54">
        <f t="shared" si="245"/>
        <v>3.6243839785066448E-6</v>
      </c>
      <c r="BO54">
        <f t="shared" si="210"/>
        <v>2.4767664312819463E-2</v>
      </c>
      <c r="BP54">
        <f t="shared" si="79"/>
        <v>2925.4689549368895</v>
      </c>
      <c r="BQ54">
        <f t="shared" si="211"/>
        <v>2.1274962725156927E-6</v>
      </c>
      <c r="BR54">
        <f t="shared" si="80"/>
        <v>1.6075674037178019E-3</v>
      </c>
      <c r="BS54">
        <f t="shared" si="81"/>
        <v>0.30124725111211603</v>
      </c>
      <c r="BU54">
        <f t="shared" si="82"/>
        <v>9.8680074310116748</v>
      </c>
      <c r="BV54">
        <f t="shared" si="83"/>
        <v>0.16000000000000003</v>
      </c>
      <c r="BW54">
        <f t="shared" si="13"/>
        <v>118116.46500000001</v>
      </c>
      <c r="BX54">
        <f t="shared" si="14"/>
        <v>5.0515143664739059E-3</v>
      </c>
      <c r="BY54">
        <f t="shared" si="84"/>
        <v>4.2097402275768376E-3</v>
      </c>
      <c r="BZ54">
        <f t="shared" si="85"/>
        <v>1.1593154075902418E-2</v>
      </c>
      <c r="CA54">
        <f t="shared" si="86"/>
        <v>13.769915199502545</v>
      </c>
      <c r="CB54">
        <f t="shared" si="246"/>
        <v>3.5089091934651869E-6</v>
      </c>
      <c r="CC54">
        <f t="shared" si="247"/>
        <v>2.37597317484553E-2</v>
      </c>
      <c r="CD54">
        <f t="shared" si="87"/>
        <v>2806.4155234758096</v>
      </c>
      <c r="CE54">
        <f t="shared" si="248"/>
        <v>2.0837568857554133E-6</v>
      </c>
      <c r="CF54">
        <f t="shared" si="212"/>
        <v>1.530527898678114E-3</v>
      </c>
      <c r="CG54">
        <f t="shared" si="88"/>
        <v>0.2916493548150369</v>
      </c>
      <c r="CI54">
        <f t="shared" si="89"/>
        <v>11.765701167744689</v>
      </c>
      <c r="CJ54">
        <f t="shared" si="90"/>
        <v>0.16000000000000003</v>
      </c>
      <c r="CK54">
        <f t="shared" si="15"/>
        <v>118116.46500000001</v>
      </c>
      <c r="CL54">
        <f t="shared" si="16"/>
        <v>5.0515143664739059E-3</v>
      </c>
      <c r="CM54">
        <f t="shared" si="91"/>
        <v>4.2097402275768376E-3</v>
      </c>
      <c r="CN54">
        <f t="shared" si="92"/>
        <v>1.1593154075902418E-2</v>
      </c>
      <c r="CO54">
        <f t="shared" si="93"/>
        <v>13.769915199502545</v>
      </c>
      <c r="CP54">
        <f t="shared" si="249"/>
        <v>3.3993910135272216E-6</v>
      </c>
      <c r="CQ54">
        <f t="shared" si="213"/>
        <v>2.2808759492338126E-2</v>
      </c>
      <c r="CR54">
        <f t="shared" si="94"/>
        <v>2694.0900422701743</v>
      </c>
      <c r="CS54">
        <f t="shared" si="214"/>
        <v>2.0416303556311761E-6</v>
      </c>
      <c r="CT54">
        <f t="shared" si="95"/>
        <v>1.4581533183473908E-3</v>
      </c>
      <c r="CU54">
        <f t="shared" si="96"/>
        <v>0.28254655255987743</v>
      </c>
      <c r="CW54">
        <f t="shared" si="97"/>
        <v>13.663394904477704</v>
      </c>
      <c r="CX54">
        <f t="shared" si="98"/>
        <v>0.16000000000000003</v>
      </c>
      <c r="CY54">
        <f t="shared" si="17"/>
        <v>118116.46500000001</v>
      </c>
      <c r="CZ54">
        <f t="shared" si="18"/>
        <v>5.0515143664739059E-3</v>
      </c>
      <c r="DA54">
        <f t="shared" si="99"/>
        <v>4.2097402275768376E-3</v>
      </c>
      <c r="DB54">
        <f t="shared" si="100"/>
        <v>1.1593154075902418E-2</v>
      </c>
      <c r="DC54">
        <f t="shared" si="101"/>
        <v>13.769915199502545</v>
      </c>
      <c r="DD54">
        <f t="shared" si="250"/>
        <v>3.2954397401251906E-6</v>
      </c>
      <c r="DE54">
        <f t="shared" si="215"/>
        <v>2.1910812575485009E-2</v>
      </c>
      <c r="DF54">
        <f t="shared" si="102"/>
        <v>2588.0277266938351</v>
      </c>
      <c r="DG54">
        <f t="shared" si="216"/>
        <v>2.001038863260015E-6</v>
      </c>
      <c r="DH54">
        <f t="shared" si="103"/>
        <v>1.3901087226945092E-3</v>
      </c>
      <c r="DI54">
        <f t="shared" si="104"/>
        <v>0.27390645384305534</v>
      </c>
      <c r="DK54">
        <f t="shared" si="105"/>
        <v>15.561088641210716</v>
      </c>
      <c r="DL54">
        <f t="shared" si="106"/>
        <v>0.16000000000000003</v>
      </c>
      <c r="DM54">
        <f t="shared" si="19"/>
        <v>118116.46500000001</v>
      </c>
      <c r="DN54">
        <f t="shared" si="20"/>
        <v>5.0515143664739059E-3</v>
      </c>
      <c r="DO54">
        <f t="shared" si="107"/>
        <v>4.2097402275768376E-3</v>
      </c>
      <c r="DP54">
        <f t="shared" si="108"/>
        <v>1.1593154075902418E-2</v>
      </c>
      <c r="DQ54">
        <f t="shared" si="109"/>
        <v>13.769915199502545</v>
      </c>
      <c r="DR54">
        <f t="shared" si="251"/>
        <v>3.1966952683576207E-6</v>
      </c>
      <c r="DS54">
        <f t="shared" si="217"/>
        <v>2.1062266848548183E-2</v>
      </c>
      <c r="DT54">
        <f t="shared" si="110"/>
        <v>2487.8005050372021</v>
      </c>
      <c r="DU54">
        <f t="shared" si="218"/>
        <v>1.9619088976610023E-6</v>
      </c>
      <c r="DV54">
        <f t="shared" si="111"/>
        <v>1.3260863270787584E-3</v>
      </c>
      <c r="DW54">
        <f t="shared" si="112"/>
        <v>0.26569912789224515</v>
      </c>
      <c r="DY54">
        <f t="shared" si="113"/>
        <v>17.458782377943731</v>
      </c>
      <c r="DZ54">
        <f t="shared" si="114"/>
        <v>0.16000000000000003</v>
      </c>
      <c r="EA54">
        <f t="shared" si="21"/>
        <v>118116.46500000001</v>
      </c>
      <c r="EB54">
        <f t="shared" si="22"/>
        <v>5.0515143664739059E-3</v>
      </c>
      <c r="EC54">
        <f t="shared" si="115"/>
        <v>4.2097402275768376E-3</v>
      </c>
      <c r="ED54">
        <f t="shared" si="116"/>
        <v>1.1593154075902418E-2</v>
      </c>
      <c r="EE54">
        <f t="shared" si="117"/>
        <v>13.769915199502545</v>
      </c>
      <c r="EF54">
        <f t="shared" si="252"/>
        <v>3.1028245922381014E-6</v>
      </c>
      <c r="EG54">
        <f t="shared" si="219"/>
        <v>2.0259781971376303E-2</v>
      </c>
      <c r="EH54">
        <f t="shared" si="118"/>
        <v>2393.0138281297004</v>
      </c>
      <c r="EI54">
        <f t="shared" si="220"/>
        <v>1.9241710007128654E-6</v>
      </c>
      <c r="EJ54">
        <f t="shared" si="119"/>
        <v>1.2658030969374123E-3</v>
      </c>
      <c r="EK54">
        <f t="shared" si="120"/>
        <v>0.25789689631061991</v>
      </c>
      <c r="EM54">
        <f t="shared" si="121"/>
        <v>19.356476114676745</v>
      </c>
      <c r="EN54">
        <f t="shared" si="122"/>
        <v>0.16000000000000003</v>
      </c>
      <c r="EO54">
        <f t="shared" si="23"/>
        <v>118116.46500000001</v>
      </c>
      <c r="EP54">
        <f t="shared" si="24"/>
        <v>5.0515143664739059E-3</v>
      </c>
      <c r="EQ54">
        <f t="shared" si="123"/>
        <v>4.2097402275768376E-3</v>
      </c>
      <c r="ER54">
        <f t="shared" si="124"/>
        <v>1.1593154075902418E-2</v>
      </c>
      <c r="ES54">
        <f t="shared" si="125"/>
        <v>13.769915199502545</v>
      </c>
      <c r="ET54">
        <f t="shared" si="253"/>
        <v>3.0135195370841028E-6</v>
      </c>
      <c r="EU54">
        <f t="shared" si="221"/>
        <v>1.9500276920937126E-2</v>
      </c>
      <c r="EV54">
        <f t="shared" si="126"/>
        <v>2303.3037764221781</v>
      </c>
      <c r="EW54">
        <f t="shared" si="222"/>
        <v>1.8877595274184838E-6</v>
      </c>
      <c r="EX54">
        <f t="shared" si="127"/>
        <v>1.208998569969166E-3</v>
      </c>
      <c r="EY54">
        <f t="shared" si="128"/>
        <v>0.25047414460023332</v>
      </c>
      <c r="FA54">
        <f t="shared" si="129"/>
        <v>21.25416985140976</v>
      </c>
      <c r="FB54">
        <f t="shared" si="130"/>
        <v>0.16000000000000003</v>
      </c>
      <c r="FC54">
        <f t="shared" si="25"/>
        <v>118116.46500000001</v>
      </c>
      <c r="FD54">
        <f t="shared" si="26"/>
        <v>5.0515143664739059E-3</v>
      </c>
      <c r="FE54">
        <f t="shared" si="131"/>
        <v>4.2097402275768376E-3</v>
      </c>
      <c r="FF54">
        <f t="shared" si="132"/>
        <v>1.1593154075902418E-2</v>
      </c>
      <c r="FG54">
        <f t="shared" si="133"/>
        <v>13.769915199502545</v>
      </c>
      <c r="FH54">
        <f t="shared" si="254"/>
        <v>2.9284946971387234E-6</v>
      </c>
      <c r="FI54">
        <f t="shared" si="223"/>
        <v>1.8780907770232606E-2</v>
      </c>
      <c r="FJ54">
        <f t="shared" si="134"/>
        <v>2218.3344353109078</v>
      </c>
      <c r="FK54">
        <f t="shared" si="224"/>
        <v>1.8526124205992769E-6</v>
      </c>
      <c r="FL54">
        <f t="shared" si="135"/>
        <v>1.1554328832285635E-3</v>
      </c>
      <c r="FM54">
        <f t="shared" si="136"/>
        <v>0.24340715074370858</v>
      </c>
      <c r="FO54">
        <f t="shared" si="137"/>
        <v>23.151863588142774</v>
      </c>
      <c r="FP54">
        <f t="shared" si="138"/>
        <v>0.16000000000000003</v>
      </c>
      <c r="FQ54">
        <f t="shared" si="27"/>
        <v>118116.46500000001</v>
      </c>
      <c r="FR54">
        <f t="shared" si="28"/>
        <v>5.0515143664739059E-3</v>
      </c>
      <c r="FS54">
        <f t="shared" si="139"/>
        <v>4.2097402275768376E-3</v>
      </c>
      <c r="FT54">
        <f t="shared" si="140"/>
        <v>1.1593154075902418E-2</v>
      </c>
      <c r="FU54">
        <f t="shared" si="141"/>
        <v>13.769915199502545</v>
      </c>
      <c r="FV54">
        <f t="shared" si="255"/>
        <v>2.8474855587232592E-6</v>
      </c>
      <c r="FW54">
        <f t="shared" si="225"/>
        <v>1.8099047516066644E-2</v>
      </c>
      <c r="FX54">
        <f t="shared" si="142"/>
        <v>2137.7955124648229</v>
      </c>
      <c r="FY54">
        <f t="shared" si="226"/>
        <v>1.8186709991859112E-6</v>
      </c>
      <c r="FZ54">
        <f t="shared" si="143"/>
        <v>1.1048849848677462E-3</v>
      </c>
      <c r="GA54">
        <f t="shared" si="144"/>
        <v>0.2366739292066587</v>
      </c>
      <c r="GC54">
        <f t="shared" si="145"/>
        <v>25.049557324875789</v>
      </c>
      <c r="GD54">
        <f t="shared" si="146"/>
        <v>0.16000000000000003</v>
      </c>
      <c r="GE54">
        <f t="shared" si="29"/>
        <v>118116.46500000001</v>
      </c>
      <c r="GF54">
        <f t="shared" si="30"/>
        <v>5.0515143664739059E-3</v>
      </c>
      <c r="GG54">
        <f t="shared" si="147"/>
        <v>4.2097402275768376E-3</v>
      </c>
      <c r="GH54">
        <f t="shared" si="148"/>
        <v>1.1593154075902418E-2</v>
      </c>
      <c r="GI54">
        <f t="shared" si="149"/>
        <v>13.769915199502545</v>
      </c>
      <c r="GJ54">
        <f t="shared" si="256"/>
        <v>2.7702467911943718E-6</v>
      </c>
      <c r="GK54">
        <f t="shared" si="227"/>
        <v>1.745226775611727E-2</v>
      </c>
      <c r="GL54">
        <f t="shared" si="150"/>
        <v>2061.4001735860543</v>
      </c>
      <c r="GM54">
        <f t="shared" si="228"/>
        <v>1.7858797593137764E-6</v>
      </c>
      <c r="GN54">
        <f t="shared" si="151"/>
        <v>1.0571510123386985E-3</v>
      </c>
      <c r="GO54">
        <f t="shared" si="152"/>
        <v>0.23025408888749024</v>
      </c>
      <c r="GQ54">
        <f t="shared" si="153"/>
        <v>26.947251061608803</v>
      </c>
      <c r="GR54">
        <f t="shared" si="154"/>
        <v>0.16000000000000003</v>
      </c>
      <c r="GS54">
        <f t="shared" si="31"/>
        <v>118116.46500000001</v>
      </c>
      <c r="GT54">
        <f t="shared" si="32"/>
        <v>5.0515143664739059E-3</v>
      </c>
      <c r="GU54">
        <f t="shared" si="155"/>
        <v>4.2097402275768376E-3</v>
      </c>
      <c r="GV54">
        <f t="shared" si="156"/>
        <v>1.1593154075902418E-2</v>
      </c>
      <c r="GW54">
        <f t="shared" si="157"/>
        <v>13.769915199502545</v>
      </c>
      <c r="GX54">
        <f t="shared" si="257"/>
        <v>2.6965506897513232E-6</v>
      </c>
      <c r="GY54">
        <f t="shared" si="229"/>
        <v>1.6838322035997201E-2</v>
      </c>
      <c r="GZ54">
        <f t="shared" si="158"/>
        <v>1988.8830754235923</v>
      </c>
      <c r="HA54">
        <f t="shared" si="230"/>
        <v>1.7541861874723141E-6</v>
      </c>
      <c r="HB54">
        <f t="shared" si="159"/>
        <v>1.0120428207282251E-3</v>
      </c>
      <c r="HC54">
        <f t="shared" si="160"/>
        <v>0.2241287036885011</v>
      </c>
      <c r="HE54">
        <f t="shared" si="161"/>
        <v>28.844944798341817</v>
      </c>
      <c r="HF54">
        <f t="shared" si="162"/>
        <v>0.16000000000000003</v>
      </c>
      <c r="HG54">
        <f t="shared" si="33"/>
        <v>118116.46500000001</v>
      </c>
      <c r="HH54">
        <f t="shared" si="34"/>
        <v>5.0515143664739059E-3</v>
      </c>
      <c r="HI54">
        <f t="shared" si="263"/>
        <v>4.2097402275768376E-3</v>
      </c>
      <c r="HJ54">
        <f t="shared" si="164"/>
        <v>1.1593154075902418E-2</v>
      </c>
      <c r="HK54">
        <f t="shared" si="165"/>
        <v>13.769915199502545</v>
      </c>
      <c r="HL54">
        <f t="shared" si="258"/>
        <v>2.6261857557273756E-6</v>
      </c>
      <c r="HM54">
        <f t="shared" si="231"/>
        <v>1.6255130705108842E-2</v>
      </c>
      <c r="HN54">
        <f t="shared" si="166"/>
        <v>1919.9985770004141</v>
      </c>
      <c r="HO54">
        <f t="shared" si="232"/>
        <v>1.7235405849963864E-6</v>
      </c>
      <c r="HP54">
        <f t="shared" si="167"/>
        <v>9.6938664656198281E-4</v>
      </c>
      <c r="HQ54">
        <f t="shared" si="168"/>
        <v>0.21828019451422384</v>
      </c>
      <c r="HS54">
        <f t="shared" si="169"/>
        <v>30.742638535074832</v>
      </c>
      <c r="HT54">
        <f t="shared" si="170"/>
        <v>0.16000000000000003</v>
      </c>
      <c r="HU54">
        <f t="shared" si="35"/>
        <v>118116.46500000001</v>
      </c>
      <c r="HV54">
        <f t="shared" si="36"/>
        <v>5.0515143664739059E-3</v>
      </c>
      <c r="HW54">
        <f t="shared" si="264"/>
        <v>4.2097402275768376E-3</v>
      </c>
      <c r="HX54">
        <f t="shared" si="172"/>
        <v>1.1593154075902418E-2</v>
      </c>
      <c r="HY54">
        <f t="shared" si="173"/>
        <v>13.769915199502545</v>
      </c>
      <c r="HZ54">
        <f t="shared" si="259"/>
        <v>2.5589554014245976E-6</v>
      </c>
      <c r="IA54">
        <f t="shared" si="233"/>
        <v>1.5700767136337165E-2</v>
      </c>
      <c r="IB54">
        <f t="shared" si="174"/>
        <v>1854.5191119323192</v>
      </c>
      <c r="IC54">
        <f t="shared" si="234"/>
        <v>1.6938959032255677E-6</v>
      </c>
      <c r="ID54">
        <f t="shared" si="175"/>
        <v>9.2902189390394027E-4</v>
      </c>
      <c r="IE54">
        <f t="shared" si="176"/>
        <v>0.2126922216214206</v>
      </c>
      <c r="IG54">
        <f t="shared" si="177"/>
        <v>32.64033227180785</v>
      </c>
      <c r="IH54">
        <f t="shared" si="178"/>
        <v>0.16000000000000003</v>
      </c>
      <c r="II54">
        <f t="shared" si="37"/>
        <v>118116.46500000001</v>
      </c>
      <c r="IJ54">
        <f t="shared" si="38"/>
        <v>5.0515143664739059E-3</v>
      </c>
      <c r="IK54">
        <f t="shared" si="265"/>
        <v>4.2097402275768376E-3</v>
      </c>
      <c r="IL54">
        <f t="shared" si="180"/>
        <v>1.1593154075902418E-2</v>
      </c>
      <c r="IM54">
        <f t="shared" si="181"/>
        <v>13.769915199502545</v>
      </c>
      <c r="IN54">
        <f t="shared" si="260"/>
        <v>2.4946767678300386E-6</v>
      </c>
      <c r="IO54">
        <f t="shared" si="235"/>
        <v>1.5173445179175172E-2</v>
      </c>
      <c r="IP54">
        <f t="shared" si="182"/>
        <v>1792.2337064354631</v>
      </c>
      <c r="IQ54">
        <f t="shared" si="236"/>
        <v>1.6652075886934794E-6</v>
      </c>
      <c r="IR54">
        <f t="shared" si="183"/>
        <v>8.9080003091197455E-4</v>
      </c>
      <c r="IS54">
        <f t="shared" si="184"/>
        <v>0.20734958635141748</v>
      </c>
      <c r="IU54">
        <f t="shared" si="185"/>
        <v>34.538026008540861</v>
      </c>
      <c r="IV54">
        <f t="shared" si="186"/>
        <v>0.16000000000000003</v>
      </c>
      <c r="IW54">
        <f t="shared" si="39"/>
        <v>118116.46500000001</v>
      </c>
      <c r="IX54">
        <f t="shared" si="40"/>
        <v>5.0515143664739059E-3</v>
      </c>
      <c r="IY54">
        <f t="shared" si="266"/>
        <v>4.2097402275768376E-3</v>
      </c>
      <c r="IZ54">
        <f t="shared" si="188"/>
        <v>1.1593154075902418E-2</v>
      </c>
      <c r="JA54">
        <f t="shared" si="189"/>
        <v>13.769915199502545</v>
      </c>
      <c r="JB54">
        <f t="shared" si="261"/>
        <v>2.4331796446990141E-6</v>
      </c>
      <c r="JC54">
        <f t="shared" si="237"/>
        <v>1.4671507728920931E-2</v>
      </c>
      <c r="JD54">
        <f t="shared" si="190"/>
        <v>1732.9466291603187</v>
      </c>
      <c r="JE54">
        <f t="shared" si="238"/>
        <v>1.6374334377440539E-6</v>
      </c>
      <c r="JF54">
        <f t="shared" si="191"/>
        <v>8.5458358620563494E-4</v>
      </c>
      <c r="JG54">
        <f t="shared" si="192"/>
        <v>0.20223814137086724</v>
      </c>
      <c r="JI54">
        <f t="shared" si="193"/>
        <v>36.435719745273879</v>
      </c>
      <c r="JJ54">
        <f t="shared" si="194"/>
        <v>0.16000000000000003</v>
      </c>
      <c r="JK54">
        <f t="shared" si="41"/>
        <v>118116.46500000001</v>
      </c>
      <c r="JL54">
        <f t="shared" si="42"/>
        <v>5.0515143664739059E-3</v>
      </c>
      <c r="JM54">
        <f t="shared" si="267"/>
        <v>4.2097402275768376E-3</v>
      </c>
      <c r="JN54">
        <f t="shared" si="196"/>
        <v>1.1593154075902418E-2</v>
      </c>
      <c r="JO54">
        <f t="shared" si="197"/>
        <v>13.769915199502545</v>
      </c>
      <c r="JP54">
        <f t="shared" si="262"/>
        <v>2.3743054835217608E-6</v>
      </c>
      <c r="JQ54">
        <f t="shared" si="239"/>
        <v>1.4193416306280347E-2</v>
      </c>
      <c r="JR54">
        <f t="shared" si="198"/>
        <v>1676.476160371192</v>
      </c>
      <c r="JS54">
        <f t="shared" si="240"/>
        <v>1.610533460004926E-6</v>
      </c>
      <c r="JT54">
        <f t="shared" si="199"/>
        <v>8.2024523547304183E-4</v>
      </c>
      <c r="JU54">
        <f t="shared" si="200"/>
        <v>0.1973447086326818</v>
      </c>
    </row>
    <row r="55" spans="2:281">
      <c r="B55">
        <v>0.21</v>
      </c>
      <c r="C55">
        <f t="shared" si="43"/>
        <v>0.398515684713933</v>
      </c>
      <c r="D55">
        <f t="shared" si="44"/>
        <v>0.16799999999999998</v>
      </c>
      <c r="E55">
        <f t="shared" si="3"/>
        <v>117932.03700000001</v>
      </c>
      <c r="F55">
        <f t="shared" si="4"/>
        <v>5.0541462650035987E-3</v>
      </c>
      <c r="G55">
        <f t="shared" si="45"/>
        <v>4.2086439937808369E-3</v>
      </c>
      <c r="H55">
        <f t="shared" si="46"/>
        <v>1.1611284028325021E-2</v>
      </c>
      <c r="I55">
        <f t="shared" si="47"/>
        <v>13.784267513655051</v>
      </c>
      <c r="J55">
        <f t="shared" si="241"/>
        <v>4.1528226740171958E-6</v>
      </c>
      <c r="K55">
        <f t="shared" si="201"/>
        <v>3.052010517627406E-2</v>
      </c>
      <c r="L55">
        <f t="shared" si="48"/>
        <v>3599.2981728922441</v>
      </c>
      <c r="M55">
        <f t="shared" si="202"/>
        <v>2.3598259575148396E-6</v>
      </c>
      <c r="N55">
        <f t="shared" si="203"/>
        <v>1.9270757425355789E-3</v>
      </c>
      <c r="O55">
        <f t="shared" si="49"/>
        <v>0.34516939218432585</v>
      </c>
      <c r="Q55">
        <f t="shared" si="50"/>
        <v>2.2962094214469473</v>
      </c>
      <c r="R55">
        <f t="shared" si="51"/>
        <v>0.16799999999999998</v>
      </c>
      <c r="S55">
        <f t="shared" si="5"/>
        <v>117932.03700000001</v>
      </c>
      <c r="T55">
        <f t="shared" si="6"/>
        <v>5.0541462650035987E-3</v>
      </c>
      <c r="U55">
        <f t="shared" si="52"/>
        <v>4.2086439937808369E-3</v>
      </c>
      <c r="V55">
        <f t="shared" si="53"/>
        <v>1.1611284028325021E-2</v>
      </c>
      <c r="W55">
        <f t="shared" si="54"/>
        <v>13.784267513655051</v>
      </c>
      <c r="X55">
        <f t="shared" si="242"/>
        <v>4.0090325394779143E-6</v>
      </c>
      <c r="Y55">
        <f t="shared" si="204"/>
        <v>2.918403034306951E-2</v>
      </c>
      <c r="Z55">
        <f t="shared" si="55"/>
        <v>3441.7321462279965</v>
      </c>
      <c r="AA55">
        <f t="shared" si="205"/>
        <v>2.3075950308862155E-6</v>
      </c>
      <c r="AB55">
        <f t="shared" si="56"/>
        <v>1.8286698018294583E-3</v>
      </c>
      <c r="AC55">
        <f t="shared" si="57"/>
        <v>0.3332180142332381</v>
      </c>
      <c r="AE55">
        <f t="shared" si="58"/>
        <v>4.1939031581799622</v>
      </c>
      <c r="AF55">
        <f t="shared" si="59"/>
        <v>0.16799999999999998</v>
      </c>
      <c r="AG55">
        <f t="shared" si="7"/>
        <v>117932.03700000001</v>
      </c>
      <c r="AH55">
        <f t="shared" si="8"/>
        <v>5.0541462650035987E-3</v>
      </c>
      <c r="AI55">
        <f t="shared" si="60"/>
        <v>4.2086439937808369E-3</v>
      </c>
      <c r="AJ55">
        <f t="shared" si="61"/>
        <v>1.1611284028325021E-2</v>
      </c>
      <c r="AK55">
        <f t="shared" si="62"/>
        <v>13.784267513655051</v>
      </c>
      <c r="AL55">
        <f t="shared" si="243"/>
        <v>3.8731065421443247E-6</v>
      </c>
      <c r="AM55">
        <f t="shared" si="206"/>
        <v>2.7927815570075582E-2</v>
      </c>
      <c r="AN55">
        <f t="shared" si="63"/>
        <v>3293.58417913933</v>
      </c>
      <c r="AO55">
        <f t="shared" si="207"/>
        <v>2.2573840124610072E-6</v>
      </c>
      <c r="AP55">
        <f t="shared" si="64"/>
        <v>1.7365451174359981E-3</v>
      </c>
      <c r="AQ55">
        <f t="shared" si="65"/>
        <v>0.32192027831611597</v>
      </c>
      <c r="AS55">
        <f t="shared" si="66"/>
        <v>6.0915968949129766</v>
      </c>
      <c r="AT55">
        <f t="shared" si="67"/>
        <v>0.16799999999999998</v>
      </c>
      <c r="AU55">
        <f t="shared" si="9"/>
        <v>117932.03700000001</v>
      </c>
      <c r="AV55">
        <f t="shared" si="10"/>
        <v>5.0541462650035987E-3</v>
      </c>
      <c r="AW55">
        <f t="shared" si="68"/>
        <v>4.2086439937808369E-3</v>
      </c>
      <c r="AX55">
        <f t="shared" si="69"/>
        <v>1.1611284028325021E-2</v>
      </c>
      <c r="AY55">
        <f t="shared" si="70"/>
        <v>13.784267513655051</v>
      </c>
      <c r="AZ55">
        <f t="shared" si="244"/>
        <v>3.74450669029125E-6</v>
      </c>
      <c r="BA55">
        <f t="shared" si="208"/>
        <v>2.6745697318216168E-2</v>
      </c>
      <c r="BB55">
        <f t="shared" si="71"/>
        <v>3154.1745657226702</v>
      </c>
      <c r="BC55">
        <f t="shared" si="209"/>
        <v>2.2090926143362135E-6</v>
      </c>
      <c r="BD55">
        <f t="shared" si="72"/>
        <v>1.6502312543508462E-3</v>
      </c>
      <c r="BE55">
        <f t="shared" si="73"/>
        <v>0.31123146827449161</v>
      </c>
      <c r="BG55">
        <f t="shared" si="74"/>
        <v>7.9892906316459911</v>
      </c>
      <c r="BH55">
        <f t="shared" si="75"/>
        <v>0.16799999999999998</v>
      </c>
      <c r="BI55">
        <f t="shared" si="11"/>
        <v>117932.03700000001</v>
      </c>
      <c r="BJ55">
        <f t="shared" si="12"/>
        <v>5.0541462650035987E-3</v>
      </c>
      <c r="BK55">
        <f t="shared" si="76"/>
        <v>4.2086439937808369E-3</v>
      </c>
      <c r="BL55">
        <f t="shared" si="77"/>
        <v>1.1611284028325021E-2</v>
      </c>
      <c r="BM55">
        <f t="shared" si="78"/>
        <v>13.784267513655051</v>
      </c>
      <c r="BN55">
        <f t="shared" si="245"/>
        <v>3.6227373261922224E-6</v>
      </c>
      <c r="BO55">
        <f t="shared" si="210"/>
        <v>2.5632383400904804E-2</v>
      </c>
      <c r="BP55">
        <f t="shared" si="79"/>
        <v>3022.8791876336913</v>
      </c>
      <c r="BQ55">
        <f t="shared" si="211"/>
        <v>2.162626180667226E-6</v>
      </c>
      <c r="BR55">
        <f t="shared" si="80"/>
        <v>1.5692972240551003E-3</v>
      </c>
      <c r="BS55">
        <f t="shared" si="81"/>
        <v>0.30111038661701867</v>
      </c>
      <c r="BU55">
        <f t="shared" si="82"/>
        <v>9.8869843683790055</v>
      </c>
      <c r="BV55">
        <f t="shared" si="83"/>
        <v>0.16799999999999998</v>
      </c>
      <c r="BW55">
        <f t="shared" si="13"/>
        <v>117932.03700000001</v>
      </c>
      <c r="BX55">
        <f t="shared" si="14"/>
        <v>5.0541462650035987E-3</v>
      </c>
      <c r="BY55">
        <f t="shared" si="84"/>
        <v>4.2086439937808369E-3</v>
      </c>
      <c r="BZ55">
        <f t="shared" si="85"/>
        <v>1.1611284028325021E-2</v>
      </c>
      <c r="CA55">
        <f t="shared" si="86"/>
        <v>13.784267513655051</v>
      </c>
      <c r="CB55">
        <f t="shared" si="246"/>
        <v>3.5073414537232528E-6</v>
      </c>
      <c r="CC55">
        <f t="shared" si="247"/>
        <v>2.458301087552231E-2</v>
      </c>
      <c r="CD55">
        <f t="shared" si="87"/>
        <v>2899.1245481434999</v>
      </c>
      <c r="CE55">
        <f t="shared" si="248"/>
        <v>2.1178953539326591E-6</v>
      </c>
      <c r="CF55">
        <f t="shared" si="212"/>
        <v>1.4933478961915343E-3</v>
      </c>
      <c r="CG55">
        <f t="shared" si="88"/>
        <v>0.29151904928159522</v>
      </c>
      <c r="CI55">
        <f t="shared" si="89"/>
        <v>11.78467810511202</v>
      </c>
      <c r="CJ55">
        <f t="shared" si="90"/>
        <v>0.16799999999999998</v>
      </c>
      <c r="CK55">
        <f t="shared" si="15"/>
        <v>117932.03700000001</v>
      </c>
      <c r="CL55">
        <f t="shared" si="16"/>
        <v>5.0541462650035987E-3</v>
      </c>
      <c r="CM55">
        <f t="shared" si="91"/>
        <v>4.2086439937808369E-3</v>
      </c>
      <c r="CN55">
        <f t="shared" si="92"/>
        <v>1.1611284028325021E-2</v>
      </c>
      <c r="CO55">
        <f t="shared" si="93"/>
        <v>13.784267513655051</v>
      </c>
      <c r="CP55">
        <f t="shared" si="249"/>
        <v>3.3978974080143911E-6</v>
      </c>
      <c r="CQ55">
        <f t="shared" si="213"/>
        <v>2.3593107946290336E-2</v>
      </c>
      <c r="CR55">
        <f t="shared" si="94"/>
        <v>2782.3832792669064</v>
      </c>
      <c r="CS55">
        <f t="shared" si="214"/>
        <v>2.0748157609336946E-6</v>
      </c>
      <c r="CT55">
        <f t="shared" si="95"/>
        <v>1.4220207566564605E-3</v>
      </c>
      <c r="CU55">
        <f t="shared" si="96"/>
        <v>0.28242240882741027</v>
      </c>
      <c r="CW55">
        <f t="shared" si="97"/>
        <v>13.682371841845034</v>
      </c>
      <c r="CX55">
        <f t="shared" si="98"/>
        <v>0.16799999999999998</v>
      </c>
      <c r="CY55">
        <f t="shared" si="17"/>
        <v>117932.03700000001</v>
      </c>
      <c r="CZ55">
        <f t="shared" si="18"/>
        <v>5.0541462650035987E-3</v>
      </c>
      <c r="DA55">
        <f t="shared" si="99"/>
        <v>4.2086439937808369E-3</v>
      </c>
      <c r="DB55">
        <f t="shared" si="100"/>
        <v>1.1611284028325021E-2</v>
      </c>
      <c r="DC55">
        <f t="shared" si="101"/>
        <v>13.784267513655051</v>
      </c>
      <c r="DD55">
        <f t="shared" si="250"/>
        <v>3.2940158335815337E-6</v>
      </c>
      <c r="DE55">
        <f t="shared" si="215"/>
        <v>2.2658559478195249E-2</v>
      </c>
      <c r="DF55">
        <f t="shared" si="102"/>
        <v>2672.1700747492232</v>
      </c>
      <c r="DG55">
        <f t="shared" si="216"/>
        <v>2.0333077174379012E-6</v>
      </c>
      <c r="DH55">
        <f t="shared" si="103"/>
        <v>1.354982977201079E-3</v>
      </c>
      <c r="DI55">
        <f t="shared" si="104"/>
        <v>0.27378810326688546</v>
      </c>
      <c r="DK55">
        <f t="shared" si="105"/>
        <v>15.580065578578051</v>
      </c>
      <c r="DL55">
        <f t="shared" si="106"/>
        <v>0.16799999999999998</v>
      </c>
      <c r="DM55">
        <f t="shared" si="19"/>
        <v>117932.03700000001</v>
      </c>
      <c r="DN55">
        <f t="shared" si="20"/>
        <v>5.0541462650035987E-3</v>
      </c>
      <c r="DO55">
        <f t="shared" si="107"/>
        <v>4.2086439937808369E-3</v>
      </c>
      <c r="DP55">
        <f t="shared" si="108"/>
        <v>1.1611284028325021E-2</v>
      </c>
      <c r="DQ55">
        <f t="shared" si="109"/>
        <v>13.784267513655051</v>
      </c>
      <c r="DR55">
        <f t="shared" si="251"/>
        <v>3.1953369407910389E-6</v>
      </c>
      <c r="DS55">
        <f t="shared" si="217"/>
        <v>2.177557576288814E-2</v>
      </c>
      <c r="DT55">
        <f t="shared" si="110"/>
        <v>2568.0380065652275</v>
      </c>
      <c r="DU55">
        <f t="shared" si="218"/>
        <v>1.9932959504277673E-6</v>
      </c>
      <c r="DV55">
        <f t="shared" si="111"/>
        <v>1.2919287652579817E-3</v>
      </c>
      <c r="DW55">
        <f t="shared" si="112"/>
        <v>0.26558622803175319</v>
      </c>
      <c r="DY55">
        <f t="shared" si="113"/>
        <v>17.477759315311065</v>
      </c>
      <c r="DZ55">
        <f t="shared" si="114"/>
        <v>0.16799999999999998</v>
      </c>
      <c r="EA55">
        <f t="shared" si="21"/>
        <v>117932.03700000001</v>
      </c>
      <c r="EB55">
        <f t="shared" si="22"/>
        <v>5.0541462650035987E-3</v>
      </c>
      <c r="EC55">
        <f t="shared" si="115"/>
        <v>4.2086439937808369E-3</v>
      </c>
      <c r="ED55">
        <f t="shared" si="116"/>
        <v>1.1611284028325021E-2</v>
      </c>
      <c r="EE55">
        <f t="shared" si="117"/>
        <v>13.784267513655051</v>
      </c>
      <c r="EF55">
        <f t="shared" si="252"/>
        <v>3.1015280135725008E-6</v>
      </c>
      <c r="EG55">
        <f t="shared" si="219"/>
        <v>2.0940664214415188E-2</v>
      </c>
      <c r="EH55">
        <f t="shared" si="118"/>
        <v>2469.5751869389883</v>
      </c>
      <c r="EI55">
        <f t="shared" si="220"/>
        <v>1.9547093369629876E-6</v>
      </c>
      <c r="EJ55">
        <f t="shared" si="119"/>
        <v>1.232576965947859E-3</v>
      </c>
      <c r="EK55">
        <f t="shared" si="120"/>
        <v>0.25778912882208144</v>
      </c>
      <c r="EM55">
        <f t="shared" si="121"/>
        <v>19.37545305204408</v>
      </c>
      <c r="EN55">
        <f t="shared" si="122"/>
        <v>0.16799999999999998</v>
      </c>
      <c r="EO55">
        <f t="shared" si="23"/>
        <v>117932.03700000001</v>
      </c>
      <c r="EP55">
        <f t="shared" si="24"/>
        <v>5.0541462650035987E-3</v>
      </c>
      <c r="EQ55">
        <f t="shared" si="123"/>
        <v>4.2086439937808369E-3</v>
      </c>
      <c r="ER55">
        <f t="shared" si="124"/>
        <v>1.1611284028325021E-2</v>
      </c>
      <c r="ES55">
        <f t="shared" si="125"/>
        <v>13.784267513655051</v>
      </c>
      <c r="ET55">
        <f t="shared" si="253"/>
        <v>3.0122811440383309E-6</v>
      </c>
      <c r="EU55">
        <f t="shared" si="221"/>
        <v>2.0150603705681999E-2</v>
      </c>
      <c r="EV55">
        <f t="shared" si="126"/>
        <v>2376.4017417908267</v>
      </c>
      <c r="EW55">
        <f t="shared" si="222"/>
        <v>1.917480658712994E-6</v>
      </c>
      <c r="EX55">
        <f t="shared" si="127"/>
        <v>1.1766688911188886E-3</v>
      </c>
      <c r="EY55">
        <f t="shared" si="128"/>
        <v>0.25037121331506945</v>
      </c>
      <c r="FA55">
        <f t="shared" si="129"/>
        <v>21.273146788777094</v>
      </c>
      <c r="FB55">
        <f t="shared" si="130"/>
        <v>0.16799999999999998</v>
      </c>
      <c r="FC55">
        <f t="shared" si="25"/>
        <v>117932.03700000001</v>
      </c>
      <c r="FD55">
        <f t="shared" si="26"/>
        <v>5.0541462650035987E-3</v>
      </c>
      <c r="FE55">
        <f t="shared" si="131"/>
        <v>4.2086439937808369E-3</v>
      </c>
      <c r="FF55">
        <f t="shared" si="132"/>
        <v>1.1611284028325021E-2</v>
      </c>
      <c r="FG55">
        <f t="shared" si="133"/>
        <v>13.784267513655051</v>
      </c>
      <c r="FH55">
        <f t="shared" si="254"/>
        <v>2.9273111721263796E-6</v>
      </c>
      <c r="FI55">
        <f t="shared" si="223"/>
        <v>1.9402421286131715E-2</v>
      </c>
      <c r="FJ55">
        <f t="shared" si="134"/>
        <v>2288.1670650056731</v>
      </c>
      <c r="FK55">
        <f t="shared" si="224"/>
        <v>1.8815463712620138E-6</v>
      </c>
      <c r="FL55">
        <f t="shared" si="135"/>
        <v>1.1239663528634361E-3</v>
      </c>
      <c r="FM55">
        <f t="shared" si="136"/>
        <v>0.24330877991470556</v>
      </c>
      <c r="FO55">
        <f t="shared" si="137"/>
        <v>23.170840525510108</v>
      </c>
      <c r="FP55">
        <f t="shared" si="138"/>
        <v>0.16799999999999998</v>
      </c>
      <c r="FQ55">
        <f t="shared" si="27"/>
        <v>117932.03700000001</v>
      </c>
      <c r="FR55">
        <f t="shared" si="28"/>
        <v>5.0541462650035987E-3</v>
      </c>
      <c r="FS55">
        <f t="shared" si="139"/>
        <v>4.2086439937808369E-3</v>
      </c>
      <c r="FT55">
        <f t="shared" si="140"/>
        <v>1.1611284028325021E-2</v>
      </c>
      <c r="FU55">
        <f t="shared" si="141"/>
        <v>13.784267513655051</v>
      </c>
      <c r="FV55">
        <f t="shared" si="255"/>
        <v>2.8463538105842413E-6</v>
      </c>
      <c r="FW55">
        <f t="shared" si="225"/>
        <v>1.8693371047599237E-2</v>
      </c>
      <c r="FX55">
        <f t="shared" si="142"/>
        <v>2204.5473260402023</v>
      </c>
      <c r="FY55">
        <f t="shared" si="226"/>
        <v>1.8468463873335585E-6</v>
      </c>
      <c r="FZ55">
        <f t="shared" si="143"/>
        <v>1.0742498812758431E-3</v>
      </c>
      <c r="GA55">
        <f t="shared" si="144"/>
        <v>0.23657986190643548</v>
      </c>
      <c r="GC55">
        <f t="shared" si="145"/>
        <v>25.068534262243123</v>
      </c>
      <c r="GD55">
        <f t="shared" si="146"/>
        <v>0.16799999999999998</v>
      </c>
      <c r="GE55">
        <f t="shared" si="29"/>
        <v>117932.03700000001</v>
      </c>
      <c r="GF55">
        <f t="shared" si="30"/>
        <v>5.0541462650035987E-3</v>
      </c>
      <c r="GG55">
        <f t="shared" si="147"/>
        <v>4.2086439937808369E-3</v>
      </c>
      <c r="GH55">
        <f t="shared" si="148"/>
        <v>1.1611284028325021E-2</v>
      </c>
      <c r="GI55">
        <f t="shared" si="149"/>
        <v>13.784267513655051</v>
      </c>
      <c r="GJ55">
        <f t="shared" si="256"/>
        <v>2.7691639375876516E-6</v>
      </c>
      <c r="GK55">
        <f t="shared" si="227"/>
        <v>1.8020914929009747E-2</v>
      </c>
      <c r="GL55">
        <f t="shared" si="150"/>
        <v>2125.2432061818299</v>
      </c>
      <c r="GM55">
        <f t="shared" si="228"/>
        <v>1.8133238731241379E-6</v>
      </c>
      <c r="GN55">
        <f t="shared" si="151"/>
        <v>1.0273171082903433E-3</v>
      </c>
      <c r="GO55">
        <f t="shared" si="152"/>
        <v>0.23016408554504206</v>
      </c>
      <c r="GQ55">
        <f t="shared" si="153"/>
        <v>26.966227998976137</v>
      </c>
      <c r="GR55">
        <f t="shared" si="154"/>
        <v>0.16799999999999998</v>
      </c>
      <c r="GS55">
        <f t="shared" si="31"/>
        <v>117932.03700000001</v>
      </c>
      <c r="GT55">
        <f t="shared" si="32"/>
        <v>5.0541462650035987E-3</v>
      </c>
      <c r="GU55">
        <f t="shared" si="155"/>
        <v>4.2086439937808369E-3</v>
      </c>
      <c r="GV55">
        <f t="shared" si="156"/>
        <v>1.1611284028325021E-2</v>
      </c>
      <c r="GW55">
        <f t="shared" si="157"/>
        <v>13.784267513655051</v>
      </c>
      <c r="GX55">
        <f t="shared" si="257"/>
        <v>2.6955140410551671E-6</v>
      </c>
      <c r="GY55">
        <f t="shared" si="229"/>
        <v>1.7382705271822785E-2</v>
      </c>
      <c r="GZ55">
        <f t="shared" si="158"/>
        <v>2049.9778412767</v>
      </c>
      <c r="HA55">
        <f t="shared" si="230"/>
        <v>1.7809250569776084E-6</v>
      </c>
      <c r="HB55">
        <f t="shared" si="159"/>
        <v>9.8298130129554316E-4</v>
      </c>
      <c r="HC55">
        <f t="shared" si="160"/>
        <v>0.22404254075103699</v>
      </c>
      <c r="HE55">
        <f t="shared" si="161"/>
        <v>28.863921735709152</v>
      </c>
      <c r="HF55">
        <f t="shared" si="162"/>
        <v>0.16799999999999998</v>
      </c>
      <c r="HG55">
        <f t="shared" si="33"/>
        <v>117932.03700000001</v>
      </c>
      <c r="HH55">
        <f t="shared" si="34"/>
        <v>5.0541462650035987E-3</v>
      </c>
      <c r="HI55">
        <f t="shared" si="263"/>
        <v>4.2086439937808369E-3</v>
      </c>
      <c r="HJ55">
        <f t="shared" si="164"/>
        <v>1.1611284028325021E-2</v>
      </c>
      <c r="HK55">
        <f t="shared" si="165"/>
        <v>13.784267513655051</v>
      </c>
      <c r="HL55">
        <f t="shared" si="258"/>
        <v>2.6251928003082497E-6</v>
      </c>
      <c r="HM55">
        <f t="shared" si="231"/>
        <v>1.6776568957140314E-2</v>
      </c>
      <c r="HN55">
        <f t="shared" si="166"/>
        <v>1978.494950986523</v>
      </c>
      <c r="HO55">
        <f t="shared" si="232"/>
        <v>1.7495990496715597E-6</v>
      </c>
      <c r="HP55">
        <f t="shared" si="167"/>
        <v>9.4107003188451999E-4</v>
      </c>
      <c r="HQ55">
        <f t="shared" si="168"/>
        <v>0.21819766322276507</v>
      </c>
      <c r="HS55">
        <f t="shared" si="169"/>
        <v>30.761615472442166</v>
      </c>
      <c r="HT55">
        <f t="shared" si="170"/>
        <v>0.16799999999999998</v>
      </c>
      <c r="HU55">
        <f t="shared" si="35"/>
        <v>117932.03700000001</v>
      </c>
      <c r="HV55">
        <f t="shared" si="36"/>
        <v>5.0541462650035987E-3</v>
      </c>
      <c r="HW55">
        <f t="shared" si="264"/>
        <v>4.2086439937808369E-3</v>
      </c>
      <c r="HX55">
        <f t="shared" si="172"/>
        <v>1.1611284028325021E-2</v>
      </c>
      <c r="HY55">
        <f t="shared" si="173"/>
        <v>13.784267513655051</v>
      </c>
      <c r="HZ55">
        <f t="shared" si="259"/>
        <v>2.5580037921494853E-6</v>
      </c>
      <c r="IA55">
        <f t="shared" si="233"/>
        <v>1.6200492972436004E-2</v>
      </c>
      <c r="IB55">
        <f t="shared" si="174"/>
        <v>1910.5571366435629</v>
      </c>
      <c r="IC55">
        <f t="shared" si="234"/>
        <v>1.7192976756257457E-6</v>
      </c>
      <c r="ID55">
        <f t="shared" si="175"/>
        <v>9.0142396658816936E-4</v>
      </c>
      <c r="IE55">
        <f t="shared" si="176"/>
        <v>0.21261312688974746</v>
      </c>
      <c r="IG55">
        <f t="shared" si="177"/>
        <v>32.659309209175177</v>
      </c>
      <c r="IH55">
        <f t="shared" si="178"/>
        <v>0.16799999999999998</v>
      </c>
      <c r="II55">
        <f t="shared" si="37"/>
        <v>117932.03700000001</v>
      </c>
      <c r="IJ55">
        <f t="shared" si="38"/>
        <v>5.0541462650035987E-3</v>
      </c>
      <c r="IK55">
        <f t="shared" si="265"/>
        <v>4.2086439937808369E-3</v>
      </c>
      <c r="IL55">
        <f t="shared" si="180"/>
        <v>1.1611284028325021E-2</v>
      </c>
      <c r="IM55">
        <f t="shared" si="181"/>
        <v>13.784267513655051</v>
      </c>
      <c r="IN55">
        <f t="shared" si="260"/>
        <v>2.4937643097090316E-6</v>
      </c>
      <c r="IO55">
        <f t="shared" si="235"/>
        <v>1.5652611271131902E-2</v>
      </c>
      <c r="IP55">
        <f t="shared" si="182"/>
        <v>1845.9443315737446</v>
      </c>
      <c r="IQ55">
        <f t="shared" si="236"/>
        <v>1.6899753143795986E-6</v>
      </c>
      <c r="IR55">
        <f t="shared" si="183"/>
        <v>8.6389576777251087E-4</v>
      </c>
      <c r="IS55">
        <f t="shared" si="184"/>
        <v>0.20727374573896074</v>
      </c>
      <c r="IU55">
        <f t="shared" si="185"/>
        <v>34.557002945908195</v>
      </c>
      <c r="IV55">
        <f t="shared" si="186"/>
        <v>0.16799999999999998</v>
      </c>
      <c r="IW55">
        <f t="shared" si="39"/>
        <v>117932.03700000001</v>
      </c>
      <c r="IX55">
        <f t="shared" si="40"/>
        <v>5.0541462650035987E-3</v>
      </c>
      <c r="IY55">
        <f t="shared" si="266"/>
        <v>4.2086439937808369E-3</v>
      </c>
      <c r="IZ55">
        <f t="shared" si="188"/>
        <v>1.1611284028325021E-2</v>
      </c>
      <c r="JA55">
        <f t="shared" si="189"/>
        <v>13.784267513655051</v>
      </c>
      <c r="JB55">
        <f t="shared" si="261"/>
        <v>2.4323042835559361E-6</v>
      </c>
      <c r="JC55">
        <f t="shared" si="237"/>
        <v>1.5131192801937211E-2</v>
      </c>
      <c r="JD55">
        <f t="shared" si="190"/>
        <v>1784.452389372193</v>
      </c>
      <c r="JE55">
        <f t="shared" si="238"/>
        <v>1.6615887517215538E-6</v>
      </c>
      <c r="JF55">
        <f t="shared" si="191"/>
        <v>8.2834909407459255E-4</v>
      </c>
      <c r="JG55">
        <f t="shared" si="192"/>
        <v>0.20216538414104657</v>
      </c>
      <c r="JI55">
        <f t="shared" si="193"/>
        <v>36.454696682641206</v>
      </c>
      <c r="JJ55">
        <f t="shared" si="194"/>
        <v>0.16799999999999998</v>
      </c>
      <c r="JK55">
        <f t="shared" si="41"/>
        <v>117932.03700000001</v>
      </c>
      <c r="JL55">
        <f t="shared" si="42"/>
        <v>5.0541462650035987E-3</v>
      </c>
      <c r="JM55">
        <f t="shared" si="267"/>
        <v>4.2086439937808369E-3</v>
      </c>
      <c r="JN55">
        <f t="shared" si="196"/>
        <v>1.1611284028325021E-2</v>
      </c>
      <c r="JO55">
        <f t="shared" si="197"/>
        <v>13.784267513655051</v>
      </c>
      <c r="JP55">
        <f t="shared" si="262"/>
        <v>2.373465295600395E-6</v>
      </c>
      <c r="JQ55">
        <f t="shared" si="239"/>
        <v>1.4634630597130079E-2</v>
      </c>
      <c r="JR55">
        <f t="shared" si="198"/>
        <v>1725.8917970620766</v>
      </c>
      <c r="JS55">
        <f t="shared" si="240"/>
        <v>1.6340970398866954E-6</v>
      </c>
      <c r="JT55">
        <f t="shared" si="199"/>
        <v>7.9465769082173385E-4</v>
      </c>
      <c r="JU55">
        <f t="shared" si="200"/>
        <v>0.19727487488900838</v>
      </c>
    </row>
    <row r="56" spans="2:281">
      <c r="B56">
        <v>0.22</v>
      </c>
      <c r="C56">
        <f t="shared" si="43"/>
        <v>0.4174926220812632</v>
      </c>
      <c r="D56">
        <f t="shared" si="44"/>
        <v>0.17600000000000002</v>
      </c>
      <c r="E56">
        <f t="shared" si="3"/>
        <v>117747.60900000001</v>
      </c>
      <c r="F56">
        <f t="shared" si="4"/>
        <v>5.0567836571213413E-3</v>
      </c>
      <c r="G56">
        <f t="shared" si="45"/>
        <v>4.207546330431816E-3</v>
      </c>
      <c r="H56">
        <f t="shared" si="46"/>
        <v>1.162947077461195E-2</v>
      </c>
      <c r="I56">
        <f t="shared" si="47"/>
        <v>13.798657284736072</v>
      </c>
      <c r="J56">
        <f t="shared" si="241"/>
        <v>4.1508487451329853E-6</v>
      </c>
      <c r="K56">
        <f t="shared" si="201"/>
        <v>3.1556689505430627E-2</v>
      </c>
      <c r="L56">
        <f t="shared" si="48"/>
        <v>3715.724737219849</v>
      </c>
      <c r="M56">
        <f t="shared" si="202"/>
        <v>2.3976888730886747E-6</v>
      </c>
      <c r="N56">
        <f t="shared" si="203"/>
        <v>1.8857350071745794E-3</v>
      </c>
      <c r="O56">
        <f t="shared" si="49"/>
        <v>0.34500532550326068</v>
      </c>
      <c r="Q56">
        <f t="shared" si="50"/>
        <v>2.3151863588142776</v>
      </c>
      <c r="R56">
        <f t="shared" si="51"/>
        <v>0.17600000000000002</v>
      </c>
      <c r="S56">
        <f t="shared" si="5"/>
        <v>117747.60900000001</v>
      </c>
      <c r="T56">
        <f t="shared" si="6"/>
        <v>5.0567836571213413E-3</v>
      </c>
      <c r="U56">
        <f t="shared" si="52"/>
        <v>4.207546330431816E-3</v>
      </c>
      <c r="V56">
        <f t="shared" si="53"/>
        <v>1.162947077461195E-2</v>
      </c>
      <c r="W56">
        <f t="shared" si="54"/>
        <v>13.798657284736072</v>
      </c>
      <c r="X56">
        <f t="shared" si="242"/>
        <v>4.007159409085663E-6</v>
      </c>
      <c r="Y56">
        <f t="shared" si="204"/>
        <v>3.0167681591402977E-2</v>
      </c>
      <c r="Z56">
        <f t="shared" si="55"/>
        <v>3552.172376461016</v>
      </c>
      <c r="AA56">
        <f t="shared" si="205"/>
        <v>2.3443263947833593E-6</v>
      </c>
      <c r="AB56">
        <f t="shared" si="56"/>
        <v>1.7885775713649401E-3</v>
      </c>
      <c r="AC56">
        <f t="shared" si="57"/>
        <v>0.33306232560173921</v>
      </c>
      <c r="AE56">
        <f t="shared" si="58"/>
        <v>4.212880095547292</v>
      </c>
      <c r="AF56">
        <f t="shared" si="59"/>
        <v>0.17600000000000002</v>
      </c>
      <c r="AG56">
        <f t="shared" si="7"/>
        <v>117747.60900000001</v>
      </c>
      <c r="AH56">
        <f t="shared" si="8"/>
        <v>5.0567836571213413E-3</v>
      </c>
      <c r="AI56">
        <f t="shared" si="60"/>
        <v>4.207546330431816E-3</v>
      </c>
      <c r="AJ56">
        <f t="shared" si="61"/>
        <v>1.162947077461195E-2</v>
      </c>
      <c r="AK56">
        <f t="shared" si="62"/>
        <v>13.798657284736072</v>
      </c>
      <c r="AL56">
        <f t="shared" si="243"/>
        <v>3.8713277762710485E-6</v>
      </c>
      <c r="AM56">
        <f t="shared" si="206"/>
        <v>2.8861912458887536E-2</v>
      </c>
      <c r="AN56">
        <f t="shared" si="63"/>
        <v>3398.4211832013184</v>
      </c>
      <c r="AO56">
        <f t="shared" si="207"/>
        <v>2.2930296058750694E-6</v>
      </c>
      <c r="AP56">
        <f t="shared" si="64"/>
        <v>1.6976501453941923E-3</v>
      </c>
      <c r="AQ56">
        <f t="shared" si="65"/>
        <v>0.32177243296284375</v>
      </c>
      <c r="AS56">
        <f t="shared" si="66"/>
        <v>6.1105738322803065</v>
      </c>
      <c r="AT56">
        <f t="shared" si="67"/>
        <v>0.17600000000000002</v>
      </c>
      <c r="AU56">
        <f t="shared" si="9"/>
        <v>117747.60900000001</v>
      </c>
      <c r="AV56">
        <f t="shared" si="10"/>
        <v>5.0567836571213413E-3</v>
      </c>
      <c r="AW56">
        <f t="shared" si="68"/>
        <v>4.207546330431816E-3</v>
      </c>
      <c r="AX56">
        <f t="shared" si="69"/>
        <v>1.162947077461195E-2</v>
      </c>
      <c r="AY56">
        <f t="shared" si="70"/>
        <v>13.798657284736072</v>
      </c>
      <c r="AZ56">
        <f t="shared" si="244"/>
        <v>3.7428163368366923E-6</v>
      </c>
      <c r="BA56">
        <f t="shared" si="208"/>
        <v>2.763336551930809E-2</v>
      </c>
      <c r="BB56">
        <f t="shared" si="71"/>
        <v>3253.7627185215711</v>
      </c>
      <c r="BC56">
        <f t="shared" si="209"/>
        <v>2.2436959310037261E-6</v>
      </c>
      <c r="BD56">
        <f t="shared" si="72"/>
        <v>1.6124849047295198E-3</v>
      </c>
      <c r="BE56">
        <f t="shared" si="73"/>
        <v>0.31109097147983272</v>
      </c>
      <c r="BG56">
        <f t="shared" si="74"/>
        <v>8.00826756901332</v>
      </c>
      <c r="BH56">
        <f t="shared" si="75"/>
        <v>0.17600000000000002</v>
      </c>
      <c r="BI56">
        <f t="shared" si="11"/>
        <v>117747.60900000001</v>
      </c>
      <c r="BJ56">
        <f t="shared" si="12"/>
        <v>5.0567836571213413E-3</v>
      </c>
      <c r="BK56">
        <f t="shared" si="76"/>
        <v>4.207546330431816E-3</v>
      </c>
      <c r="BL56">
        <f t="shared" si="77"/>
        <v>1.162947077461195E-2</v>
      </c>
      <c r="BM56">
        <f t="shared" si="78"/>
        <v>13.798657284736072</v>
      </c>
      <c r="BN56">
        <f t="shared" si="245"/>
        <v>3.621129874523303E-6</v>
      </c>
      <c r="BO56">
        <f t="shared" si="210"/>
        <v>2.6476516755053064E-2</v>
      </c>
      <c r="BP56">
        <f t="shared" si="79"/>
        <v>3117.5465425559373</v>
      </c>
      <c r="BQ56">
        <f t="shared" si="211"/>
        <v>2.1962285552536311E-6</v>
      </c>
      <c r="BR56">
        <f t="shared" si="80"/>
        <v>1.5326533206483006E-3</v>
      </c>
      <c r="BS56">
        <f t="shared" si="81"/>
        <v>0.3009767803547051</v>
      </c>
      <c r="BU56">
        <f t="shared" si="82"/>
        <v>9.9059613057463345</v>
      </c>
      <c r="BV56">
        <f t="shared" si="83"/>
        <v>0.17600000000000002</v>
      </c>
      <c r="BW56">
        <f t="shared" si="13"/>
        <v>117747.60900000001</v>
      </c>
      <c r="BX56">
        <f t="shared" si="14"/>
        <v>5.0567836571213413E-3</v>
      </c>
      <c r="BY56">
        <f t="shared" si="84"/>
        <v>4.207546330431816E-3</v>
      </c>
      <c r="BZ56">
        <f t="shared" si="85"/>
        <v>1.162947077461195E-2</v>
      </c>
      <c r="CA56">
        <f t="shared" si="86"/>
        <v>13.798657284736072</v>
      </c>
      <c r="CB56">
        <f t="shared" si="246"/>
        <v>3.5058117979440833E-6</v>
      </c>
      <c r="CC56">
        <f t="shared" si="247"/>
        <v>2.5386290680774897E-2</v>
      </c>
      <c r="CD56">
        <f t="shared" si="87"/>
        <v>2989.1750290402265</v>
      </c>
      <c r="CE56">
        <f t="shared" si="248"/>
        <v>2.1505360828451553E-6</v>
      </c>
      <c r="CF56">
        <f t="shared" si="212"/>
        <v>1.4577625812045828E-3</v>
      </c>
      <c r="CG56">
        <f t="shared" si="88"/>
        <v>0.29139190916582514</v>
      </c>
      <c r="CI56">
        <f t="shared" si="89"/>
        <v>11.803655042479349</v>
      </c>
      <c r="CJ56">
        <f t="shared" si="90"/>
        <v>0.17600000000000002</v>
      </c>
      <c r="CK56">
        <f t="shared" si="15"/>
        <v>117747.60900000001</v>
      </c>
      <c r="CL56">
        <f t="shared" si="16"/>
        <v>5.0567836571213413E-3</v>
      </c>
      <c r="CM56">
        <f t="shared" si="91"/>
        <v>4.207546330431816E-3</v>
      </c>
      <c r="CN56">
        <f t="shared" si="92"/>
        <v>1.162947077461195E-2</v>
      </c>
      <c r="CO56">
        <f t="shared" si="93"/>
        <v>13.798657284736072</v>
      </c>
      <c r="CP56">
        <f t="shared" si="249"/>
        <v>3.3964408135570206E-6</v>
      </c>
      <c r="CQ56">
        <f t="shared" si="213"/>
        <v>2.4358020502423628E-2</v>
      </c>
      <c r="CR56">
        <f t="shared" si="94"/>
        <v>2868.0986741333613</v>
      </c>
      <c r="CS56">
        <f t="shared" si="214"/>
        <v>2.1065322160053126E-6</v>
      </c>
      <c r="CT56">
        <f t="shared" si="95"/>
        <v>1.3874523580227388E-3</v>
      </c>
      <c r="CU56">
        <f t="shared" si="96"/>
        <v>0.28230134133597717</v>
      </c>
      <c r="CW56">
        <f t="shared" si="97"/>
        <v>13.701348779212363</v>
      </c>
      <c r="CX56">
        <f t="shared" si="98"/>
        <v>0.17600000000000002</v>
      </c>
      <c r="CY56">
        <f t="shared" si="17"/>
        <v>117747.60900000001</v>
      </c>
      <c r="CZ56">
        <f t="shared" si="18"/>
        <v>5.0567836571213413E-3</v>
      </c>
      <c r="DA56">
        <f t="shared" si="99"/>
        <v>4.207546330431816E-3</v>
      </c>
      <c r="DB56">
        <f t="shared" si="100"/>
        <v>1.162947077461195E-2</v>
      </c>
      <c r="DC56">
        <f t="shared" si="101"/>
        <v>13.798657284736072</v>
      </c>
      <c r="DD56">
        <f t="shared" si="250"/>
        <v>3.292627906798339E-6</v>
      </c>
      <c r="DE56">
        <f t="shared" si="215"/>
        <v>2.3387412054893864E-2</v>
      </c>
      <c r="DF56">
        <f t="shared" si="102"/>
        <v>2753.8118501615295</v>
      </c>
      <c r="DG56">
        <f t="shared" si="216"/>
        <v>2.0641354529028991E-6</v>
      </c>
      <c r="DH56">
        <f t="shared" si="103"/>
        <v>1.3213918840493985E-3</v>
      </c>
      <c r="DI56">
        <f t="shared" si="104"/>
        <v>0.27367274321379459</v>
      </c>
      <c r="DK56">
        <f t="shared" si="105"/>
        <v>15.59904251594538</v>
      </c>
      <c r="DL56">
        <f t="shared" si="106"/>
        <v>0.17600000000000002</v>
      </c>
      <c r="DM56">
        <f t="shared" si="19"/>
        <v>117747.60900000001</v>
      </c>
      <c r="DN56">
        <f t="shared" si="20"/>
        <v>5.0567836571213413E-3</v>
      </c>
      <c r="DO56">
        <f t="shared" si="107"/>
        <v>4.207546330431816E-3</v>
      </c>
      <c r="DP56">
        <f t="shared" si="108"/>
        <v>1.162947077461195E-2</v>
      </c>
      <c r="DQ56">
        <f t="shared" si="109"/>
        <v>13.798657284736072</v>
      </c>
      <c r="DR56">
        <f t="shared" si="251"/>
        <v>3.1940136012617221E-6</v>
      </c>
      <c r="DS56">
        <f t="shared" si="217"/>
        <v>2.2470511142382285E-2</v>
      </c>
      <c r="DT56">
        <f t="shared" si="110"/>
        <v>2645.8489600233729</v>
      </c>
      <c r="DU56">
        <f t="shared" si="218"/>
        <v>2.0232688035852047E-6</v>
      </c>
      <c r="DV56">
        <f t="shared" si="111"/>
        <v>1.2592773110142975E-3</v>
      </c>
      <c r="DW56">
        <f t="shared" si="112"/>
        <v>0.26547623626546718</v>
      </c>
      <c r="DY56">
        <f t="shared" si="113"/>
        <v>17.496736252678396</v>
      </c>
      <c r="DZ56">
        <f t="shared" si="114"/>
        <v>0.17600000000000002</v>
      </c>
      <c r="EA56">
        <f t="shared" si="21"/>
        <v>117747.60900000001</v>
      </c>
      <c r="EB56">
        <f t="shared" si="22"/>
        <v>5.0567836571213413E-3</v>
      </c>
      <c r="EC56">
        <f t="shared" si="115"/>
        <v>4.207546330431816E-3</v>
      </c>
      <c r="ED56">
        <f t="shared" si="116"/>
        <v>1.162947077461195E-2</v>
      </c>
      <c r="EE56">
        <f t="shared" si="117"/>
        <v>13.798657284736072</v>
      </c>
      <c r="EF56">
        <f t="shared" si="252"/>
        <v>3.1002654688673845E-6</v>
      </c>
      <c r="EG56">
        <f t="shared" si="219"/>
        <v>2.1603673944224674E-2</v>
      </c>
      <c r="EH56">
        <f t="shared" si="118"/>
        <v>2543.7809525480552</v>
      </c>
      <c r="EI56">
        <f t="shared" si="220"/>
        <v>1.9838595229032345E-6</v>
      </c>
      <c r="EJ56">
        <f t="shared" si="119"/>
        <v>1.2008293185878031E-3</v>
      </c>
      <c r="EK56">
        <f t="shared" si="120"/>
        <v>0.25768419012792598</v>
      </c>
      <c r="EM56">
        <f t="shared" si="121"/>
        <v>19.39442998941141</v>
      </c>
      <c r="EN56">
        <f t="shared" si="122"/>
        <v>0.17600000000000002</v>
      </c>
      <c r="EO56">
        <f t="shared" si="23"/>
        <v>117747.60900000001</v>
      </c>
      <c r="EP56">
        <f t="shared" si="24"/>
        <v>5.0567836571213413E-3</v>
      </c>
      <c r="EQ56">
        <f t="shared" si="123"/>
        <v>4.207546330431816E-3</v>
      </c>
      <c r="ER56">
        <f t="shared" si="124"/>
        <v>1.162947077461195E-2</v>
      </c>
      <c r="ES56">
        <f t="shared" si="125"/>
        <v>13.798657284736072</v>
      </c>
      <c r="ET56">
        <f t="shared" si="253"/>
        <v>3.011075866705394E-6</v>
      </c>
      <c r="EU56">
        <f t="shared" si="221"/>
        <v>2.0783540183588696E-2</v>
      </c>
      <c r="EV56">
        <f t="shared" si="126"/>
        <v>2447.2121631729901</v>
      </c>
      <c r="EW56">
        <f t="shared" si="222"/>
        <v>1.9458388594608318E-6</v>
      </c>
      <c r="EX56">
        <f t="shared" si="127"/>
        <v>1.1457909501183137E-3</v>
      </c>
      <c r="EY56">
        <f t="shared" si="128"/>
        <v>0.25027103450246896</v>
      </c>
      <c r="FA56">
        <f t="shared" si="129"/>
        <v>21.292123726144425</v>
      </c>
      <c r="FB56">
        <f t="shared" si="130"/>
        <v>0.17600000000000002</v>
      </c>
      <c r="FC56">
        <f t="shared" si="25"/>
        <v>117747.60900000001</v>
      </c>
      <c r="FD56">
        <f t="shared" si="26"/>
        <v>5.0567836571213413E-3</v>
      </c>
      <c r="FE56">
        <f t="shared" si="131"/>
        <v>4.207546330431816E-3</v>
      </c>
      <c r="FF56">
        <f t="shared" si="132"/>
        <v>1.162947077461195E-2</v>
      </c>
      <c r="FG56">
        <f t="shared" si="133"/>
        <v>13.798657284736072</v>
      </c>
      <c r="FH56">
        <f t="shared" si="254"/>
        <v>2.9261598786925896E-6</v>
      </c>
      <c r="FI56">
        <f t="shared" si="223"/>
        <v>2.0007008787370533E-2</v>
      </c>
      <c r="FJ56">
        <f t="shared" si="134"/>
        <v>2355.7774479548698</v>
      </c>
      <c r="FK56">
        <f t="shared" si="224"/>
        <v>1.9091418196699847E-6</v>
      </c>
      <c r="FL56">
        <f t="shared" si="135"/>
        <v>1.0939256524228707E-3</v>
      </c>
      <c r="FM56">
        <f t="shared" si="136"/>
        <v>0.24321308807184083</v>
      </c>
      <c r="FO56">
        <f t="shared" si="137"/>
        <v>23.189817462877439</v>
      </c>
      <c r="FP56">
        <f t="shared" si="138"/>
        <v>0.17600000000000002</v>
      </c>
      <c r="FQ56">
        <f t="shared" si="27"/>
        <v>117747.60900000001</v>
      </c>
      <c r="FR56">
        <f t="shared" si="28"/>
        <v>5.0567836571213413E-3</v>
      </c>
      <c r="FS56">
        <f t="shared" si="139"/>
        <v>4.207546330431816E-3</v>
      </c>
      <c r="FT56">
        <f t="shared" si="140"/>
        <v>1.162947077461195E-2</v>
      </c>
      <c r="FU56">
        <f t="shared" si="141"/>
        <v>13.798657284736072</v>
      </c>
      <c r="FV56">
        <f t="shared" si="255"/>
        <v>2.8452534423824603E-6</v>
      </c>
      <c r="FW56">
        <f t="shared" si="225"/>
        <v>1.9271215793371241E-2</v>
      </c>
      <c r="FX56">
        <f t="shared" si="142"/>
        <v>2269.1395821925021</v>
      </c>
      <c r="FY56">
        <f t="shared" si="226"/>
        <v>1.8737069460400777E-6</v>
      </c>
      <c r="FZ56">
        <f t="shared" si="143"/>
        <v>1.0450154994217978E-3</v>
      </c>
      <c r="GA56">
        <f t="shared" si="144"/>
        <v>0.23648840280663716</v>
      </c>
      <c r="GC56">
        <f t="shared" si="145"/>
        <v>25.087511199610454</v>
      </c>
      <c r="GD56">
        <f t="shared" si="146"/>
        <v>0.17600000000000002</v>
      </c>
      <c r="GE56">
        <f t="shared" si="29"/>
        <v>117747.60900000001</v>
      </c>
      <c r="GF56">
        <f t="shared" si="30"/>
        <v>5.0567836571213413E-3</v>
      </c>
      <c r="GG56">
        <f t="shared" si="147"/>
        <v>4.207546330431816E-3</v>
      </c>
      <c r="GH56">
        <f t="shared" si="148"/>
        <v>1.162947077461195E-2</v>
      </c>
      <c r="GI56">
        <f t="shared" si="149"/>
        <v>13.798657284736072</v>
      </c>
      <c r="GJ56">
        <f t="shared" si="256"/>
        <v>2.7681116432389982E-6</v>
      </c>
      <c r="GK56">
        <f t="shared" si="227"/>
        <v>1.8573514285653132E-2</v>
      </c>
      <c r="GL56">
        <f t="shared" si="150"/>
        <v>2186.9868978629997</v>
      </c>
      <c r="GM56">
        <f t="shared" si="228"/>
        <v>1.839476108872822E-6</v>
      </c>
      <c r="GN56">
        <f t="shared" si="151"/>
        <v>9.9885958148163145E-4</v>
      </c>
      <c r="GO56">
        <f t="shared" si="152"/>
        <v>0.23007662219078032</v>
      </c>
      <c r="GQ56">
        <f t="shared" si="153"/>
        <v>26.985204936343468</v>
      </c>
      <c r="GR56">
        <f t="shared" si="154"/>
        <v>0.17600000000000002</v>
      </c>
      <c r="GS56">
        <f t="shared" si="31"/>
        <v>117747.60900000001</v>
      </c>
      <c r="GT56">
        <f t="shared" si="32"/>
        <v>5.0567836571213413E-3</v>
      </c>
      <c r="GU56">
        <f t="shared" si="155"/>
        <v>4.207546330431816E-3</v>
      </c>
      <c r="GV56">
        <f t="shared" si="156"/>
        <v>1.162947077461195E-2</v>
      </c>
      <c r="GW56">
        <f t="shared" si="157"/>
        <v>13.798657284736072</v>
      </c>
      <c r="GX56">
        <f t="shared" si="257"/>
        <v>2.6945071604534154E-6</v>
      </c>
      <c r="GY56">
        <f t="shared" si="229"/>
        <v>1.7911456161207252E-2</v>
      </c>
      <c r="GZ56">
        <f t="shared" si="158"/>
        <v>2109.0311366904725</v>
      </c>
      <c r="HA56">
        <f t="shared" si="230"/>
        <v>1.8063943105770339E-6</v>
      </c>
      <c r="HB56">
        <f t="shared" si="159"/>
        <v>9.5527254418651547E-4</v>
      </c>
      <c r="HC56">
        <f t="shared" si="160"/>
        <v>0.22395885204275592</v>
      </c>
      <c r="HE56">
        <f t="shared" si="161"/>
        <v>28.882898673076483</v>
      </c>
      <c r="HF56">
        <f t="shared" si="162"/>
        <v>0.17600000000000002</v>
      </c>
      <c r="HG56">
        <f t="shared" si="33"/>
        <v>117747.60900000001</v>
      </c>
      <c r="HH56">
        <f t="shared" si="34"/>
        <v>5.0567836571213413E-3</v>
      </c>
      <c r="HI56">
        <f t="shared" si="263"/>
        <v>4.207546330431816E-3</v>
      </c>
      <c r="HJ56">
        <f t="shared" si="164"/>
        <v>1.162947077461195E-2</v>
      </c>
      <c r="HK56">
        <f t="shared" si="165"/>
        <v>13.798657284736072</v>
      </c>
      <c r="HL56">
        <f t="shared" si="258"/>
        <v>2.6242288499678458E-6</v>
      </c>
      <c r="HM56">
        <f t="shared" si="231"/>
        <v>1.7282775550975002E-2</v>
      </c>
      <c r="HN56">
        <f t="shared" si="166"/>
        <v>2035.0054980109644</v>
      </c>
      <c r="HO56">
        <f t="shared" si="232"/>
        <v>1.774409501858366E-6</v>
      </c>
      <c r="HP56">
        <f t="shared" si="167"/>
        <v>9.1408326191932303E-4</v>
      </c>
      <c r="HQ56">
        <f t="shared" si="168"/>
        <v>0.21811754274105638</v>
      </c>
      <c r="HS56">
        <f t="shared" si="169"/>
        <v>30.780592409809493</v>
      </c>
      <c r="HT56">
        <f t="shared" si="170"/>
        <v>0.17600000000000002</v>
      </c>
      <c r="HU56">
        <f t="shared" si="35"/>
        <v>117747.60900000001</v>
      </c>
      <c r="HV56">
        <f t="shared" si="36"/>
        <v>5.0567836571213413E-3</v>
      </c>
      <c r="HW56">
        <f t="shared" si="264"/>
        <v>4.207546330431816E-3</v>
      </c>
      <c r="HX56">
        <f t="shared" si="172"/>
        <v>1.162947077461195E-2</v>
      </c>
      <c r="HY56">
        <f t="shared" si="173"/>
        <v>13.798657284736072</v>
      </c>
      <c r="HZ56">
        <f t="shared" si="259"/>
        <v>2.557080451792232E-6</v>
      </c>
      <c r="IA56">
        <f t="shared" si="233"/>
        <v>1.6685373736106374E-2</v>
      </c>
      <c r="IB56">
        <f t="shared" si="174"/>
        <v>1964.6628626979227</v>
      </c>
      <c r="IC56">
        <f t="shared" si="234"/>
        <v>1.7434724090785162E-6</v>
      </c>
      <c r="ID56">
        <f t="shared" si="175"/>
        <v>8.7513363312097681E-4</v>
      </c>
      <c r="IE56">
        <f t="shared" si="176"/>
        <v>0.21253638178047843</v>
      </c>
      <c r="IG56">
        <f t="shared" si="177"/>
        <v>32.678286146542504</v>
      </c>
      <c r="IH56">
        <f t="shared" si="178"/>
        <v>0.17600000000000002</v>
      </c>
      <c r="II56">
        <f t="shared" si="37"/>
        <v>117747.60900000001</v>
      </c>
      <c r="IJ56">
        <f t="shared" si="38"/>
        <v>5.0567836571213413E-3</v>
      </c>
      <c r="IK56">
        <f t="shared" si="265"/>
        <v>4.207546330431816E-3</v>
      </c>
      <c r="IL56">
        <f t="shared" si="180"/>
        <v>1.162947077461195E-2</v>
      </c>
      <c r="IM56">
        <f t="shared" si="181"/>
        <v>13.798657284736072</v>
      </c>
      <c r="IN56">
        <f t="shared" si="260"/>
        <v>2.492879409976596E-6</v>
      </c>
      <c r="IO56">
        <f t="shared" si="235"/>
        <v>1.6117305416323752E-2</v>
      </c>
      <c r="IP56">
        <f t="shared" si="182"/>
        <v>1897.7741762948715</v>
      </c>
      <c r="IQ56">
        <f t="shared" si="236"/>
        <v>1.7135363721163434E-6</v>
      </c>
      <c r="IR56">
        <f t="shared" si="183"/>
        <v>8.3827748542816155E-4</v>
      </c>
      <c r="IS56">
        <f t="shared" si="184"/>
        <v>0.20720019569197706</v>
      </c>
      <c r="IU56">
        <f t="shared" si="185"/>
        <v>34.575979883275522</v>
      </c>
      <c r="IV56">
        <f t="shared" si="186"/>
        <v>0.17600000000000002</v>
      </c>
      <c r="IW56">
        <f t="shared" si="39"/>
        <v>117747.60900000001</v>
      </c>
      <c r="IX56">
        <f t="shared" si="40"/>
        <v>5.0567836571213413E-3</v>
      </c>
      <c r="IY56">
        <f t="shared" si="266"/>
        <v>4.207546330431816E-3</v>
      </c>
      <c r="IZ56">
        <f t="shared" si="188"/>
        <v>1.162947077461195E-2</v>
      </c>
      <c r="JA56">
        <f t="shared" si="189"/>
        <v>13.798657284736072</v>
      </c>
      <c r="JB56">
        <f t="shared" si="261"/>
        <v>2.431455794746227E-6</v>
      </c>
      <c r="JC56">
        <f t="shared" si="237"/>
        <v>1.5576766201589286E-2</v>
      </c>
      <c r="JD56">
        <f t="shared" si="190"/>
        <v>1834.1269761891506</v>
      </c>
      <c r="JE56">
        <f t="shared" si="238"/>
        <v>1.6845571920996779E-6</v>
      </c>
      <c r="JF56">
        <f t="shared" si="191"/>
        <v>8.0337958008245788E-4</v>
      </c>
      <c r="JG56">
        <f t="shared" si="192"/>
        <v>0.20209486045397587</v>
      </c>
      <c r="JI56">
        <f t="shared" si="193"/>
        <v>36.473673620008533</v>
      </c>
      <c r="JJ56">
        <f t="shared" si="194"/>
        <v>0.17600000000000002</v>
      </c>
      <c r="JK56">
        <f t="shared" si="41"/>
        <v>117747.60900000001</v>
      </c>
      <c r="JL56">
        <f t="shared" si="42"/>
        <v>5.0567836571213413E-3</v>
      </c>
      <c r="JM56">
        <f t="shared" si="267"/>
        <v>4.207546330431816E-3</v>
      </c>
      <c r="JN56">
        <f t="shared" si="196"/>
        <v>1.162947077461195E-2</v>
      </c>
      <c r="JO56">
        <f t="shared" si="197"/>
        <v>13.798657284736072</v>
      </c>
      <c r="JP56">
        <f t="shared" si="262"/>
        <v>2.3726513173356339E-6</v>
      </c>
      <c r="JQ56">
        <f t="shared" si="239"/>
        <v>1.5062081211118706E-2</v>
      </c>
      <c r="JR56">
        <f t="shared" si="198"/>
        <v>1773.5240491730519</v>
      </c>
      <c r="JS56">
        <f t="shared" si="240"/>
        <v>1.6564929884113437E-6</v>
      </c>
      <c r="JT56">
        <f t="shared" si="199"/>
        <v>7.7031470607265198E-4</v>
      </c>
      <c r="JU56">
        <f t="shared" si="200"/>
        <v>0.19720721960850324</v>
      </c>
    </row>
    <row r="57" spans="2:281">
      <c r="B57">
        <v>0.23</v>
      </c>
      <c r="C57">
        <f t="shared" si="43"/>
        <v>0.43646955944859334</v>
      </c>
      <c r="D57">
        <f t="shared" si="44"/>
        <v>0.18400000000000002</v>
      </c>
      <c r="E57">
        <f t="shared" si="3"/>
        <v>117563.18100000001</v>
      </c>
      <c r="F57">
        <f t="shared" si="4"/>
        <v>5.0594265629255357E-3</v>
      </c>
      <c r="G57">
        <f t="shared" si="45"/>
        <v>4.2064472334220615E-3</v>
      </c>
      <c r="H57">
        <f t="shared" si="46"/>
        <v>1.1647714582050439E-2</v>
      </c>
      <c r="I57">
        <f t="shared" si="47"/>
        <v>13.813084669400155</v>
      </c>
      <c r="J57">
        <f t="shared" si="241"/>
        <v>4.1489171621046344E-6</v>
      </c>
      <c r="K57">
        <f t="shared" si="201"/>
        <v>3.2571036432348585E-2</v>
      </c>
      <c r="L57">
        <f t="shared" si="48"/>
        <v>3829.1546514537913</v>
      </c>
      <c r="M57">
        <f t="shared" si="202"/>
        <v>2.4340108758502873E-6</v>
      </c>
      <c r="N57">
        <f t="shared" si="203"/>
        <v>1.8460349475517255E-3</v>
      </c>
      <c r="O57">
        <f t="shared" si="49"/>
        <v>0.34484477847484535</v>
      </c>
      <c r="Q57">
        <f t="shared" si="50"/>
        <v>2.3341632961816079</v>
      </c>
      <c r="R57">
        <f t="shared" si="51"/>
        <v>0.18400000000000002</v>
      </c>
      <c r="S57">
        <f t="shared" si="5"/>
        <v>117563.18100000001</v>
      </c>
      <c r="T57">
        <f t="shared" si="6"/>
        <v>5.0594265629255357E-3</v>
      </c>
      <c r="U57">
        <f t="shared" si="52"/>
        <v>4.2064472334220615E-3</v>
      </c>
      <c r="V57">
        <f t="shared" si="53"/>
        <v>1.1647714582050439E-2</v>
      </c>
      <c r="W57">
        <f t="shared" si="54"/>
        <v>13.813084669400155</v>
      </c>
      <c r="X57">
        <f t="shared" si="242"/>
        <v>4.0053273456893781E-6</v>
      </c>
      <c r="Y57">
        <f t="shared" si="204"/>
        <v>3.1129767014946512E-2</v>
      </c>
      <c r="Z57">
        <f t="shared" si="55"/>
        <v>3659.714434065987</v>
      </c>
      <c r="AA57">
        <f t="shared" si="205"/>
        <v>2.3795490446828346E-6</v>
      </c>
      <c r="AB57">
        <f t="shared" si="56"/>
        <v>1.7500918765564646E-3</v>
      </c>
      <c r="AC57">
        <f t="shared" si="57"/>
        <v>0.33291005032812943</v>
      </c>
      <c r="AE57">
        <f t="shared" si="58"/>
        <v>4.2318570329146219</v>
      </c>
      <c r="AF57">
        <f t="shared" si="59"/>
        <v>0.18400000000000002</v>
      </c>
      <c r="AG57">
        <f t="shared" si="7"/>
        <v>117563.18100000001</v>
      </c>
      <c r="AH57">
        <f t="shared" si="8"/>
        <v>5.0594265629255357E-3</v>
      </c>
      <c r="AI57">
        <f t="shared" si="60"/>
        <v>4.2064472334220615E-3</v>
      </c>
      <c r="AJ57">
        <f t="shared" si="61"/>
        <v>1.1647714582050439E-2</v>
      </c>
      <c r="AK57">
        <f t="shared" si="62"/>
        <v>13.813084669400155</v>
      </c>
      <c r="AL57">
        <f t="shared" si="243"/>
        <v>3.8695888510262797E-6</v>
      </c>
      <c r="AM57">
        <f t="shared" si="206"/>
        <v>2.977508753460642E-2</v>
      </c>
      <c r="AN57">
        <f t="shared" si="63"/>
        <v>3500.4540051217787</v>
      </c>
      <c r="AO57">
        <f t="shared" si="207"/>
        <v>2.3271975377736462E-6</v>
      </c>
      <c r="AP57">
        <f t="shared" si="64"/>
        <v>1.660328782911851E-3</v>
      </c>
      <c r="AQ57">
        <f t="shared" si="65"/>
        <v>0.32162789903570393</v>
      </c>
      <c r="AS57">
        <f t="shared" si="66"/>
        <v>6.1295507696476363</v>
      </c>
      <c r="AT57">
        <f t="shared" si="67"/>
        <v>0.18400000000000002</v>
      </c>
      <c r="AU57">
        <f t="shared" si="9"/>
        <v>117563.18100000001</v>
      </c>
      <c r="AV57">
        <f t="shared" si="10"/>
        <v>5.0594265629255357E-3</v>
      </c>
      <c r="AW57">
        <f t="shared" si="68"/>
        <v>4.2064472334220615E-3</v>
      </c>
      <c r="AX57">
        <f t="shared" si="69"/>
        <v>1.1647714582050439E-2</v>
      </c>
      <c r="AY57">
        <f t="shared" si="70"/>
        <v>13.813084669400155</v>
      </c>
      <c r="AZ57">
        <f t="shared" si="244"/>
        <v>3.7411646474616758E-6</v>
      </c>
      <c r="BA57">
        <f t="shared" si="208"/>
        <v>2.8500729757438573E-2</v>
      </c>
      <c r="BB57">
        <f t="shared" si="71"/>
        <v>3350.6364511058373</v>
      </c>
      <c r="BC57">
        <f t="shared" si="209"/>
        <v>2.2768515484881279E-6</v>
      </c>
      <c r="BD57">
        <f t="shared" si="72"/>
        <v>1.5762803930045282E-3</v>
      </c>
      <c r="BE57">
        <f t="shared" si="73"/>
        <v>0.31095368832030396</v>
      </c>
      <c r="BG57">
        <f t="shared" si="74"/>
        <v>8.0272445063806526</v>
      </c>
      <c r="BH57">
        <f t="shared" si="75"/>
        <v>0.18400000000000002</v>
      </c>
      <c r="BI57">
        <f t="shared" si="11"/>
        <v>117563.18100000001</v>
      </c>
      <c r="BJ57">
        <f t="shared" si="12"/>
        <v>5.0594265629255357E-3</v>
      </c>
      <c r="BK57">
        <f t="shared" si="76"/>
        <v>4.2064472334220615E-3</v>
      </c>
      <c r="BL57">
        <f t="shared" si="77"/>
        <v>1.1647714582050439E-2</v>
      </c>
      <c r="BM57">
        <f t="shared" si="78"/>
        <v>13.813084669400155</v>
      </c>
      <c r="BN57">
        <f t="shared" si="245"/>
        <v>3.6195599576838499E-6</v>
      </c>
      <c r="BO57">
        <f t="shared" si="210"/>
        <v>2.7300939157943988E-2</v>
      </c>
      <c r="BP57">
        <f t="shared" si="79"/>
        <v>3209.5852516953569</v>
      </c>
      <c r="BQ57">
        <f t="shared" si="211"/>
        <v>2.228412155853159E-6</v>
      </c>
      <c r="BR57">
        <f t="shared" si="80"/>
        <v>1.4975205817213547E-3</v>
      </c>
      <c r="BS57">
        <f t="shared" si="81"/>
        <v>0.30084629386785255</v>
      </c>
      <c r="BU57">
        <f t="shared" si="82"/>
        <v>9.924938243113667</v>
      </c>
      <c r="BV57">
        <f t="shared" si="83"/>
        <v>0.18400000000000002</v>
      </c>
      <c r="BW57">
        <f t="shared" si="13"/>
        <v>117563.18100000001</v>
      </c>
      <c r="BX57">
        <f t="shared" si="14"/>
        <v>5.0594265629255357E-3</v>
      </c>
      <c r="BY57">
        <f t="shared" si="84"/>
        <v>4.2064472334220615E-3</v>
      </c>
      <c r="BZ57">
        <f t="shared" si="85"/>
        <v>1.1647714582050439E-2</v>
      </c>
      <c r="CA57">
        <f t="shared" si="86"/>
        <v>13.813084669400155</v>
      </c>
      <c r="CB57">
        <f t="shared" si="246"/>
        <v>3.504318592668418E-6</v>
      </c>
      <c r="CC57">
        <f t="shared" si="247"/>
        <v>2.6170428955132205E-2</v>
      </c>
      <c r="CD57">
        <f t="shared" si="87"/>
        <v>3076.6788760998488</v>
      </c>
      <c r="CE57">
        <f t="shared" si="248"/>
        <v>2.1817859758653882E-6</v>
      </c>
      <c r="CF57">
        <f t="shared" si="212"/>
        <v>1.4236588025039894E-3</v>
      </c>
      <c r="CG57">
        <f t="shared" si="88"/>
        <v>0.29126779869979619</v>
      </c>
      <c r="CI57">
        <f t="shared" si="89"/>
        <v>11.822631979846681</v>
      </c>
      <c r="CJ57">
        <f t="shared" si="90"/>
        <v>0.18400000000000002</v>
      </c>
      <c r="CK57">
        <f t="shared" si="15"/>
        <v>117563.18100000001</v>
      </c>
      <c r="CL57">
        <f t="shared" si="16"/>
        <v>5.0594265629255357E-3</v>
      </c>
      <c r="CM57">
        <f t="shared" si="91"/>
        <v>4.2064472334220615E-3</v>
      </c>
      <c r="CN57">
        <f t="shared" si="92"/>
        <v>1.1647714582050439E-2</v>
      </c>
      <c r="CO57">
        <f t="shared" si="93"/>
        <v>13.813084669400155</v>
      </c>
      <c r="CP57">
        <f t="shared" si="249"/>
        <v>3.3950196279624351E-6</v>
      </c>
      <c r="CQ57">
        <f t="shared" si="213"/>
        <v>2.5104338532396606E-2</v>
      </c>
      <c r="CR57">
        <f t="shared" si="94"/>
        <v>2951.3458947694171</v>
      </c>
      <c r="CS57">
        <f t="shared" si="214"/>
        <v>2.1368848334114676E-6</v>
      </c>
      <c r="CT57">
        <f t="shared" si="95"/>
        <v>1.3543368626543273E-3</v>
      </c>
      <c r="CU57">
        <f t="shared" si="96"/>
        <v>0.28218321691642678</v>
      </c>
      <c r="CW57">
        <f t="shared" si="97"/>
        <v>13.720325716579696</v>
      </c>
      <c r="CX57">
        <f t="shared" si="98"/>
        <v>0.18400000000000002</v>
      </c>
      <c r="CY57">
        <f t="shared" si="17"/>
        <v>117563.18100000001</v>
      </c>
      <c r="CZ57">
        <f t="shared" si="18"/>
        <v>5.0594265629255357E-3</v>
      </c>
      <c r="DA57">
        <f t="shared" si="99"/>
        <v>4.2064472334220615E-3</v>
      </c>
      <c r="DB57">
        <f t="shared" si="100"/>
        <v>1.1647714582050439E-2</v>
      </c>
      <c r="DC57">
        <f t="shared" si="101"/>
        <v>13.813084669400155</v>
      </c>
      <c r="DD57">
        <f t="shared" si="250"/>
        <v>3.2912743878111434E-6</v>
      </c>
      <c r="DE57">
        <f t="shared" si="215"/>
        <v>2.4098195803268066E-2</v>
      </c>
      <c r="DF57">
        <f t="shared" si="102"/>
        <v>2833.0605549930442</v>
      </c>
      <c r="DG57">
        <f t="shared" si="216"/>
        <v>2.0936254536621295E-6</v>
      </c>
      <c r="DH57">
        <f t="shared" si="103"/>
        <v>1.2892260090585754E-3</v>
      </c>
      <c r="DI57">
        <f t="shared" si="104"/>
        <v>0.27356024302710386</v>
      </c>
      <c r="DK57">
        <f t="shared" si="105"/>
        <v>15.61801945331271</v>
      </c>
      <c r="DL57">
        <f t="shared" si="106"/>
        <v>0.18400000000000002</v>
      </c>
      <c r="DM57">
        <f t="shared" si="19"/>
        <v>117563.18100000001</v>
      </c>
      <c r="DN57">
        <f t="shared" si="20"/>
        <v>5.0594265629255357E-3</v>
      </c>
      <c r="DO57">
        <f t="shared" si="107"/>
        <v>4.2064472334220615E-3</v>
      </c>
      <c r="DP57">
        <f t="shared" si="108"/>
        <v>1.1647714582050439E-2</v>
      </c>
      <c r="DQ57">
        <f t="shared" si="109"/>
        <v>13.813084669400155</v>
      </c>
      <c r="DR57">
        <f t="shared" si="251"/>
        <v>3.1927237070439831E-6</v>
      </c>
      <c r="DS57">
        <f t="shared" si="217"/>
        <v>2.3147883130336607E-2</v>
      </c>
      <c r="DT57">
        <f t="shared" si="110"/>
        <v>2721.3387742186096</v>
      </c>
      <c r="DU57">
        <f t="shared" si="218"/>
        <v>2.0519291718545879E-6</v>
      </c>
      <c r="DV57">
        <f t="shared" si="111"/>
        <v>1.2280242931148168E-3</v>
      </c>
      <c r="DW57">
        <f t="shared" si="112"/>
        <v>0.26536902436694221</v>
      </c>
      <c r="DY57">
        <f t="shared" si="113"/>
        <v>17.515713190045723</v>
      </c>
      <c r="DZ57">
        <f t="shared" si="114"/>
        <v>0.18400000000000002</v>
      </c>
      <c r="EA57">
        <f t="shared" si="21"/>
        <v>117563.18100000001</v>
      </c>
      <c r="EB57">
        <f t="shared" si="22"/>
        <v>5.0594265629255357E-3</v>
      </c>
      <c r="EC57">
        <f t="shared" si="115"/>
        <v>4.2064472334220615E-3</v>
      </c>
      <c r="ED57">
        <f t="shared" si="116"/>
        <v>1.1647714582050439E-2</v>
      </c>
      <c r="EE57">
        <f t="shared" si="117"/>
        <v>13.813084669400155</v>
      </c>
      <c r="EF57">
        <f t="shared" si="252"/>
        <v>3.0990354436926356E-6</v>
      </c>
      <c r="EG57">
        <f t="shared" si="219"/>
        <v>2.2249606445041616E-2</v>
      </c>
      <c r="EH57">
        <f t="shared" si="118"/>
        <v>2615.7345096771942</v>
      </c>
      <c r="EI57">
        <f t="shared" si="220"/>
        <v>2.0117216604286334E-6</v>
      </c>
      <c r="EJ57">
        <f t="shared" si="119"/>
        <v>1.1704541868839643E-3</v>
      </c>
      <c r="EK57">
        <f t="shared" si="120"/>
        <v>0.25758195435354636</v>
      </c>
      <c r="EM57">
        <f t="shared" si="121"/>
        <v>19.413406926778737</v>
      </c>
      <c r="EN57">
        <f t="shared" si="122"/>
        <v>0.18400000000000002</v>
      </c>
      <c r="EO57">
        <f t="shared" si="23"/>
        <v>117563.18100000001</v>
      </c>
      <c r="EP57">
        <f t="shared" si="24"/>
        <v>5.0594265629255357E-3</v>
      </c>
      <c r="EQ57">
        <f t="shared" si="123"/>
        <v>4.2064472334220615E-3</v>
      </c>
      <c r="ER57">
        <f t="shared" si="124"/>
        <v>1.1647714582050439E-2</v>
      </c>
      <c r="ES57">
        <f t="shared" si="125"/>
        <v>13.813084669400155</v>
      </c>
      <c r="ET57">
        <f t="shared" si="253"/>
        <v>3.0099022180512268E-6</v>
      </c>
      <c r="EU57">
        <f t="shared" si="221"/>
        <v>2.1399867252196347E-2</v>
      </c>
      <c r="EV57">
        <f t="shared" si="126"/>
        <v>2515.8364671459321</v>
      </c>
      <c r="EW57">
        <f t="shared" si="222"/>
        <v>1.9729326725313083E-6</v>
      </c>
      <c r="EX57">
        <f t="shared" si="127"/>
        <v>1.1162604253773677E-3</v>
      </c>
      <c r="EY57">
        <f t="shared" si="128"/>
        <v>0.25017348456489724</v>
      </c>
      <c r="FA57">
        <f t="shared" si="129"/>
        <v>21.311100663511752</v>
      </c>
      <c r="FB57">
        <f t="shared" si="130"/>
        <v>0.18400000000000002</v>
      </c>
      <c r="FC57">
        <f t="shared" si="25"/>
        <v>117563.18100000001</v>
      </c>
      <c r="FD57">
        <f t="shared" si="26"/>
        <v>5.0594265629255357E-3</v>
      </c>
      <c r="FE57">
        <f t="shared" si="131"/>
        <v>4.2064472334220615E-3</v>
      </c>
      <c r="FF57">
        <f t="shared" si="132"/>
        <v>1.1647714582050439E-2</v>
      </c>
      <c r="FG57">
        <f t="shared" si="133"/>
        <v>13.813084669400155</v>
      </c>
      <c r="FH57">
        <f t="shared" si="254"/>
        <v>2.925039356341115E-6</v>
      </c>
      <c r="FI57">
        <f t="shared" si="223"/>
        <v>2.0595437235476952E-2</v>
      </c>
      <c r="FJ57">
        <f t="shared" si="134"/>
        <v>2421.2651154885166</v>
      </c>
      <c r="FK57">
        <f t="shared" si="224"/>
        <v>1.9354958009528658E-6</v>
      </c>
      <c r="FL57">
        <f t="shared" si="135"/>
        <v>1.0652080524826777E-3</v>
      </c>
      <c r="FM57">
        <f t="shared" si="136"/>
        <v>0.24311995382331938</v>
      </c>
      <c r="FO57">
        <f t="shared" si="137"/>
        <v>23.208794400244766</v>
      </c>
      <c r="FP57">
        <f t="shared" si="138"/>
        <v>0.18400000000000002</v>
      </c>
      <c r="FQ57">
        <f t="shared" si="27"/>
        <v>117563.18100000001</v>
      </c>
      <c r="FR57">
        <f t="shared" si="28"/>
        <v>5.0594265629255357E-3</v>
      </c>
      <c r="FS57">
        <f t="shared" si="139"/>
        <v>4.2064472334220615E-3</v>
      </c>
      <c r="FT57">
        <f t="shared" si="140"/>
        <v>1.1647714582050439E-2</v>
      </c>
      <c r="FU57">
        <f t="shared" si="141"/>
        <v>13.813084669400155</v>
      </c>
      <c r="FV57">
        <f t="shared" si="255"/>
        <v>2.8441830193403223E-6</v>
      </c>
      <c r="FW57">
        <f t="shared" si="225"/>
        <v>1.9833335209082887E-2</v>
      </c>
      <c r="FX57">
        <f t="shared" si="142"/>
        <v>2331.6699770190844</v>
      </c>
      <c r="FY57">
        <f t="shared" si="226"/>
        <v>1.8993482516032886E-6</v>
      </c>
      <c r="FZ57">
        <f t="shared" si="143"/>
        <v>1.017080650345106E-3</v>
      </c>
      <c r="GA57">
        <f t="shared" si="144"/>
        <v>0.23639943265312047</v>
      </c>
      <c r="GC57">
        <f t="shared" si="145"/>
        <v>25.106488136977781</v>
      </c>
      <c r="GD57">
        <f t="shared" si="146"/>
        <v>0.18400000000000002</v>
      </c>
      <c r="GE57">
        <f t="shared" si="29"/>
        <v>117563.18100000001</v>
      </c>
      <c r="GF57">
        <f t="shared" si="30"/>
        <v>5.0594265629255357E-3</v>
      </c>
      <c r="GG57">
        <f t="shared" si="147"/>
        <v>4.2064472334220615E-3</v>
      </c>
      <c r="GH57">
        <f t="shared" si="148"/>
        <v>1.1647714582050439E-2</v>
      </c>
      <c r="GI57">
        <f t="shared" si="149"/>
        <v>13.813084669400155</v>
      </c>
      <c r="GJ57">
        <f t="shared" si="256"/>
        <v>2.7670884983072054E-6</v>
      </c>
      <c r="GK57">
        <f t="shared" si="227"/>
        <v>1.9110806186712109E-2</v>
      </c>
      <c r="GL57">
        <f t="shared" si="150"/>
        <v>2246.7271667843556</v>
      </c>
      <c r="GM57">
        <f t="shared" si="228"/>
        <v>1.8644306306833725E-6</v>
      </c>
      <c r="GN57">
        <f t="shared" si="151"/>
        <v>9.7167873409321169E-4</v>
      </c>
      <c r="GO57">
        <f t="shared" si="152"/>
        <v>0.22999158164319494</v>
      </c>
      <c r="GQ57">
        <f t="shared" si="153"/>
        <v>27.004181873710795</v>
      </c>
      <c r="GR57">
        <f t="shared" si="154"/>
        <v>0.18400000000000002</v>
      </c>
      <c r="GS57">
        <f t="shared" si="31"/>
        <v>117563.18100000001</v>
      </c>
      <c r="GT57">
        <f t="shared" si="32"/>
        <v>5.0594265629255357E-3</v>
      </c>
      <c r="GU57">
        <f t="shared" si="155"/>
        <v>4.2064472334220615E-3</v>
      </c>
      <c r="GV57">
        <f t="shared" si="156"/>
        <v>1.1647714582050439E-2</v>
      </c>
      <c r="GW57">
        <f t="shared" si="157"/>
        <v>13.813084669400155</v>
      </c>
      <c r="GX57">
        <f t="shared" si="257"/>
        <v>2.6935286622939286E-6</v>
      </c>
      <c r="GY57">
        <f t="shared" si="229"/>
        <v>1.8425302362225903E-2</v>
      </c>
      <c r="GZ57">
        <f t="shared" si="158"/>
        <v>2166.1371565900918</v>
      </c>
      <c r="HA57">
        <f t="shared" si="230"/>
        <v>1.8306867447478275E-6</v>
      </c>
      <c r="HB57">
        <f t="shared" si="159"/>
        <v>9.2881829565257359E-4</v>
      </c>
      <c r="HC57">
        <f t="shared" si="160"/>
        <v>0.22387752239266595</v>
      </c>
      <c r="HE57">
        <f t="shared" si="161"/>
        <v>28.90187561044381</v>
      </c>
      <c r="HF57">
        <f t="shared" si="162"/>
        <v>0.18400000000000002</v>
      </c>
      <c r="HG57">
        <f t="shared" si="33"/>
        <v>117563.18100000001</v>
      </c>
      <c r="HH57">
        <f t="shared" si="34"/>
        <v>5.0594265629255357E-3</v>
      </c>
      <c r="HI57">
        <f t="shared" si="263"/>
        <v>4.2064472334220615E-3</v>
      </c>
      <c r="HJ57">
        <f t="shared" si="164"/>
        <v>1.1647714582050439E-2</v>
      </c>
      <c r="HK57">
        <f t="shared" si="165"/>
        <v>13.813084669400155</v>
      </c>
      <c r="HL57">
        <f t="shared" si="258"/>
        <v>2.6232925425288342E-6</v>
      </c>
      <c r="HM57">
        <f t="shared" si="231"/>
        <v>1.777446581718271E-2</v>
      </c>
      <c r="HN57">
        <f t="shared" si="166"/>
        <v>2089.622742043764</v>
      </c>
      <c r="HO57">
        <f t="shared" si="232"/>
        <v>1.7980634128996022E-6</v>
      </c>
      <c r="HP57">
        <f t="shared" si="167"/>
        <v>8.8832948205037454E-4</v>
      </c>
      <c r="HQ57">
        <f t="shared" si="168"/>
        <v>0.21803971984925719</v>
      </c>
      <c r="HS57">
        <f t="shared" si="169"/>
        <v>30.799569347176824</v>
      </c>
      <c r="HT57">
        <f t="shared" si="170"/>
        <v>0.18400000000000002</v>
      </c>
      <c r="HU57">
        <f t="shared" si="35"/>
        <v>117563.18100000001</v>
      </c>
      <c r="HV57">
        <f t="shared" si="36"/>
        <v>5.0594265629255357E-3</v>
      </c>
      <c r="HW57">
        <f t="shared" si="264"/>
        <v>4.2064472334220615E-3</v>
      </c>
      <c r="HX57">
        <f t="shared" si="172"/>
        <v>1.1647714582050439E-2</v>
      </c>
      <c r="HY57">
        <f t="shared" si="173"/>
        <v>13.813084669400155</v>
      </c>
      <c r="HZ57">
        <f t="shared" si="259"/>
        <v>2.5561840409673577E-6</v>
      </c>
      <c r="IA57">
        <f t="shared" si="233"/>
        <v>1.7156112789059989E-2</v>
      </c>
      <c r="IB57">
        <f t="shared" si="174"/>
        <v>2016.9271930766745</v>
      </c>
      <c r="IC57">
        <f t="shared" si="234"/>
        <v>1.7665102903948937E-6</v>
      </c>
      <c r="ID57">
        <f t="shared" si="175"/>
        <v>8.5005539509976687E-4</v>
      </c>
      <c r="IE57">
        <f t="shared" si="176"/>
        <v>0.21246187496815888</v>
      </c>
      <c r="IG57">
        <f t="shared" si="177"/>
        <v>32.697263083909839</v>
      </c>
      <c r="IH57">
        <f t="shared" si="178"/>
        <v>0.18400000000000002</v>
      </c>
      <c r="II57">
        <f t="shared" si="37"/>
        <v>117563.18100000001</v>
      </c>
      <c r="IJ57">
        <f t="shared" si="38"/>
        <v>5.0594265629255357E-3</v>
      </c>
      <c r="IK57">
        <f t="shared" si="265"/>
        <v>4.2064472334220615E-3</v>
      </c>
      <c r="IL57">
        <f t="shared" si="180"/>
        <v>1.1647714582050439E-2</v>
      </c>
      <c r="IM57">
        <f t="shared" si="181"/>
        <v>13.813084669400155</v>
      </c>
      <c r="IN57">
        <f t="shared" si="260"/>
        <v>2.4920207513857858E-6</v>
      </c>
      <c r="IO57">
        <f t="shared" si="235"/>
        <v>1.6568219350685493E-2</v>
      </c>
      <c r="IP57">
        <f t="shared" si="182"/>
        <v>1947.8125703723413</v>
      </c>
      <c r="IQ57">
        <f t="shared" si="236"/>
        <v>1.735979702976982E-6</v>
      </c>
      <c r="IR57">
        <f t="shared" si="183"/>
        <v>8.1385100068336741E-4</v>
      </c>
      <c r="IS57">
        <f t="shared" si="184"/>
        <v>0.20712882672509625</v>
      </c>
      <c r="IU57">
        <f t="shared" si="185"/>
        <v>34.594956820642857</v>
      </c>
      <c r="IV57">
        <f t="shared" si="186"/>
        <v>0.18400000000000002</v>
      </c>
      <c r="IW57">
        <f t="shared" si="39"/>
        <v>117563.18100000001</v>
      </c>
      <c r="IX57">
        <f t="shared" si="40"/>
        <v>5.0594265629255357E-3</v>
      </c>
      <c r="IY57">
        <f t="shared" si="266"/>
        <v>4.2064472334220615E-3</v>
      </c>
      <c r="IZ57">
        <f t="shared" si="188"/>
        <v>1.1647714582050439E-2</v>
      </c>
      <c r="JA57">
        <f t="shared" si="189"/>
        <v>13.813084669400155</v>
      </c>
      <c r="JB57">
        <f t="shared" si="261"/>
        <v>2.4306328825362364E-6</v>
      </c>
      <c r="JC57">
        <f t="shared" si="237"/>
        <v>1.60089083663712E-2</v>
      </c>
      <c r="JD57">
        <f t="shared" si="190"/>
        <v>1882.0581918881119</v>
      </c>
      <c r="JE57">
        <f t="shared" si="238"/>
        <v>1.7064264912942264E-6</v>
      </c>
      <c r="JF57">
        <f t="shared" si="191"/>
        <v>7.7958213704674929E-4</v>
      </c>
      <c r="JG57">
        <f t="shared" si="192"/>
        <v>0.20202646261240159</v>
      </c>
      <c r="JI57">
        <f t="shared" si="193"/>
        <v>36.492650557375867</v>
      </c>
      <c r="JJ57">
        <f t="shared" si="194"/>
        <v>0.18400000000000002</v>
      </c>
      <c r="JK57">
        <f t="shared" si="41"/>
        <v>117563.18100000001</v>
      </c>
      <c r="JL57">
        <f t="shared" si="42"/>
        <v>5.0594265629255357E-3</v>
      </c>
      <c r="JM57">
        <f t="shared" si="267"/>
        <v>4.2064472334220615E-3</v>
      </c>
      <c r="JN57">
        <f t="shared" si="196"/>
        <v>1.1647714582050439E-2</v>
      </c>
      <c r="JO57">
        <f t="shared" si="197"/>
        <v>13.813084669400155</v>
      </c>
      <c r="JP57">
        <f t="shared" si="262"/>
        <v>2.3718622739084936E-6</v>
      </c>
      <c r="JQ57">
        <f t="shared" si="239"/>
        <v>1.5476437603661582E-2</v>
      </c>
      <c r="JR57">
        <f t="shared" si="198"/>
        <v>1819.459235234473</v>
      </c>
      <c r="JS57">
        <f t="shared" si="240"/>
        <v>1.6778078647929435E-6</v>
      </c>
      <c r="JT57">
        <f t="shared" si="199"/>
        <v>7.4712461258051469E-4</v>
      </c>
      <c r="JU57">
        <f t="shared" si="200"/>
        <v>0.1971416368322732</v>
      </c>
    </row>
    <row r="58" spans="2:281">
      <c r="B58">
        <v>0.24</v>
      </c>
      <c r="C58">
        <f t="shared" si="43"/>
        <v>0.45544649681592347</v>
      </c>
      <c r="D58">
        <f t="shared" si="44"/>
        <v>0.192</v>
      </c>
      <c r="E58">
        <f t="shared" si="3"/>
        <v>117378.75300000001</v>
      </c>
      <c r="F58">
        <f t="shared" si="4"/>
        <v>5.062075002619796E-3</v>
      </c>
      <c r="G58">
        <f t="shared" si="45"/>
        <v>4.2053466986255866E-3</v>
      </c>
      <c r="H58">
        <f t="shared" si="46"/>
        <v>1.1666015719607578E-2</v>
      </c>
      <c r="I58">
        <f t="shared" si="47"/>
        <v>13.827549825204114</v>
      </c>
      <c r="J58">
        <f t="shared" si="241"/>
        <v>4.1470262443665291E-6</v>
      </c>
      <c r="K58">
        <f t="shared" si="201"/>
        <v>3.3564028485265851E-2</v>
      </c>
      <c r="L58">
        <f t="shared" si="48"/>
        <v>3939.7038092569846</v>
      </c>
      <c r="M58">
        <f t="shared" si="202"/>
        <v>2.4688962905555783E-6</v>
      </c>
      <c r="N58">
        <f t="shared" si="203"/>
        <v>1.807865154840383E-3</v>
      </c>
      <c r="O58">
        <f t="shared" si="49"/>
        <v>0.34468761141581922</v>
      </c>
      <c r="Q58">
        <f t="shared" si="50"/>
        <v>2.3531402335489378</v>
      </c>
      <c r="R58">
        <f t="shared" si="51"/>
        <v>0.192</v>
      </c>
      <c r="S58">
        <f t="shared" si="5"/>
        <v>117378.75300000001</v>
      </c>
      <c r="T58">
        <f t="shared" si="6"/>
        <v>5.062075002619796E-3</v>
      </c>
      <c r="U58">
        <f t="shared" si="52"/>
        <v>4.2053466986255866E-3</v>
      </c>
      <c r="V58">
        <f t="shared" si="53"/>
        <v>1.1666015719607578E-2</v>
      </c>
      <c r="W58">
        <f t="shared" si="54"/>
        <v>13.827549825204114</v>
      </c>
      <c r="X58">
        <f t="shared" si="242"/>
        <v>4.0035347036935786E-6</v>
      </c>
      <c r="Y58">
        <f t="shared" si="204"/>
        <v>3.207115077780559E-2</v>
      </c>
      <c r="Z58">
        <f t="shared" si="55"/>
        <v>3764.4716855738006</v>
      </c>
      <c r="AA58">
        <f t="shared" si="205"/>
        <v>2.4133653800939044E-6</v>
      </c>
      <c r="AB58">
        <f t="shared" si="56"/>
        <v>1.7131043420704074E-3</v>
      </c>
      <c r="AC58">
        <f t="shared" si="57"/>
        <v>0.33276105163575437</v>
      </c>
      <c r="AE58">
        <f t="shared" si="58"/>
        <v>4.2508339702819526</v>
      </c>
      <c r="AF58">
        <f t="shared" si="59"/>
        <v>0.192</v>
      </c>
      <c r="AG58">
        <f t="shared" si="7"/>
        <v>117378.75300000001</v>
      </c>
      <c r="AH58">
        <f t="shared" si="8"/>
        <v>5.062075002619796E-3</v>
      </c>
      <c r="AI58">
        <f t="shared" si="60"/>
        <v>4.2053466986255866E-3</v>
      </c>
      <c r="AJ58">
        <f t="shared" si="61"/>
        <v>1.1666015719607578E-2</v>
      </c>
      <c r="AK58">
        <f t="shared" si="62"/>
        <v>13.827549825204114</v>
      </c>
      <c r="AL58">
        <f t="shared" si="243"/>
        <v>3.8678881545411675E-6</v>
      </c>
      <c r="AM58">
        <f t="shared" si="206"/>
        <v>3.0668187250214661E-2</v>
      </c>
      <c r="AN58">
        <f t="shared" si="63"/>
        <v>3599.7935762006964</v>
      </c>
      <c r="AO58">
        <f t="shared" si="207"/>
        <v>2.3599883538079672E-6</v>
      </c>
      <c r="AP58">
        <f t="shared" si="64"/>
        <v>1.624474612675566E-3</v>
      </c>
      <c r="AQ58">
        <f t="shared" si="65"/>
        <v>0.32148654256129222</v>
      </c>
      <c r="AS58">
        <f t="shared" si="66"/>
        <v>6.1485277070149671</v>
      </c>
      <c r="AT58">
        <f t="shared" si="67"/>
        <v>0.192</v>
      </c>
      <c r="AU58">
        <f t="shared" si="9"/>
        <v>117378.75300000001</v>
      </c>
      <c r="AV58">
        <f t="shared" si="10"/>
        <v>5.062075002619796E-3</v>
      </c>
      <c r="AW58">
        <f t="shared" si="68"/>
        <v>4.2053466986255866E-3</v>
      </c>
      <c r="AX58">
        <f t="shared" si="69"/>
        <v>1.1666015719607578E-2</v>
      </c>
      <c r="AY58">
        <f t="shared" si="70"/>
        <v>13.827549825204114</v>
      </c>
      <c r="AZ58">
        <f t="shared" si="244"/>
        <v>3.7395500428414798E-6</v>
      </c>
      <c r="BA58">
        <f t="shared" si="208"/>
        <v>2.9348619395442838E-2</v>
      </c>
      <c r="BB58">
        <f t="shared" si="71"/>
        <v>3444.9043469086946</v>
      </c>
      <c r="BC58">
        <f t="shared" si="209"/>
        <v>2.3086582264328744E-6</v>
      </c>
      <c r="BD58">
        <f t="shared" si="72"/>
        <v>1.5415131881513404E-3</v>
      </c>
      <c r="BE58">
        <f t="shared" si="73"/>
        <v>0.31081948752746535</v>
      </c>
      <c r="BG58">
        <f t="shared" si="74"/>
        <v>8.0462214437479815</v>
      </c>
      <c r="BH58">
        <f t="shared" si="75"/>
        <v>0.192</v>
      </c>
      <c r="BI58">
        <f t="shared" si="11"/>
        <v>117378.75300000001</v>
      </c>
      <c r="BJ58">
        <f t="shared" si="12"/>
        <v>5.062075002619796E-3</v>
      </c>
      <c r="BK58">
        <f t="shared" si="76"/>
        <v>4.2053466986255866E-3</v>
      </c>
      <c r="BL58">
        <f t="shared" si="77"/>
        <v>1.1666015719607578E-2</v>
      </c>
      <c r="BM58">
        <f t="shared" si="78"/>
        <v>13.827549825204114</v>
      </c>
      <c r="BN58">
        <f t="shared" si="245"/>
        <v>3.6180260277683245E-6</v>
      </c>
      <c r="BO58">
        <f t="shared" si="210"/>
        <v>2.8106463473017981E-2</v>
      </c>
      <c r="BP58">
        <f t="shared" si="79"/>
        <v>3299.1016337029</v>
      </c>
      <c r="BQ58">
        <f t="shared" si="211"/>
        <v>2.2592740206115365E-6</v>
      </c>
      <c r="BR58">
        <f t="shared" si="80"/>
        <v>1.4637962943392627E-3</v>
      </c>
      <c r="BS58">
        <f t="shared" si="81"/>
        <v>0.30071879849948352</v>
      </c>
      <c r="BU58">
        <f t="shared" si="82"/>
        <v>9.943915180480996</v>
      </c>
      <c r="BV58">
        <f t="shared" si="83"/>
        <v>0.192</v>
      </c>
      <c r="BW58">
        <f t="shared" si="13"/>
        <v>117378.75300000001</v>
      </c>
      <c r="BX58">
        <f t="shared" si="14"/>
        <v>5.062075002619796E-3</v>
      </c>
      <c r="BY58">
        <f t="shared" si="84"/>
        <v>4.2053466986255866E-3</v>
      </c>
      <c r="BZ58">
        <f t="shared" si="85"/>
        <v>1.1666015719607578E-2</v>
      </c>
      <c r="CA58">
        <f t="shared" si="86"/>
        <v>13.827549825204114</v>
      </c>
      <c r="CB58">
        <f t="shared" si="246"/>
        <v>3.5028603203392647E-6</v>
      </c>
      <c r="CC58">
        <f t="shared" si="247"/>
        <v>2.693622262487121E-2</v>
      </c>
      <c r="CD58">
        <f t="shared" si="87"/>
        <v>3161.7402222377696</v>
      </c>
      <c r="CE58">
        <f t="shared" si="248"/>
        <v>2.211740410997603E-6</v>
      </c>
      <c r="CF58">
        <f t="shared" si="212"/>
        <v>1.3909356003798618E-3</v>
      </c>
      <c r="CG58">
        <f t="shared" si="88"/>
        <v>0.29114659174900526</v>
      </c>
      <c r="CI58">
        <f t="shared" si="89"/>
        <v>11.84160891721401</v>
      </c>
      <c r="CJ58">
        <f t="shared" si="90"/>
        <v>0.192</v>
      </c>
      <c r="CK58">
        <f t="shared" si="15"/>
        <v>117378.75300000001</v>
      </c>
      <c r="CL58">
        <f t="shared" si="16"/>
        <v>5.062075002619796E-3</v>
      </c>
      <c r="CM58">
        <f t="shared" si="91"/>
        <v>4.2053466986255866E-3</v>
      </c>
      <c r="CN58">
        <f t="shared" si="92"/>
        <v>1.1666015719607578E-2</v>
      </c>
      <c r="CO58">
        <f t="shared" si="93"/>
        <v>13.827549825204114</v>
      </c>
      <c r="CP58">
        <f t="shared" si="249"/>
        <v>3.39363236300282E-6</v>
      </c>
      <c r="CQ58">
        <f t="shared" si="213"/>
        <v>2.583284356063139E-2</v>
      </c>
      <c r="CR58">
        <f t="shared" si="94"/>
        <v>3032.2269635909929</v>
      </c>
      <c r="CS58">
        <f t="shared" si="214"/>
        <v>2.1659673893926394E-6</v>
      </c>
      <c r="CT58">
        <f t="shared" si="95"/>
        <v>1.3225750023516448E-3</v>
      </c>
      <c r="CU58">
        <f t="shared" si="96"/>
        <v>0.28206791187200364</v>
      </c>
      <c r="CW58">
        <f t="shared" si="97"/>
        <v>13.739302653947025</v>
      </c>
      <c r="CX58">
        <f t="shared" si="98"/>
        <v>0.192</v>
      </c>
      <c r="CY58">
        <f t="shared" si="17"/>
        <v>117378.75300000001</v>
      </c>
      <c r="CZ58">
        <f t="shared" si="18"/>
        <v>5.062075002619796E-3</v>
      </c>
      <c r="DA58">
        <f t="shared" si="99"/>
        <v>4.2053466986255866E-3</v>
      </c>
      <c r="DB58">
        <f t="shared" si="100"/>
        <v>1.1666015719607578E-2</v>
      </c>
      <c r="DC58">
        <f t="shared" si="101"/>
        <v>13.827549825204114</v>
      </c>
      <c r="DD58">
        <f t="shared" si="250"/>
        <v>3.2899538167503467E-6</v>
      </c>
      <c r="DE58">
        <f t="shared" si="215"/>
        <v>2.4791677355774516E-2</v>
      </c>
      <c r="DF58">
        <f t="shared" si="102"/>
        <v>2910.0161727991504</v>
      </c>
      <c r="DG58">
        <f t="shared" si="216"/>
        <v>2.1218699497564158E-6</v>
      </c>
      <c r="DH58">
        <f t="shared" si="103"/>
        <v>1.2583877167998119E-3</v>
      </c>
      <c r="DI58">
        <f t="shared" si="104"/>
        <v>0.27345048136710254</v>
      </c>
      <c r="DK58">
        <f t="shared" si="105"/>
        <v>15.636996390680039</v>
      </c>
      <c r="DL58">
        <f t="shared" si="106"/>
        <v>0.192</v>
      </c>
      <c r="DM58">
        <f t="shared" si="19"/>
        <v>117378.75300000001</v>
      </c>
      <c r="DN58">
        <f t="shared" si="20"/>
        <v>5.062075002619796E-3</v>
      </c>
      <c r="DO58">
        <f t="shared" si="107"/>
        <v>4.2053466986255866E-3</v>
      </c>
      <c r="DP58">
        <f t="shared" si="108"/>
        <v>1.1666015719607578E-2</v>
      </c>
      <c r="DQ58">
        <f t="shared" si="109"/>
        <v>13.827549825204114</v>
      </c>
      <c r="DR58">
        <f t="shared" si="251"/>
        <v>3.1914658257011869E-6</v>
      </c>
      <c r="DS58">
        <f t="shared" si="217"/>
        <v>2.3808443953125751E-2</v>
      </c>
      <c r="DT58">
        <f t="shared" si="110"/>
        <v>2794.6054620882915</v>
      </c>
      <c r="DU58">
        <f t="shared" si="218"/>
        <v>2.0793677919827125E-6</v>
      </c>
      <c r="DV58">
        <f t="shared" si="111"/>
        <v>1.1980736529732608E-3</v>
      </c>
      <c r="DW58">
        <f t="shared" si="112"/>
        <v>0.26526447327660801</v>
      </c>
      <c r="DY58">
        <f t="shared" si="113"/>
        <v>17.534690127413054</v>
      </c>
      <c r="DZ58">
        <f t="shared" si="114"/>
        <v>0.192</v>
      </c>
      <c r="EA58">
        <f t="shared" si="21"/>
        <v>117378.75300000001</v>
      </c>
      <c r="EB58">
        <f t="shared" si="22"/>
        <v>5.062075002619796E-3</v>
      </c>
      <c r="EC58">
        <f t="shared" si="115"/>
        <v>4.2053466986255866E-3</v>
      </c>
      <c r="ED58">
        <f t="shared" si="116"/>
        <v>1.1666015719607578E-2</v>
      </c>
      <c r="EE58">
        <f t="shared" si="117"/>
        <v>13.827549825204114</v>
      </c>
      <c r="EF58">
        <f t="shared" si="252"/>
        <v>3.0978365321625183E-6</v>
      </c>
      <c r="EG58">
        <f t="shared" si="219"/>
        <v>2.2879200000364593E-2</v>
      </c>
      <c r="EH58">
        <f t="shared" si="118"/>
        <v>2685.5319656803958</v>
      </c>
      <c r="EI58">
        <f t="shared" si="220"/>
        <v>2.0383850433850501E-6</v>
      </c>
      <c r="EJ58">
        <f t="shared" si="119"/>
        <v>1.1413570358212702E-3</v>
      </c>
      <c r="EK58">
        <f t="shared" si="120"/>
        <v>0.25748230464619848</v>
      </c>
      <c r="EM58">
        <f t="shared" si="121"/>
        <v>19.432383864146068</v>
      </c>
      <c r="EN58">
        <f t="shared" si="122"/>
        <v>0.192</v>
      </c>
      <c r="EO58">
        <f t="shared" si="23"/>
        <v>117378.75300000001</v>
      </c>
      <c r="EP58">
        <f t="shared" si="24"/>
        <v>5.062075002619796E-3</v>
      </c>
      <c r="EQ58">
        <f t="shared" si="123"/>
        <v>4.2053466986255866E-3</v>
      </c>
      <c r="ER58">
        <f t="shared" si="124"/>
        <v>1.1666015719607578E-2</v>
      </c>
      <c r="ES58">
        <f t="shared" si="125"/>
        <v>13.827549825204114</v>
      </c>
      <c r="ET58">
        <f t="shared" si="253"/>
        <v>3.008758817899734E-6</v>
      </c>
      <c r="EU58">
        <f t="shared" si="221"/>
        <v>2.2000309693904103E-2</v>
      </c>
      <c r="EV58">
        <f t="shared" si="126"/>
        <v>2582.3689174842757</v>
      </c>
      <c r="EW58">
        <f t="shared" si="222"/>
        <v>1.9988499968871886E-6</v>
      </c>
      <c r="EX58">
        <f t="shared" si="127"/>
        <v>1.087984254692707E-3</v>
      </c>
      <c r="EY58">
        <f t="shared" si="128"/>
        <v>0.25007844878651364</v>
      </c>
      <c r="FA58">
        <f t="shared" si="129"/>
        <v>21.330077600879083</v>
      </c>
      <c r="FB58">
        <f t="shared" si="130"/>
        <v>0.192</v>
      </c>
      <c r="FC58">
        <f t="shared" si="25"/>
        <v>117378.75300000001</v>
      </c>
      <c r="FD58">
        <f t="shared" si="26"/>
        <v>5.062075002619796E-3</v>
      </c>
      <c r="FE58">
        <f t="shared" si="131"/>
        <v>4.2053466986255866E-3</v>
      </c>
      <c r="FF58">
        <f t="shared" si="132"/>
        <v>1.1666015719607578E-2</v>
      </c>
      <c r="FG58">
        <f t="shared" si="133"/>
        <v>13.827549825204114</v>
      </c>
      <c r="FH58">
        <f t="shared" si="254"/>
        <v>2.9239482498028103E-6</v>
      </c>
      <c r="FI58">
        <f t="shared" si="223"/>
        <v>2.1168418333273407E-2</v>
      </c>
      <c r="FJ58">
        <f t="shared" si="134"/>
        <v>2484.7225469419714</v>
      </c>
      <c r="FK58">
        <f t="shared" si="224"/>
        <v>1.9606948649621241E-6</v>
      </c>
      <c r="FL58">
        <f t="shared" si="135"/>
        <v>1.0377219152669453E-3</v>
      </c>
      <c r="FM58">
        <f t="shared" si="136"/>
        <v>0.24302926452348692</v>
      </c>
      <c r="FO58">
        <f t="shared" si="137"/>
        <v>23.227771337612097</v>
      </c>
      <c r="FP58">
        <f t="shared" si="138"/>
        <v>0.192</v>
      </c>
      <c r="FQ58">
        <f t="shared" si="27"/>
        <v>117378.75300000001</v>
      </c>
      <c r="FR58">
        <f t="shared" si="28"/>
        <v>5.062075002619796E-3</v>
      </c>
      <c r="FS58">
        <f t="shared" si="139"/>
        <v>4.2053466986255866E-3</v>
      </c>
      <c r="FT58">
        <f t="shared" si="140"/>
        <v>1.1666015719607578E-2</v>
      </c>
      <c r="FU58">
        <f t="shared" si="141"/>
        <v>13.827549825204114</v>
      </c>
      <c r="FV58">
        <f t="shared" si="255"/>
        <v>2.8431412103294083E-6</v>
      </c>
      <c r="FW58">
        <f t="shared" si="225"/>
        <v>2.0380428320352573E-2</v>
      </c>
      <c r="FX58">
        <f t="shared" si="142"/>
        <v>2392.22926184887</v>
      </c>
      <c r="FY58">
        <f t="shared" si="226"/>
        <v>1.9238555484106831E-6</v>
      </c>
      <c r="FZ58">
        <f t="shared" si="143"/>
        <v>9.903550745596582E-4</v>
      </c>
      <c r="GA58">
        <f t="shared" si="144"/>
        <v>0.23631284080673143</v>
      </c>
      <c r="GC58">
        <f t="shared" si="145"/>
        <v>25.125465074345112</v>
      </c>
      <c r="GD58">
        <f t="shared" si="146"/>
        <v>0.192</v>
      </c>
      <c r="GE58">
        <f t="shared" si="29"/>
        <v>117378.75300000001</v>
      </c>
      <c r="GF58">
        <f t="shared" si="30"/>
        <v>5.062075002619796E-3</v>
      </c>
      <c r="GG58">
        <f t="shared" si="147"/>
        <v>4.2053466986255866E-3</v>
      </c>
      <c r="GH58">
        <f t="shared" si="148"/>
        <v>1.1666015719607578E-2</v>
      </c>
      <c r="GI58">
        <f t="shared" si="149"/>
        <v>13.827549825204114</v>
      </c>
      <c r="GJ58">
        <f t="shared" si="256"/>
        <v>2.766093195072847E-6</v>
      </c>
      <c r="GK58">
        <f t="shared" si="227"/>
        <v>1.9633477364862307E-2</v>
      </c>
      <c r="GL58">
        <f t="shared" si="150"/>
        <v>2304.553090141264</v>
      </c>
      <c r="GM58">
        <f t="shared" si="228"/>
        <v>1.8882714191165665E-6</v>
      </c>
      <c r="GN58">
        <f t="shared" si="151"/>
        <v>9.4568564091684296E-4</v>
      </c>
      <c r="GO58">
        <f t="shared" si="152"/>
        <v>0.22990885520881285</v>
      </c>
      <c r="GQ58">
        <f t="shared" si="153"/>
        <v>27.023158811078126</v>
      </c>
      <c r="GR58">
        <f t="shared" si="154"/>
        <v>0.192</v>
      </c>
      <c r="GS58">
        <f t="shared" si="31"/>
        <v>117378.75300000001</v>
      </c>
      <c r="GT58">
        <f t="shared" si="32"/>
        <v>5.062075002619796E-3</v>
      </c>
      <c r="GU58">
        <f t="shared" si="155"/>
        <v>4.2053466986255866E-3</v>
      </c>
      <c r="GV58">
        <f t="shared" si="156"/>
        <v>1.1666015719607578E-2</v>
      </c>
      <c r="GW58">
        <f t="shared" si="157"/>
        <v>13.827549825204114</v>
      </c>
      <c r="GX58">
        <f t="shared" si="257"/>
        <v>2.6925772615671676E-6</v>
      </c>
      <c r="GY58">
        <f t="shared" si="229"/>
        <v>1.8924918681738376E-2</v>
      </c>
      <c r="GZ58">
        <f t="shared" si="158"/>
        <v>2221.3833554888547</v>
      </c>
      <c r="HA58">
        <f t="shared" si="230"/>
        <v>1.8538851159589383E-6</v>
      </c>
      <c r="HB58">
        <f t="shared" si="159"/>
        <v>9.0353092276323566E-4</v>
      </c>
      <c r="HC58">
        <f t="shared" si="160"/>
        <v>0.22379844499486745</v>
      </c>
      <c r="HE58">
        <f t="shared" si="161"/>
        <v>28.92085254781114</v>
      </c>
      <c r="HF58">
        <f t="shared" si="162"/>
        <v>0.192</v>
      </c>
      <c r="HG58">
        <f t="shared" si="33"/>
        <v>117378.75300000001</v>
      </c>
      <c r="HH58">
        <f t="shared" si="34"/>
        <v>5.062075002619796E-3</v>
      </c>
      <c r="HI58">
        <f t="shared" si="263"/>
        <v>4.2053466986255866E-3</v>
      </c>
      <c r="HJ58">
        <f t="shared" si="164"/>
        <v>1.1666015719607578E-2</v>
      </c>
      <c r="HK58">
        <f t="shared" si="165"/>
        <v>13.827549825204114</v>
      </c>
      <c r="HL58">
        <f t="shared" si="258"/>
        <v>2.6223826150233343E-6</v>
      </c>
      <c r="HM58">
        <f t="shared" si="231"/>
        <v>1.8252302987718426E-2</v>
      </c>
      <c r="HN58">
        <f t="shared" si="166"/>
        <v>2142.4325640765633</v>
      </c>
      <c r="HO58">
        <f t="shared" si="232"/>
        <v>1.8206423531062823E-6</v>
      </c>
      <c r="HP58">
        <f t="shared" si="167"/>
        <v>8.6372231152947196E-4</v>
      </c>
      <c r="HQ58">
        <f t="shared" si="168"/>
        <v>0.21796408957350033</v>
      </c>
      <c r="HS58">
        <f t="shared" si="169"/>
        <v>30.818546284544151</v>
      </c>
      <c r="HT58">
        <f t="shared" si="170"/>
        <v>0.192</v>
      </c>
      <c r="HU58">
        <f t="shared" si="35"/>
        <v>117378.75300000001</v>
      </c>
      <c r="HV58">
        <f t="shared" si="36"/>
        <v>5.062075002619796E-3</v>
      </c>
      <c r="HW58">
        <f t="shared" si="264"/>
        <v>4.2053466986255866E-3</v>
      </c>
      <c r="HX58">
        <f t="shared" si="172"/>
        <v>1.1666015719607578E-2</v>
      </c>
      <c r="HY58">
        <f t="shared" si="173"/>
        <v>13.827549825204114</v>
      </c>
      <c r="HZ58">
        <f t="shared" si="259"/>
        <v>2.5553133181096469E-6</v>
      </c>
      <c r="IA58">
        <f t="shared" si="233"/>
        <v>1.7613362123907555E-2</v>
      </c>
      <c r="IB58">
        <f t="shared" si="174"/>
        <v>2067.4344822417006</v>
      </c>
      <c r="IC58">
        <f t="shared" si="234"/>
        <v>1.7884917399562863E-6</v>
      </c>
      <c r="ID58">
        <f t="shared" si="175"/>
        <v>8.2610408566686393E-4</v>
      </c>
      <c r="IE58">
        <f t="shared" si="176"/>
        <v>0.21238950325784303</v>
      </c>
      <c r="IG58">
        <f t="shared" si="177"/>
        <v>32.716240021277166</v>
      </c>
      <c r="IH58">
        <f t="shared" si="178"/>
        <v>0.192</v>
      </c>
      <c r="II58">
        <f t="shared" si="37"/>
        <v>117378.75300000001</v>
      </c>
      <c r="IJ58">
        <f t="shared" si="38"/>
        <v>5.062075002619796E-3</v>
      </c>
      <c r="IK58">
        <f t="shared" si="265"/>
        <v>4.2053466986255866E-3</v>
      </c>
      <c r="IL58">
        <f t="shared" si="180"/>
        <v>1.1666015719607578E-2</v>
      </c>
      <c r="IM58">
        <f t="shared" si="181"/>
        <v>13.827549825204114</v>
      </c>
      <c r="IN58">
        <f t="shared" si="260"/>
        <v>2.4911871131627351E-6</v>
      </c>
      <c r="IO58">
        <f t="shared" si="235"/>
        <v>1.700599414850772E-2</v>
      </c>
      <c r="IP58">
        <f t="shared" si="182"/>
        <v>1996.1423866771331</v>
      </c>
      <c r="IQ58">
        <f t="shared" si="236"/>
        <v>1.75738461202602E-6</v>
      </c>
      <c r="IR58">
        <f t="shared" si="183"/>
        <v>7.9053232398784603E-4</v>
      </c>
      <c r="IS58">
        <f t="shared" si="184"/>
        <v>0.20705953737148325</v>
      </c>
      <c r="IU58">
        <f t="shared" si="185"/>
        <v>34.613933758010184</v>
      </c>
      <c r="IV58">
        <f t="shared" si="186"/>
        <v>0.192</v>
      </c>
      <c r="IW58">
        <f t="shared" si="39"/>
        <v>117378.75300000001</v>
      </c>
      <c r="IX58">
        <f t="shared" si="40"/>
        <v>5.062075002619796E-3</v>
      </c>
      <c r="IY58">
        <f t="shared" si="266"/>
        <v>4.2053466986255866E-3</v>
      </c>
      <c r="IZ58">
        <f t="shared" si="188"/>
        <v>1.1666015719607578E-2</v>
      </c>
      <c r="JA58">
        <f t="shared" si="189"/>
        <v>13.827549825204114</v>
      </c>
      <c r="JB58">
        <f t="shared" si="261"/>
        <v>2.4298343463583558E-6</v>
      </c>
      <c r="JC58">
        <f t="shared" si="237"/>
        <v>1.6428249759506918E-2</v>
      </c>
      <c r="JD58">
        <f t="shared" si="190"/>
        <v>1928.3274707434721</v>
      </c>
      <c r="JE58">
        <f t="shared" si="238"/>
        <v>1.7272748721345081E-6</v>
      </c>
      <c r="JF58">
        <f t="shared" si="191"/>
        <v>7.5687391776057948E-4</v>
      </c>
      <c r="JG58">
        <f t="shared" si="192"/>
        <v>0.2019600908289684</v>
      </c>
      <c r="JI58">
        <f t="shared" si="193"/>
        <v>36.511627494743195</v>
      </c>
      <c r="JJ58">
        <f t="shared" si="194"/>
        <v>0.192</v>
      </c>
      <c r="JK58">
        <f t="shared" si="41"/>
        <v>117378.75300000001</v>
      </c>
      <c r="JL58">
        <f t="shared" si="42"/>
        <v>5.062075002619796E-3</v>
      </c>
      <c r="JM58">
        <f t="shared" si="267"/>
        <v>4.2053466986255866E-3</v>
      </c>
      <c r="JN58">
        <f t="shared" si="196"/>
        <v>1.1666015719607578E-2</v>
      </c>
      <c r="JO58">
        <f t="shared" si="197"/>
        <v>13.827549825204114</v>
      </c>
      <c r="JP58">
        <f t="shared" si="262"/>
        <v>2.3710969843973839E-6</v>
      </c>
      <c r="JQ58">
        <f t="shared" si="239"/>
        <v>1.5878319921119953E-2</v>
      </c>
      <c r="JR58">
        <f t="shared" si="198"/>
        <v>1863.7773920761185</v>
      </c>
      <c r="JS58">
        <f t="shared" si="240"/>
        <v>1.6981188412560624E-6</v>
      </c>
      <c r="JT58">
        <f t="shared" si="199"/>
        <v>7.2500567205264273E-4</v>
      </c>
      <c r="JU58">
        <f t="shared" si="200"/>
        <v>0.19707802840587746</v>
      </c>
    </row>
    <row r="59" spans="2:281">
      <c r="B59">
        <v>0.25</v>
      </c>
      <c r="C59">
        <f t="shared" si="43"/>
        <v>0.47442343418325361</v>
      </c>
      <c r="D59">
        <f t="shared" si="44"/>
        <v>0.2</v>
      </c>
      <c r="E59">
        <f t="shared" si="3"/>
        <v>117194.32500000001</v>
      </c>
      <c r="F59">
        <f t="shared" si="4"/>
        <v>5.0647289965136556E-3</v>
      </c>
      <c r="G59">
        <f t="shared" si="45"/>
        <v>4.2042447218980294E-3</v>
      </c>
      <c r="H59">
        <f t="shared" si="46"/>
        <v>1.168437445794355E-2</v>
      </c>
      <c r="I59">
        <f t="shared" si="47"/>
        <v>13.84205291061367</v>
      </c>
      <c r="J59">
        <f t="shared" si="241"/>
        <v>4.1451744244462594E-6</v>
      </c>
      <c r="K59">
        <f t="shared" si="201"/>
        <v>3.4536488802923107E-2</v>
      </c>
      <c r="L59">
        <f t="shared" si="48"/>
        <v>4047.4804931286321</v>
      </c>
      <c r="M59">
        <f t="shared" si="202"/>
        <v>2.5024386734600816E-6</v>
      </c>
      <c r="N59">
        <f t="shared" si="203"/>
        <v>1.7711266107655796E-3</v>
      </c>
      <c r="O59">
        <f t="shared" si="49"/>
        <v>0.3445336940428686</v>
      </c>
      <c r="Q59">
        <f t="shared" si="50"/>
        <v>2.3721171709162681</v>
      </c>
      <c r="R59">
        <f t="shared" si="51"/>
        <v>0.2</v>
      </c>
      <c r="S59">
        <f t="shared" si="5"/>
        <v>117194.32500000001</v>
      </c>
      <c r="T59">
        <f t="shared" si="6"/>
        <v>5.0647289965136556E-3</v>
      </c>
      <c r="U59">
        <f t="shared" si="52"/>
        <v>4.2042447218980294E-3</v>
      </c>
      <c r="V59">
        <f t="shared" si="53"/>
        <v>1.168437445794355E-2</v>
      </c>
      <c r="W59">
        <f t="shared" si="54"/>
        <v>13.84205291061367</v>
      </c>
      <c r="X59">
        <f t="shared" si="242"/>
        <v>4.0017799485130538E-6</v>
      </c>
      <c r="Y59">
        <f t="shared" si="204"/>
        <v>3.2992638748415272E-2</v>
      </c>
      <c r="Z59">
        <f t="shared" si="55"/>
        <v>3866.550028089373</v>
      </c>
      <c r="AA59">
        <f t="shared" si="205"/>
        <v>2.4458672271809304E-6</v>
      </c>
      <c r="AB59">
        <f t="shared" si="56"/>
        <v>1.6775177767487453E-3</v>
      </c>
      <c r="AC59">
        <f t="shared" si="57"/>
        <v>0.33261520197477951</v>
      </c>
      <c r="AE59">
        <f t="shared" si="58"/>
        <v>4.2698109076492825</v>
      </c>
      <c r="AF59">
        <f t="shared" si="59"/>
        <v>0.2</v>
      </c>
      <c r="AG59">
        <f t="shared" si="7"/>
        <v>117194.32500000001</v>
      </c>
      <c r="AH59">
        <f t="shared" si="8"/>
        <v>5.0647289965136556E-3</v>
      </c>
      <c r="AI59">
        <f t="shared" si="60"/>
        <v>4.2042447218980294E-3</v>
      </c>
      <c r="AJ59">
        <f t="shared" si="61"/>
        <v>1.168437445794355E-2</v>
      </c>
      <c r="AK59">
        <f t="shared" si="62"/>
        <v>13.84205291061367</v>
      </c>
      <c r="AL59">
        <f t="shared" si="243"/>
        <v>3.8662241839515074E-6</v>
      </c>
      <c r="AM59">
        <f t="shared" si="206"/>
        <v>3.1542000816253593E-2</v>
      </c>
      <c r="AN59">
        <f t="shared" si="63"/>
        <v>3696.5434948102893</v>
      </c>
      <c r="AO59">
        <f t="shared" si="207"/>
        <v>2.3914922140976691E-6</v>
      </c>
      <c r="AP59">
        <f t="shared" si="64"/>
        <v>1.5899922029376061E-3</v>
      </c>
      <c r="AQ59">
        <f t="shared" si="65"/>
        <v>0.32134823862632311</v>
      </c>
      <c r="AS59">
        <f t="shared" si="66"/>
        <v>6.167504644382297</v>
      </c>
      <c r="AT59">
        <f t="shared" si="67"/>
        <v>0.2</v>
      </c>
      <c r="AU59">
        <f t="shared" si="9"/>
        <v>117194.32500000001</v>
      </c>
      <c r="AV59">
        <f t="shared" si="10"/>
        <v>5.0647289965136556E-3</v>
      </c>
      <c r="AW59">
        <f t="shared" si="68"/>
        <v>4.2042447218980294E-3</v>
      </c>
      <c r="AX59">
        <f t="shared" si="69"/>
        <v>1.168437445794355E-2</v>
      </c>
      <c r="AY59">
        <f t="shared" si="70"/>
        <v>13.84205291061367</v>
      </c>
      <c r="AZ59">
        <f t="shared" si="244"/>
        <v>3.7379710507238793E-6</v>
      </c>
      <c r="BA59">
        <f t="shared" si="208"/>
        <v>3.0177807568359877E-2</v>
      </c>
      <c r="BB59">
        <f t="shared" si="71"/>
        <v>3536.6677879538274</v>
      </c>
      <c r="BC59">
        <f t="shared" si="209"/>
        <v>2.3392045197832306E-6</v>
      </c>
      <c r="BD59">
        <f t="shared" si="72"/>
        <v>1.5080895534841767E-3</v>
      </c>
      <c r="BE59">
        <f t="shared" si="73"/>
        <v>0.31068824673240181</v>
      </c>
      <c r="BG59">
        <f t="shared" si="74"/>
        <v>8.0651983811153123</v>
      </c>
      <c r="BH59">
        <f t="shared" si="75"/>
        <v>0.2</v>
      </c>
      <c r="BI59">
        <f t="shared" si="11"/>
        <v>117194.32500000001</v>
      </c>
      <c r="BJ59">
        <f t="shared" si="12"/>
        <v>5.0647289965136556E-3</v>
      </c>
      <c r="BK59">
        <f t="shared" si="76"/>
        <v>4.2042447218980294E-3</v>
      </c>
      <c r="BL59">
        <f t="shared" si="77"/>
        <v>1.168437445794355E-2</v>
      </c>
      <c r="BM59">
        <f t="shared" si="78"/>
        <v>13.84205291061367</v>
      </c>
      <c r="BN59">
        <f t="shared" si="245"/>
        <v>3.6165266420813904E-6</v>
      </c>
      <c r="BO59">
        <f t="shared" si="210"/>
        <v>2.8893847313879936E-2</v>
      </c>
      <c r="BP59">
        <f t="shared" si="79"/>
        <v>3386.1949326032227</v>
      </c>
      <c r="BQ59">
        <f t="shared" si="211"/>
        <v>2.2889011571717271E-6</v>
      </c>
      <c r="BR59">
        <f t="shared" si="80"/>
        <v>1.4313883557002139E-3</v>
      </c>
      <c r="BS59">
        <f t="shared" si="81"/>
        <v>0.30059417433735708</v>
      </c>
      <c r="BU59">
        <f t="shared" si="82"/>
        <v>9.9628921178483267</v>
      </c>
      <c r="BV59">
        <f t="shared" si="83"/>
        <v>0.2</v>
      </c>
      <c r="BW59">
        <f t="shared" si="13"/>
        <v>117194.32500000001</v>
      </c>
      <c r="BX59">
        <f t="shared" si="14"/>
        <v>5.0647289965136556E-3</v>
      </c>
      <c r="BY59">
        <f t="shared" si="84"/>
        <v>4.2042447218980294E-3</v>
      </c>
      <c r="BZ59">
        <f t="shared" si="85"/>
        <v>1.168437445794355E-2</v>
      </c>
      <c r="CA59">
        <f t="shared" si="86"/>
        <v>13.84205291061367</v>
      </c>
      <c r="CB59">
        <f t="shared" si="246"/>
        <v>3.501435566813981E-6</v>
      </c>
      <c r="CC59">
        <f t="shared" si="247"/>
        <v>2.7684414309502497E-2</v>
      </c>
      <c r="CD59">
        <f t="shared" si="87"/>
        <v>3244.4562480224868</v>
      </c>
      <c r="CE59">
        <f t="shared" si="248"/>
        <v>2.2404849036234776E-6</v>
      </c>
      <c r="CF59">
        <f t="shared" si="212"/>
        <v>1.35950244772995E-3</v>
      </c>
      <c r="CG59">
        <f t="shared" si="88"/>
        <v>0.29102817077442056</v>
      </c>
      <c r="CI59">
        <f t="shared" si="89"/>
        <v>11.860585854581341</v>
      </c>
      <c r="CJ59">
        <f t="shared" si="90"/>
        <v>0.2</v>
      </c>
      <c r="CK59">
        <f t="shared" si="15"/>
        <v>117194.32500000001</v>
      </c>
      <c r="CL59">
        <f t="shared" si="16"/>
        <v>5.0647289965136556E-3</v>
      </c>
      <c r="CM59">
        <f t="shared" si="91"/>
        <v>4.2042447218980294E-3</v>
      </c>
      <c r="CN59">
        <f t="shared" si="92"/>
        <v>1.168437445794355E-2</v>
      </c>
      <c r="CO59">
        <f t="shared" si="93"/>
        <v>13.84205291061367</v>
      </c>
      <c r="CP59">
        <f t="shared" si="249"/>
        <v>3.3922776321320752E-6</v>
      </c>
      <c r="CQ59">
        <f t="shared" si="213"/>
        <v>2.6544263714656107E-2</v>
      </c>
      <c r="CR59">
        <f t="shared" si="94"/>
        <v>3110.8370686611156</v>
      </c>
      <c r="CS59">
        <f t="shared" si="214"/>
        <v>2.1938639594365524E-6</v>
      </c>
      <c r="CT59">
        <f t="shared" si="95"/>
        <v>1.2920777703548081E-3</v>
      </c>
      <c r="CU59">
        <f t="shared" si="96"/>
        <v>0.28195531095741266</v>
      </c>
      <c r="CW59">
        <f t="shared" si="97"/>
        <v>13.758279591314356</v>
      </c>
      <c r="CX59">
        <f t="shared" si="98"/>
        <v>0.2</v>
      </c>
      <c r="CY59">
        <f t="shared" si="17"/>
        <v>117194.32500000001</v>
      </c>
      <c r="CZ59">
        <f t="shared" si="18"/>
        <v>5.0647289965136556E-3</v>
      </c>
      <c r="DA59">
        <f t="shared" si="99"/>
        <v>4.2042447218980294E-3</v>
      </c>
      <c r="DB59">
        <f t="shared" si="100"/>
        <v>1.168437445794355E-2</v>
      </c>
      <c r="DC59">
        <f t="shared" si="101"/>
        <v>13.84205291061367</v>
      </c>
      <c r="DD59">
        <f t="shared" si="250"/>
        <v>3.2886648337555951E-6</v>
      </c>
      <c r="DE59">
        <f t="shared" si="215"/>
        <v>2.5468570826251972E-2</v>
      </c>
      <c r="DF59">
        <f t="shared" si="102"/>
        <v>2984.7719666972926</v>
      </c>
      <c r="DG59">
        <f t="shared" si="216"/>
        <v>2.1489516266211591E-6</v>
      </c>
      <c r="DH59">
        <f t="shared" si="103"/>
        <v>1.2287894681691672E-3</v>
      </c>
      <c r="DI59">
        <f t="shared" si="104"/>
        <v>0.27334334520652959</v>
      </c>
      <c r="DK59">
        <f t="shared" si="105"/>
        <v>15.65597332804737</v>
      </c>
      <c r="DL59">
        <f t="shared" si="106"/>
        <v>0.2</v>
      </c>
      <c r="DM59">
        <f t="shared" si="19"/>
        <v>117194.32500000001</v>
      </c>
      <c r="DN59">
        <f t="shared" si="20"/>
        <v>5.0647289965136556E-3</v>
      </c>
      <c r="DO59">
        <f t="shared" si="107"/>
        <v>4.2042447218980294E-3</v>
      </c>
      <c r="DP59">
        <f t="shared" si="108"/>
        <v>1.168437445794355E-2</v>
      </c>
      <c r="DQ59">
        <f t="shared" si="109"/>
        <v>13.84205291061367</v>
      </c>
      <c r="DR59">
        <f t="shared" si="251"/>
        <v>3.1902386231907637E-6</v>
      </c>
      <c r="DS59">
        <f t="shared" si="217"/>
        <v>2.4452894166698269E-2</v>
      </c>
      <c r="DT59">
        <f t="shared" si="110"/>
        <v>2865.7404261626416</v>
      </c>
      <c r="DU59">
        <f t="shared" si="218"/>
        <v>2.1056660068078155E-6</v>
      </c>
      <c r="DV59">
        <f t="shared" si="111"/>
        <v>1.1693392689787823E-3</v>
      </c>
      <c r="DW59">
        <f t="shared" si="112"/>
        <v>0.26516247211309574</v>
      </c>
      <c r="DY59">
        <f t="shared" si="113"/>
        <v>17.553667064780385</v>
      </c>
      <c r="DZ59">
        <f t="shared" si="114"/>
        <v>0.2</v>
      </c>
      <c r="EA59">
        <f t="shared" si="21"/>
        <v>117194.32500000001</v>
      </c>
      <c r="EB59">
        <f t="shared" si="22"/>
        <v>5.0647289965136556E-3</v>
      </c>
      <c r="EC59">
        <f t="shared" si="115"/>
        <v>4.2042447218980294E-3</v>
      </c>
      <c r="ED59">
        <f t="shared" si="116"/>
        <v>1.168437445794355E-2</v>
      </c>
      <c r="EE59">
        <f t="shared" si="117"/>
        <v>13.84205291061367</v>
      </c>
      <c r="EF59">
        <f t="shared" si="252"/>
        <v>3.0966674252247494E-6</v>
      </c>
      <c r="EG59">
        <f t="shared" si="219"/>
        <v>2.3493142042802558E-2</v>
      </c>
      <c r="EH59">
        <f t="shared" si="118"/>
        <v>2753.262923835367</v>
      </c>
      <c r="EI59">
        <f t="shared" si="220"/>
        <v>2.0639297172132079E-6</v>
      </c>
      <c r="EJ59">
        <f t="shared" si="119"/>
        <v>1.1134531135042454E-3</v>
      </c>
      <c r="EK59">
        <f t="shared" si="120"/>
        <v>0.25738513220162651</v>
      </c>
      <c r="EM59">
        <f t="shared" si="121"/>
        <v>19.451360801513399</v>
      </c>
      <c r="EN59">
        <f t="shared" si="122"/>
        <v>0.2</v>
      </c>
      <c r="EO59">
        <f t="shared" si="23"/>
        <v>117194.32500000001</v>
      </c>
      <c r="EP59">
        <f t="shared" si="24"/>
        <v>5.0647289965136556E-3</v>
      </c>
      <c r="EQ59">
        <f t="shared" si="123"/>
        <v>4.2042447218980294E-3</v>
      </c>
      <c r="ER59">
        <f t="shared" si="124"/>
        <v>1.168437445794355E-2</v>
      </c>
      <c r="ES59">
        <f t="shared" si="125"/>
        <v>13.84205291061367</v>
      </c>
      <c r="ET59">
        <f t="shared" si="253"/>
        <v>3.0076443813996523E-6</v>
      </c>
      <c r="EU59">
        <f t="shared" si="221"/>
        <v>2.2585542232454806E-2</v>
      </c>
      <c r="EV59">
        <f t="shared" si="126"/>
        <v>2646.8973766915342</v>
      </c>
      <c r="EW59">
        <f t="shared" si="222"/>
        <v>2.0236696236390879E-6</v>
      </c>
      <c r="EX59">
        <f t="shared" si="127"/>
        <v>1.0608790103613045E-3</v>
      </c>
      <c r="EY59">
        <f t="shared" si="128"/>
        <v>0.24998582037457398</v>
      </c>
      <c r="FA59">
        <f t="shared" si="129"/>
        <v>21.349054538246413</v>
      </c>
      <c r="FB59">
        <f t="shared" si="130"/>
        <v>0.2</v>
      </c>
      <c r="FC59">
        <f t="shared" si="25"/>
        <v>117194.32500000001</v>
      </c>
      <c r="FD59">
        <f t="shared" si="26"/>
        <v>5.0647289965136556E-3</v>
      </c>
      <c r="FE59">
        <f t="shared" si="131"/>
        <v>4.2042447218980294E-3</v>
      </c>
      <c r="FF59">
        <f t="shared" si="132"/>
        <v>1.168437445794355E-2</v>
      </c>
      <c r="FG59">
        <f t="shared" si="133"/>
        <v>13.84205291061367</v>
      </c>
      <c r="FH59">
        <f t="shared" si="254"/>
        <v>2.9228852976743029E-6</v>
      </c>
      <c r="FI59">
        <f t="shared" si="223"/>
        <v>2.1726614491133157E-2</v>
      </c>
      <c r="FJ59">
        <f t="shared" si="134"/>
        <v>2546.235919823569</v>
      </c>
      <c r="FK59">
        <f t="shared" si="224"/>
        <v>1.9848165895293422E-6</v>
      </c>
      <c r="FL59">
        <f t="shared" si="135"/>
        <v>1.0113850938744252E-3</v>
      </c>
      <c r="FM59">
        <f t="shared" si="136"/>
        <v>0.24294091532851322</v>
      </c>
      <c r="FO59">
        <f t="shared" si="137"/>
        <v>23.246748274979428</v>
      </c>
      <c r="FP59">
        <f t="shared" si="138"/>
        <v>0.2</v>
      </c>
      <c r="FQ59">
        <f t="shared" si="27"/>
        <v>117194.32500000001</v>
      </c>
      <c r="FR59">
        <f t="shared" si="28"/>
        <v>5.0647289965136556E-3</v>
      </c>
      <c r="FS59">
        <f t="shared" si="139"/>
        <v>4.2042447218980294E-3</v>
      </c>
      <c r="FT59">
        <f t="shared" si="140"/>
        <v>1.168437445794355E-2</v>
      </c>
      <c r="FU59">
        <f t="shared" si="141"/>
        <v>13.84205291061367</v>
      </c>
      <c r="FV59">
        <f t="shared" si="255"/>
        <v>2.842126776675272E-6</v>
      </c>
      <c r="FW59">
        <f t="shared" si="225"/>
        <v>2.0913145601738983E-2</v>
      </c>
      <c r="FX59">
        <f t="shared" si="142"/>
        <v>2450.9019824225193</v>
      </c>
      <c r="FY59">
        <f t="shared" si="226"/>
        <v>1.9473052401586822E-6</v>
      </c>
      <c r="FZ59">
        <f t="shared" si="143"/>
        <v>9.6475786459219223E-4</v>
      </c>
      <c r="GA59">
        <f t="shared" si="144"/>
        <v>0.23622852431279581</v>
      </c>
      <c r="GC59">
        <f t="shared" si="145"/>
        <v>25.144442011712442</v>
      </c>
      <c r="GD59">
        <f t="shared" si="146"/>
        <v>0.2</v>
      </c>
      <c r="GE59">
        <f t="shared" si="29"/>
        <v>117194.32500000001</v>
      </c>
      <c r="GF59">
        <f t="shared" si="30"/>
        <v>5.0647289965136556E-3</v>
      </c>
      <c r="GG59">
        <f t="shared" si="147"/>
        <v>4.2042447218980294E-3</v>
      </c>
      <c r="GH59">
        <f t="shared" si="148"/>
        <v>1.168437445794355E-2</v>
      </c>
      <c r="GI59">
        <f t="shared" si="149"/>
        <v>13.84205291061367</v>
      </c>
      <c r="GJ59">
        <f t="shared" si="256"/>
        <v>2.7651245169037511E-6</v>
      </c>
      <c r="GK59">
        <f t="shared" si="227"/>
        <v>2.0142166719434841E-2</v>
      </c>
      <c r="GL59">
        <f t="shared" si="150"/>
        <v>2360.5476327216306</v>
      </c>
      <c r="GM59">
        <f t="shared" si="228"/>
        <v>1.9110737410730169E-6</v>
      </c>
      <c r="GN59">
        <f t="shared" si="151"/>
        <v>9.208005944417591E-4</v>
      </c>
      <c r="GO59">
        <f t="shared" si="152"/>
        <v>0.22982834176504338</v>
      </c>
      <c r="GQ59">
        <f t="shared" si="153"/>
        <v>27.042135748445457</v>
      </c>
      <c r="GR59">
        <f t="shared" si="154"/>
        <v>0.2</v>
      </c>
      <c r="GS59">
        <f t="shared" si="31"/>
        <v>117194.32500000001</v>
      </c>
      <c r="GT59">
        <f t="shared" si="32"/>
        <v>5.0647289965136556E-3</v>
      </c>
      <c r="GU59">
        <f t="shared" si="155"/>
        <v>4.2042447218980294E-3</v>
      </c>
      <c r="GV59">
        <f t="shared" si="156"/>
        <v>1.168437445794355E-2</v>
      </c>
      <c r="GW59">
        <f t="shared" si="157"/>
        <v>13.84205291061367</v>
      </c>
      <c r="GX59">
        <f t="shared" si="257"/>
        <v>2.6916517630271504E-6</v>
      </c>
      <c r="GY59">
        <f t="shared" si="229"/>
        <v>1.9410932788382903E-2</v>
      </c>
      <c r="GZ59">
        <f t="shared" si="158"/>
        <v>2274.8511657549025</v>
      </c>
      <c r="HA59">
        <f t="shared" si="230"/>
        <v>1.8760635899466695E-6</v>
      </c>
      <c r="HB59">
        <f t="shared" si="159"/>
        <v>8.7933188031084453E-4</v>
      </c>
      <c r="HC59">
        <f t="shared" si="160"/>
        <v>0.22372152050432179</v>
      </c>
      <c r="HE59">
        <f t="shared" si="161"/>
        <v>28.939829485178471</v>
      </c>
      <c r="HF59">
        <f t="shared" si="162"/>
        <v>0.2</v>
      </c>
      <c r="HG59">
        <f t="shared" si="33"/>
        <v>117194.32500000001</v>
      </c>
      <c r="HH59">
        <f t="shared" si="34"/>
        <v>5.0647289965136556E-3</v>
      </c>
      <c r="HI59">
        <f t="shared" si="263"/>
        <v>4.2042447218980294E-3</v>
      </c>
      <c r="HJ59">
        <f t="shared" si="164"/>
        <v>1.168437445794355E-2</v>
      </c>
      <c r="HK59">
        <f t="shared" si="165"/>
        <v>13.84205291061367</v>
      </c>
      <c r="HL59">
        <f t="shared" si="258"/>
        <v>2.6214978929643968E-6</v>
      </c>
      <c r="HM59">
        <f t="shared" si="231"/>
        <v>1.8716903829871276E-2</v>
      </c>
      <c r="HN59">
        <f t="shared" si="166"/>
        <v>2193.5149104316793</v>
      </c>
      <c r="HO59">
        <f t="shared" si="232"/>
        <v>1.8422194210650347E-6</v>
      </c>
      <c r="HP59">
        <f t="shared" si="167"/>
        <v>8.4018433150257182E-4</v>
      </c>
      <c r="HQ59">
        <f t="shared" si="168"/>
        <v>0.21789055429417184</v>
      </c>
      <c r="HS59">
        <f t="shared" si="169"/>
        <v>30.837523221911486</v>
      </c>
      <c r="HT59">
        <f t="shared" si="170"/>
        <v>0.2</v>
      </c>
      <c r="HU59">
        <f t="shared" si="35"/>
        <v>117194.32500000001</v>
      </c>
      <c r="HV59">
        <f t="shared" si="36"/>
        <v>5.0647289965136556E-3</v>
      </c>
      <c r="HW59">
        <f t="shared" si="264"/>
        <v>4.2042447218980294E-3</v>
      </c>
      <c r="HX59">
        <f t="shared" si="172"/>
        <v>1.168437445794355E-2</v>
      </c>
      <c r="HY59">
        <f t="shared" si="173"/>
        <v>13.84205291061367</v>
      </c>
      <c r="HZ59">
        <f t="shared" si="259"/>
        <v>2.5544671288914086E-6</v>
      </c>
      <c r="IA59">
        <f t="shared" si="233"/>
        <v>1.8057727921552823E-2</v>
      </c>
      <c r="IB59">
        <f t="shared" si="174"/>
        <v>2116.2632348000361</v>
      </c>
      <c r="IC59">
        <f t="shared" si="234"/>
        <v>1.809488821683117E-6</v>
      </c>
      <c r="ID59">
        <f t="shared" si="175"/>
        <v>8.0320337799162091E-4</v>
      </c>
      <c r="IE59">
        <f t="shared" si="176"/>
        <v>0.21231917070549025</v>
      </c>
      <c r="IG59">
        <f t="shared" si="177"/>
        <v>32.7352169586445</v>
      </c>
      <c r="IH59">
        <f t="shared" si="178"/>
        <v>0.2</v>
      </c>
      <c r="II59">
        <f t="shared" si="37"/>
        <v>117194.32500000001</v>
      </c>
      <c r="IJ59">
        <f t="shared" si="38"/>
        <v>5.0647289965136556E-3</v>
      </c>
      <c r="IK59">
        <f t="shared" si="265"/>
        <v>4.2042447218980294E-3</v>
      </c>
      <c r="IL59">
        <f t="shared" si="180"/>
        <v>1.168437445794355E-2</v>
      </c>
      <c r="IM59">
        <f t="shared" si="181"/>
        <v>13.84205291061367</v>
      </c>
      <c r="IN59">
        <f t="shared" si="260"/>
        <v>2.4903773605651704E-6</v>
      </c>
      <c r="IO59">
        <f t="shared" si="235"/>
        <v>1.7431225705654245E-2</v>
      </c>
      <c r="IP59">
        <f t="shared" si="182"/>
        <v>2042.8407304967982</v>
      </c>
      <c r="IQ59">
        <f t="shared" si="236"/>
        <v>1.7778221595506112E-6</v>
      </c>
      <c r="IR59">
        <f t="shared" si="183"/>
        <v>7.6824618773815281E-4</v>
      </c>
      <c r="IS59">
        <f t="shared" si="184"/>
        <v>0.20699223331497493</v>
      </c>
      <c r="IU59">
        <f t="shared" si="185"/>
        <v>34.632910695377511</v>
      </c>
      <c r="IV59">
        <f t="shared" si="186"/>
        <v>0.2</v>
      </c>
      <c r="IW59">
        <f t="shared" si="39"/>
        <v>117194.32500000001</v>
      </c>
      <c r="IX59">
        <f t="shared" si="40"/>
        <v>5.0647289965136556E-3</v>
      </c>
      <c r="IY59">
        <f t="shared" si="266"/>
        <v>4.2042447218980294E-3</v>
      </c>
      <c r="IZ59">
        <f t="shared" si="188"/>
        <v>1.168437445794355E-2</v>
      </c>
      <c r="JA59">
        <f t="shared" si="189"/>
        <v>13.84205291061367</v>
      </c>
      <c r="JB59">
        <f t="shared" si="261"/>
        <v>2.4290590705064543E-6</v>
      </c>
      <c r="JC59">
        <f t="shared" si="237"/>
        <v>1.6835376280266049E-2</v>
      </c>
      <c r="JD59">
        <f t="shared" si="190"/>
        <v>1973.0105592867906</v>
      </c>
      <c r="JE59">
        <f t="shared" si="238"/>
        <v>1.7471724209328368E-6</v>
      </c>
      <c r="JF59">
        <f t="shared" si="191"/>
        <v>7.3518068250514343E-4</v>
      </c>
      <c r="JG59">
        <f t="shared" si="192"/>
        <v>0.20189565236973672</v>
      </c>
      <c r="JI59">
        <f t="shared" si="193"/>
        <v>36.530604432110529</v>
      </c>
      <c r="JJ59">
        <f t="shared" si="194"/>
        <v>0.2</v>
      </c>
      <c r="JK59">
        <f t="shared" si="41"/>
        <v>117194.32500000001</v>
      </c>
      <c r="JL59">
        <f t="shared" si="42"/>
        <v>5.0647289965136556E-3</v>
      </c>
      <c r="JM59">
        <f t="shared" si="267"/>
        <v>4.2042447218980294E-3</v>
      </c>
      <c r="JN59">
        <f t="shared" si="196"/>
        <v>1.168437445794355E-2</v>
      </c>
      <c r="JO59">
        <f t="shared" si="197"/>
        <v>13.84205291061367</v>
      </c>
      <c r="JP59">
        <f t="shared" si="262"/>
        <v>2.3703543516063145E-6</v>
      </c>
      <c r="JQ59">
        <f t="shared" si="239"/>
        <v>1.6268304342391696E-2</v>
      </c>
      <c r="JR59">
        <f t="shared" si="198"/>
        <v>1906.552946301164</v>
      </c>
      <c r="JS59">
        <f t="shared" si="240"/>
        <v>1.717495058493721E-6</v>
      </c>
      <c r="JT59">
        <f t="shared" si="199"/>
        <v>7.0388464269019804E-4</v>
      </c>
      <c r="JU59">
        <f t="shared" si="200"/>
        <v>0.19701630313388033</v>
      </c>
    </row>
    <row r="60" spans="2:281">
      <c r="B60">
        <v>0.26</v>
      </c>
      <c r="C60">
        <f t="shared" si="43"/>
        <v>0.49340037155058375</v>
      </c>
      <c r="D60">
        <f t="shared" si="44"/>
        <v>0.20800000000000002</v>
      </c>
      <c r="E60">
        <f t="shared" si="3"/>
        <v>117009.89700000001</v>
      </c>
      <c r="F60">
        <f t="shared" si="4"/>
        <v>5.0673885650233041E-3</v>
      </c>
      <c r="G60">
        <f t="shared" si="45"/>
        <v>4.2031412990765314E-3</v>
      </c>
      <c r="H60">
        <f t="shared" si="46"/>
        <v>1.1702791069424968E-2</v>
      </c>
      <c r="I60">
        <f t="shared" si="47"/>
        <v>13.856594085010114</v>
      </c>
      <c r="J60">
        <f t="shared" si="241"/>
        <v>4.14336023629713E-6</v>
      </c>
      <c r="K60">
        <f t="shared" si="201"/>
        <v>3.5489187261602335E-2</v>
      </c>
      <c r="L60">
        <f t="shared" si="48"/>
        <v>4152.5861460938013</v>
      </c>
      <c r="M60">
        <f t="shared" si="202"/>
        <v>2.5347223038368471E-6</v>
      </c>
      <c r="N60">
        <f t="shared" si="203"/>
        <v>1.7357301098626283E-3</v>
      </c>
      <c r="O60">
        <f t="shared" si="49"/>
        <v>0.34438290450286224</v>
      </c>
      <c r="Q60">
        <f t="shared" si="50"/>
        <v>2.3910941082835984</v>
      </c>
      <c r="R60">
        <f t="shared" si="51"/>
        <v>0.20800000000000002</v>
      </c>
      <c r="S60">
        <f t="shared" si="5"/>
        <v>117009.89700000001</v>
      </c>
      <c r="T60">
        <f t="shared" si="6"/>
        <v>5.0673885650233041E-3</v>
      </c>
      <c r="U60">
        <f t="shared" si="52"/>
        <v>4.2031412990765314E-3</v>
      </c>
      <c r="V60">
        <f t="shared" si="53"/>
        <v>1.1702791069424968E-2</v>
      </c>
      <c r="W60">
        <f t="shared" si="54"/>
        <v>13.856594085010114</v>
      </c>
      <c r="X60">
        <f t="shared" si="242"/>
        <v>4.0000616451167674E-6</v>
      </c>
      <c r="Y60">
        <f t="shared" si="204"/>
        <v>3.3894984515567814E-2</v>
      </c>
      <c r="Z60">
        <f t="shared" si="55"/>
        <v>3966.0486469831853</v>
      </c>
      <c r="AA60">
        <f t="shared" si="205"/>
        <v>2.4771373033423697E-6</v>
      </c>
      <c r="AB60">
        <f t="shared" si="56"/>
        <v>1.6432446243622391E-3</v>
      </c>
      <c r="AC60">
        <f t="shared" si="57"/>
        <v>0.33247238206999635</v>
      </c>
      <c r="AE60">
        <f t="shared" si="58"/>
        <v>4.2887878450166124</v>
      </c>
      <c r="AF60">
        <f t="shared" si="59"/>
        <v>0.20800000000000002</v>
      </c>
      <c r="AG60">
        <f t="shared" si="7"/>
        <v>117009.89700000001</v>
      </c>
      <c r="AH60">
        <f t="shared" si="8"/>
        <v>5.0673885650233041E-3</v>
      </c>
      <c r="AI60">
        <f t="shared" si="60"/>
        <v>4.2031412990765314E-3</v>
      </c>
      <c r="AJ60">
        <f t="shared" si="61"/>
        <v>1.1702791069424968E-2</v>
      </c>
      <c r="AK60">
        <f t="shared" si="62"/>
        <v>13.856594085010114</v>
      </c>
      <c r="AL60">
        <f t="shared" si="243"/>
        <v>3.8645955341450818E-6</v>
      </c>
      <c r="AM60">
        <f t="shared" si="206"/>
        <v>3.2397266110018134E-2</v>
      </c>
      <c r="AN60">
        <f t="shared" si="63"/>
        <v>3790.8007706148128</v>
      </c>
      <c r="AO60">
        <f t="shared" si="207"/>
        <v>2.4217903318858453E-6</v>
      </c>
      <c r="AP60">
        <f t="shared" si="64"/>
        <v>1.5567955856900868E-3</v>
      </c>
      <c r="AQ60">
        <f t="shared" si="65"/>
        <v>0.32121287044234492</v>
      </c>
      <c r="AS60">
        <f t="shared" si="66"/>
        <v>6.1864815817496268</v>
      </c>
      <c r="AT60">
        <f t="shared" si="67"/>
        <v>0.20800000000000002</v>
      </c>
      <c r="AU60">
        <f t="shared" si="9"/>
        <v>117009.89700000001</v>
      </c>
      <c r="AV60">
        <f t="shared" si="10"/>
        <v>5.0673885650233041E-3</v>
      </c>
      <c r="AW60">
        <f t="shared" si="68"/>
        <v>4.2031412990765314E-3</v>
      </c>
      <c r="AX60">
        <f t="shared" si="69"/>
        <v>1.1702791069424968E-2</v>
      </c>
      <c r="AY60">
        <f t="shared" si="70"/>
        <v>13.856594085010114</v>
      </c>
      <c r="AZ60">
        <f t="shared" si="244"/>
        <v>3.7364262948723624E-6</v>
      </c>
      <c r="BA60">
        <f t="shared" si="208"/>
        <v>3.0989016989765132E-2</v>
      </c>
      <c r="BB60">
        <f t="shared" si="71"/>
        <v>3626.0216861036683</v>
      </c>
      <c r="BC60">
        <f t="shared" si="209"/>
        <v>2.3685701924821569E-6</v>
      </c>
      <c r="BD60">
        <f t="shared" si="72"/>
        <v>1.475925051230655E-3</v>
      </c>
      <c r="BE60">
        <f t="shared" si="73"/>
        <v>0.31055985154671828</v>
      </c>
      <c r="BG60">
        <f t="shared" si="74"/>
        <v>8.0841753184826413</v>
      </c>
      <c r="BH60">
        <f t="shared" si="75"/>
        <v>0.20800000000000002</v>
      </c>
      <c r="BI60">
        <f t="shared" si="11"/>
        <v>117009.89700000001</v>
      </c>
      <c r="BJ60">
        <f t="shared" si="12"/>
        <v>5.0673885650233041E-3</v>
      </c>
      <c r="BK60">
        <f t="shared" si="76"/>
        <v>4.2031412990765314E-3</v>
      </c>
      <c r="BL60">
        <f t="shared" si="77"/>
        <v>1.1702791069424968E-2</v>
      </c>
      <c r="BM60">
        <f t="shared" si="78"/>
        <v>13.856594085010114</v>
      </c>
      <c r="BN60">
        <f t="shared" si="245"/>
        <v>3.6150604522698156E-6</v>
      </c>
      <c r="BO60">
        <f t="shared" si="210"/>
        <v>2.9663798751545616E-2</v>
      </c>
      <c r="BP60">
        <f t="shared" si="79"/>
        <v>3470.9580365470815</v>
      </c>
      <c r="BQ60">
        <f t="shared" si="211"/>
        <v>2.3173719323281023E-6</v>
      </c>
      <c r="BR60">
        <f t="shared" si="80"/>
        <v>1.4002138031402626E-3</v>
      </c>
      <c r="BS60">
        <f t="shared" si="81"/>
        <v>0.30047230931064778</v>
      </c>
      <c r="BU60">
        <f t="shared" si="82"/>
        <v>9.9818690552156557</v>
      </c>
      <c r="BV60">
        <f t="shared" si="83"/>
        <v>0.20800000000000002</v>
      </c>
      <c r="BW60">
        <f t="shared" si="13"/>
        <v>117009.89700000001</v>
      </c>
      <c r="BX60">
        <f t="shared" si="14"/>
        <v>5.0673885650233041E-3</v>
      </c>
      <c r="BY60">
        <f t="shared" si="84"/>
        <v>4.2031412990765314E-3</v>
      </c>
      <c r="BZ60">
        <f t="shared" si="85"/>
        <v>1.1702791069424968E-2</v>
      </c>
      <c r="CA60">
        <f t="shared" si="86"/>
        <v>13.856594085010114</v>
      </c>
      <c r="CB60">
        <f t="shared" si="246"/>
        <v>3.5000430106780206E-6</v>
      </c>
      <c r="CC60">
        <f t="shared" si="247"/>
        <v>2.8415697933524737E-2</v>
      </c>
      <c r="CD60">
        <f t="shared" si="87"/>
        <v>3324.9178883848426</v>
      </c>
      <c r="CE60">
        <f t="shared" si="248"/>
        <v>2.2680964729874632E-6</v>
      </c>
      <c r="CF60">
        <f t="shared" si="212"/>
        <v>1.3292778045710487E-3</v>
      </c>
      <c r="CG60">
        <f t="shared" si="88"/>
        <v>0.29091242594427419</v>
      </c>
      <c r="CI60">
        <f t="shared" si="89"/>
        <v>11.87956279194867</v>
      </c>
      <c r="CJ60">
        <f t="shared" si="90"/>
        <v>0.20800000000000002</v>
      </c>
      <c r="CK60">
        <f t="shared" si="15"/>
        <v>117009.89700000001</v>
      </c>
      <c r="CL60">
        <f t="shared" si="16"/>
        <v>5.0673885650233041E-3</v>
      </c>
      <c r="CM60">
        <f t="shared" si="91"/>
        <v>4.2031412990765314E-3</v>
      </c>
      <c r="CN60">
        <f t="shared" si="92"/>
        <v>1.1702791069424968E-2</v>
      </c>
      <c r="CO60">
        <f t="shared" si="93"/>
        <v>13.856594085010114</v>
      </c>
      <c r="CP60">
        <f t="shared" si="249"/>
        <v>3.3909541399748892E-6</v>
      </c>
      <c r="CQ60">
        <f t="shared" si="213"/>
        <v>2.7239279244787265E-2</v>
      </c>
      <c r="CR60">
        <f t="shared" si="94"/>
        <v>3187.265258786796</v>
      </c>
      <c r="CS60">
        <f t="shared" si="214"/>
        <v>2.2206502624253511E-6</v>
      </c>
      <c r="CT60">
        <f t="shared" si="95"/>
        <v>1.2627649994831098E-3</v>
      </c>
      <c r="CU60">
        <f t="shared" si="96"/>
        <v>0.28184530650518436</v>
      </c>
      <c r="CW60">
        <f t="shared" si="97"/>
        <v>13.777256528681685</v>
      </c>
      <c r="CX60">
        <f t="shared" si="98"/>
        <v>0.20800000000000002</v>
      </c>
      <c r="CY60">
        <f t="shared" si="17"/>
        <v>117009.89700000001</v>
      </c>
      <c r="CZ60">
        <f t="shared" si="18"/>
        <v>5.0673885650233041E-3</v>
      </c>
      <c r="DA60">
        <f t="shared" si="99"/>
        <v>4.2031412990765314E-3</v>
      </c>
      <c r="DB60">
        <f t="shared" si="100"/>
        <v>1.1702791069424968E-2</v>
      </c>
      <c r="DC60">
        <f t="shared" si="101"/>
        <v>13.856594085010114</v>
      </c>
      <c r="DD60">
        <f t="shared" si="250"/>
        <v>3.2874061686339843E-6</v>
      </c>
      <c r="DE60">
        <f t="shared" si="215"/>
        <v>2.6129543240787562E-2</v>
      </c>
      <c r="DF60">
        <f t="shared" si="102"/>
        <v>3057.415163261599</v>
      </c>
      <c r="DG60">
        <f t="shared" si="216"/>
        <v>2.1749449476861994E-6</v>
      </c>
      <c r="DH60">
        <f t="shared" si="103"/>
        <v>1.2003524213185783E-3</v>
      </c>
      <c r="DI60">
        <f t="shared" si="104"/>
        <v>0.27323872897099705</v>
      </c>
      <c r="DK60">
        <f t="shared" si="105"/>
        <v>15.674950265414699</v>
      </c>
      <c r="DL60">
        <f t="shared" si="106"/>
        <v>0.20800000000000002</v>
      </c>
      <c r="DM60">
        <f t="shared" si="19"/>
        <v>117009.89700000001</v>
      </c>
      <c r="DN60">
        <f t="shared" si="20"/>
        <v>5.0673885650233041E-3</v>
      </c>
      <c r="DO60">
        <f t="shared" si="107"/>
        <v>4.2031412990765314E-3</v>
      </c>
      <c r="DP60">
        <f t="shared" si="108"/>
        <v>1.1702791069424968E-2</v>
      </c>
      <c r="DQ60">
        <f t="shared" si="109"/>
        <v>13.856594085010114</v>
      </c>
      <c r="DR60">
        <f t="shared" si="251"/>
        <v>3.1890408536856373E-6</v>
      </c>
      <c r="DS60">
        <f t="shared" si="217"/>
        <v>2.508188800172826E-2</v>
      </c>
      <c r="DT60">
        <f t="shared" si="110"/>
        <v>2934.8291316477598</v>
      </c>
      <c r="DU60">
        <f t="shared" si="218"/>
        <v>2.1308970670653328E-6</v>
      </c>
      <c r="DV60">
        <f t="shared" si="111"/>
        <v>1.1417435794218197E-3</v>
      </c>
      <c r="DW60">
        <f t="shared" si="112"/>
        <v>0.26506291732722731</v>
      </c>
      <c r="DY60">
        <f t="shared" si="113"/>
        <v>17.572644002147712</v>
      </c>
      <c r="DZ60">
        <f t="shared" si="114"/>
        <v>0.20800000000000002</v>
      </c>
      <c r="EA60">
        <f t="shared" si="21"/>
        <v>117009.89700000001</v>
      </c>
      <c r="EB60">
        <f t="shared" si="22"/>
        <v>5.0673885650233041E-3</v>
      </c>
      <c r="EC60">
        <f t="shared" si="115"/>
        <v>4.2031412990765314E-3</v>
      </c>
      <c r="ED60">
        <f t="shared" si="116"/>
        <v>1.1702791069424968E-2</v>
      </c>
      <c r="EE60">
        <f t="shared" si="117"/>
        <v>13.856594085010114</v>
      </c>
      <c r="EF60">
        <f t="shared" si="252"/>
        <v>3.0955269006395209E-6</v>
      </c>
      <c r="EG60">
        <f t="shared" si="219"/>
        <v>2.409207441646747E-2</v>
      </c>
      <c r="EH60">
        <f t="shared" si="118"/>
        <v>2819.0111459871941</v>
      </c>
      <c r="EI60">
        <f t="shared" si="220"/>
        <v>2.0884277606780407E-6</v>
      </c>
      <c r="EJ60">
        <f t="shared" si="119"/>
        <v>1.0866660953185361E-3</v>
      </c>
      <c r="EK60">
        <f t="shared" si="120"/>
        <v>0.25729033543115093</v>
      </c>
      <c r="EM60">
        <f t="shared" si="121"/>
        <v>19.470337738880726</v>
      </c>
      <c r="EN60">
        <f t="shared" si="122"/>
        <v>0.20800000000000002</v>
      </c>
      <c r="EO60">
        <f t="shared" si="23"/>
        <v>117009.89700000001</v>
      </c>
      <c r="EP60">
        <f t="shared" si="24"/>
        <v>5.0673885650233041E-3</v>
      </c>
      <c r="EQ60">
        <f t="shared" si="123"/>
        <v>4.2031412990765314E-3</v>
      </c>
      <c r="ER60">
        <f t="shared" si="124"/>
        <v>1.1702791069424968E-2</v>
      </c>
      <c r="ES60">
        <f t="shared" si="125"/>
        <v>13.856594085010114</v>
      </c>
      <c r="ET60">
        <f t="shared" si="253"/>
        <v>3.0065577091558053E-6</v>
      </c>
      <c r="EU60">
        <f t="shared" si="221"/>
        <v>2.3156194715384482E-2</v>
      </c>
      <c r="EV60">
        <f t="shared" si="126"/>
        <v>2709.503958559083</v>
      </c>
      <c r="EW60">
        <f t="shared" si="222"/>
        <v>2.0474624983824354E-6</v>
      </c>
      <c r="EX60">
        <f t="shared" si="127"/>
        <v>1.0348695638541299E-3</v>
      </c>
      <c r="EY60">
        <f t="shared" si="128"/>
        <v>0.24989549963917176</v>
      </c>
      <c r="FA60">
        <f t="shared" si="129"/>
        <v>21.368031475613741</v>
      </c>
      <c r="FB60">
        <f t="shared" si="130"/>
        <v>0.20800000000000002</v>
      </c>
      <c r="FC60">
        <f t="shared" si="25"/>
        <v>117009.89700000001</v>
      </c>
      <c r="FD60">
        <f t="shared" si="26"/>
        <v>5.0673885650233041E-3</v>
      </c>
      <c r="FE60">
        <f t="shared" si="131"/>
        <v>4.2031412990765314E-3</v>
      </c>
      <c r="FF60">
        <f t="shared" si="132"/>
        <v>1.1702791069424968E-2</v>
      </c>
      <c r="FG60">
        <f t="shared" si="133"/>
        <v>13.856594085010114</v>
      </c>
      <c r="FH60">
        <f t="shared" si="254"/>
        <v>2.921849322696365E-6</v>
      </c>
      <c r="FI60">
        <f t="shared" si="223"/>
        <v>2.2270643932172755E-2</v>
      </c>
      <c r="FJ60">
        <f t="shared" si="134"/>
        <v>2605.8857526272095</v>
      </c>
      <c r="FK60">
        <f t="shared" si="224"/>
        <v>2.0079308240630827E-6</v>
      </c>
      <c r="FL60">
        <f t="shared" si="135"/>
        <v>9.8612361677440519E-4</v>
      </c>
      <c r="FM60">
        <f t="shared" si="136"/>
        <v>0.24285480838836132</v>
      </c>
      <c r="FO60">
        <f t="shared" si="137"/>
        <v>23.265725212346755</v>
      </c>
      <c r="FP60">
        <f t="shared" si="138"/>
        <v>0.20800000000000002</v>
      </c>
      <c r="FQ60">
        <f t="shared" si="27"/>
        <v>117009.89700000001</v>
      </c>
      <c r="FR60">
        <f t="shared" si="28"/>
        <v>5.0673885650233041E-3</v>
      </c>
      <c r="FS60">
        <f t="shared" si="139"/>
        <v>4.2031412990765314E-3</v>
      </c>
      <c r="FT60">
        <f t="shared" si="140"/>
        <v>1.1702791069424968E-2</v>
      </c>
      <c r="FU60">
        <f t="shared" si="141"/>
        <v>13.856594085010114</v>
      </c>
      <c r="FV60">
        <f t="shared" si="255"/>
        <v>2.8411385625780506E-6</v>
      </c>
      <c r="FW60">
        <f t="shared" si="225"/>
        <v>2.1432094007239031E-2</v>
      </c>
      <c r="FX60">
        <f t="shared" si="142"/>
        <v>2507.7671122813567</v>
      </c>
      <c r="FY60">
        <f t="shared" si="226"/>
        <v>1.9697661153316424E-6</v>
      </c>
      <c r="FZ60">
        <f t="shared" si="143"/>
        <v>9.4021616864217402E-4</v>
      </c>
      <c r="GA60">
        <f t="shared" si="144"/>
        <v>0.23614638710491065</v>
      </c>
      <c r="GC60">
        <f t="shared" si="145"/>
        <v>25.16341894907977</v>
      </c>
      <c r="GD60">
        <f t="shared" si="146"/>
        <v>0.20800000000000002</v>
      </c>
      <c r="GE60">
        <f t="shared" si="29"/>
        <v>117009.89700000001</v>
      </c>
      <c r="GF60">
        <f t="shared" si="30"/>
        <v>5.0673885650233041E-3</v>
      </c>
      <c r="GG60">
        <f t="shared" si="147"/>
        <v>4.2031412990765314E-3</v>
      </c>
      <c r="GH60">
        <f t="shared" si="148"/>
        <v>1.1702791069424968E-2</v>
      </c>
      <c r="GI60">
        <f t="shared" si="149"/>
        <v>13.856594085010114</v>
      </c>
      <c r="GJ60">
        <f t="shared" si="256"/>
        <v>2.7641813288131912E-6</v>
      </c>
      <c r="GK60">
        <f t="shared" si="227"/>
        <v>2.0637470274665289E-2</v>
      </c>
      <c r="GL60">
        <f t="shared" si="150"/>
        <v>2414.7882711791472</v>
      </c>
      <c r="GM60">
        <f t="shared" si="228"/>
        <v>1.9329053577481499E-6</v>
      </c>
      <c r="GN60">
        <f t="shared" si="151"/>
        <v>8.9695182705043638E-4</v>
      </c>
      <c r="GO60">
        <f t="shared" si="152"/>
        <v>0.22974994697540524</v>
      </c>
      <c r="GQ60">
        <f t="shared" si="153"/>
        <v>27.061112685812784</v>
      </c>
      <c r="GR60">
        <f t="shared" si="154"/>
        <v>0.20800000000000002</v>
      </c>
      <c r="GS60">
        <f t="shared" si="31"/>
        <v>117009.89700000001</v>
      </c>
      <c r="GT60">
        <f t="shared" si="32"/>
        <v>5.0673885650233041E-3</v>
      </c>
      <c r="GU60">
        <f t="shared" si="155"/>
        <v>4.2031412990765314E-3</v>
      </c>
      <c r="GV60">
        <f t="shared" si="156"/>
        <v>1.1702791069424968E-2</v>
      </c>
      <c r="GW60">
        <f t="shared" si="157"/>
        <v>13.856594085010114</v>
      </c>
      <c r="GX60">
        <f t="shared" si="257"/>
        <v>2.6907510518827779E-6</v>
      </c>
      <c r="GY60">
        <f t="shared" si="229"/>
        <v>1.9883930100911225E-2</v>
      </c>
      <c r="GZ60">
        <f t="shared" si="158"/>
        <v>2326.6166130628221</v>
      </c>
      <c r="HA60">
        <f t="shared" si="230"/>
        <v>1.8972889327125598E-6</v>
      </c>
      <c r="HB60">
        <f t="shared" si="159"/>
        <v>8.5615045094254629E-4</v>
      </c>
      <c r="HC60">
        <f t="shared" si="160"/>
        <v>0.22364665626314389</v>
      </c>
      <c r="HE60">
        <f t="shared" si="161"/>
        <v>28.958806422545798</v>
      </c>
      <c r="HF60">
        <f t="shared" si="162"/>
        <v>0.20800000000000002</v>
      </c>
      <c r="HG60">
        <f t="shared" si="33"/>
        <v>117009.89700000001</v>
      </c>
      <c r="HH60">
        <f t="shared" si="34"/>
        <v>5.0673885650233041E-3</v>
      </c>
      <c r="HI60">
        <f t="shared" si="263"/>
        <v>4.2031412990765314E-3</v>
      </c>
      <c r="HJ60">
        <f t="shared" si="164"/>
        <v>1.1702791069424968E-2</v>
      </c>
      <c r="HK60">
        <f t="shared" si="165"/>
        <v>13.856594085010114</v>
      </c>
      <c r="HL60">
        <f t="shared" si="258"/>
        <v>2.6206372811662162E-6</v>
      </c>
      <c r="HM60">
        <f t="shared" si="231"/>
        <v>1.9168843466915528E-2</v>
      </c>
      <c r="HN60">
        <f t="shared" si="166"/>
        <v>2242.9443996729092</v>
      </c>
      <c r="HO60">
        <f t="shared" si="232"/>
        <v>1.8628604182203738E-6</v>
      </c>
      <c r="HP60">
        <f t="shared" si="167"/>
        <v>8.1764584250522106E-4</v>
      </c>
      <c r="HQ60">
        <f t="shared" si="168"/>
        <v>0.21781902298291619</v>
      </c>
      <c r="HS60">
        <f t="shared" si="169"/>
        <v>30.856500159278816</v>
      </c>
      <c r="HT60">
        <f t="shared" si="170"/>
        <v>0.20800000000000002</v>
      </c>
      <c r="HU60">
        <f t="shared" si="35"/>
        <v>117009.89700000001</v>
      </c>
      <c r="HV60">
        <f t="shared" si="36"/>
        <v>5.0673885650233041E-3</v>
      </c>
      <c r="HW60">
        <f t="shared" si="264"/>
        <v>4.2031412990765314E-3</v>
      </c>
      <c r="HX60">
        <f t="shared" si="172"/>
        <v>1.1702791069424968E-2</v>
      </c>
      <c r="HY60">
        <f t="shared" si="173"/>
        <v>13.856594085010114</v>
      </c>
      <c r="HZ60">
        <f t="shared" si="259"/>
        <v>2.5536443971675236E-6</v>
      </c>
      <c r="IA60">
        <f t="shared" si="233"/>
        <v>1.8489775306289379E-2</v>
      </c>
      <c r="IB60">
        <f t="shared" si="174"/>
        <v>2163.4867041420639</v>
      </c>
      <c r="IC60">
        <f t="shared" si="234"/>
        <v>1.8295664017188023E-6</v>
      </c>
      <c r="ID60">
        <f t="shared" si="175"/>
        <v>7.8128455958211788E-4</v>
      </c>
      <c r="IE60">
        <f t="shared" si="176"/>
        <v>0.21225078786534612</v>
      </c>
      <c r="IG60">
        <f t="shared" si="177"/>
        <v>32.754193896011834</v>
      </c>
      <c r="IH60">
        <f t="shared" si="178"/>
        <v>0.20800000000000002</v>
      </c>
      <c r="II60">
        <f t="shared" si="37"/>
        <v>117009.89700000001</v>
      </c>
      <c r="IJ60">
        <f t="shared" si="38"/>
        <v>5.0673885650233041E-3</v>
      </c>
      <c r="IK60">
        <f t="shared" si="265"/>
        <v>4.2031412990765314E-3</v>
      </c>
      <c r="IL60">
        <f t="shared" si="180"/>
        <v>1.1702791069424968E-2</v>
      </c>
      <c r="IM60">
        <f t="shared" si="181"/>
        <v>13.856594085010114</v>
      </c>
      <c r="IN60">
        <f t="shared" si="260"/>
        <v>2.4895904359484109E-6</v>
      </c>
      <c r="IO60">
        <f t="shared" si="235"/>
        <v>1.7844469431142689E-2</v>
      </c>
      <c r="IP60">
        <f t="shared" si="182"/>
        <v>2087.9795301576551</v>
      </c>
      <c r="IQ60">
        <f t="shared" si="236"/>
        <v>1.7973563043408544E-6</v>
      </c>
      <c r="IR60">
        <f t="shared" si="183"/>
        <v>7.4692483688246669E-4</v>
      </c>
      <c r="IS60">
        <f t="shared" si="184"/>
        <v>0.20692682664751447</v>
      </c>
      <c r="IU60">
        <f t="shared" si="185"/>
        <v>34.651887632744845</v>
      </c>
      <c r="IV60">
        <f t="shared" si="186"/>
        <v>0.20800000000000002</v>
      </c>
      <c r="IW60">
        <f t="shared" si="39"/>
        <v>117009.89700000001</v>
      </c>
      <c r="IX60">
        <f t="shared" si="40"/>
        <v>5.0673885650233041E-3</v>
      </c>
      <c r="IY60">
        <f t="shared" si="266"/>
        <v>4.2031412990765314E-3</v>
      </c>
      <c r="IZ60">
        <f t="shared" si="188"/>
        <v>1.1702791069424968E-2</v>
      </c>
      <c r="JA60">
        <f t="shared" si="189"/>
        <v>13.856594085010114</v>
      </c>
      <c r="JB60">
        <f t="shared" si="261"/>
        <v>2.4283060153191159E-6</v>
      </c>
      <c r="JC60">
        <f t="shared" si="237"/>
        <v>1.7230833893977126E-2</v>
      </c>
      <c r="JD60">
        <f t="shared" si="190"/>
        <v>2016.1780991583726</v>
      </c>
      <c r="JE60">
        <f t="shared" si="238"/>
        <v>1.7661822158341372E-6</v>
      </c>
      <c r="JF60">
        <f t="shared" si="191"/>
        <v>7.1443560544728001E-4</v>
      </c>
      <c r="JG60">
        <f t="shared" si="192"/>
        <v>0.20183306082136143</v>
      </c>
      <c r="JI60">
        <f t="shared" si="193"/>
        <v>36.549581369477863</v>
      </c>
      <c r="JJ60">
        <f t="shared" si="194"/>
        <v>0.20800000000000002</v>
      </c>
      <c r="JK60">
        <f t="shared" si="41"/>
        <v>117009.89700000001</v>
      </c>
      <c r="JL60">
        <f t="shared" si="42"/>
        <v>5.0673885650233041E-3</v>
      </c>
      <c r="JM60">
        <f t="shared" si="267"/>
        <v>4.2031412990765314E-3</v>
      </c>
      <c r="JN60">
        <f t="shared" si="196"/>
        <v>1.1702791069424968E-2</v>
      </c>
      <c r="JO60">
        <f t="shared" si="197"/>
        <v>13.856594085010114</v>
      </c>
      <c r="JP60">
        <f t="shared" si="262"/>
        <v>2.3696333533618291E-6</v>
      </c>
      <c r="JQ60">
        <f t="shared" si="239"/>
        <v>1.6646927649219663E-2</v>
      </c>
      <c r="JR60">
        <f t="shared" si="198"/>
        <v>1947.8552896016452</v>
      </c>
      <c r="JS60">
        <f t="shared" si="240"/>
        <v>1.7359987395386909E-6</v>
      </c>
      <c r="JT60">
        <f t="shared" si="199"/>
        <v>6.836956009000205E-4</v>
      </c>
      <c r="JU60">
        <f t="shared" si="200"/>
        <v>0.19695637605648017</v>
      </c>
    </row>
    <row r="61" spans="2:281">
      <c r="B61">
        <v>0.27</v>
      </c>
      <c r="C61">
        <f t="shared" si="43"/>
        <v>0.51237730891791389</v>
      </c>
      <c r="D61">
        <f t="shared" si="44"/>
        <v>0.216</v>
      </c>
      <c r="E61">
        <f t="shared" si="3"/>
        <v>116825.46900000001</v>
      </c>
      <c r="F61">
        <f t="shared" si="4"/>
        <v>5.0700537286723045E-3</v>
      </c>
      <c r="G61">
        <f t="shared" si="45"/>
        <v>4.2020364259796354E-3</v>
      </c>
      <c r="H61">
        <f t="shared" si="46"/>
        <v>1.1721265828138341E-2</v>
      </c>
      <c r="I61">
        <f t="shared" si="47"/>
        <v>13.871173508697064</v>
      </c>
      <c r="J61">
        <f t="shared" si="241"/>
        <v>4.1415823052467694E-6</v>
      </c>
      <c r="K61">
        <f t="shared" si="201"/>
        <v>3.6422845753489856E-2</v>
      </c>
      <c r="L61">
        <f t="shared" si="48"/>
        <v>4255.1160374661113</v>
      </c>
      <c r="M61">
        <f t="shared" si="202"/>
        <v>2.5658234199078986E-6</v>
      </c>
      <c r="N61">
        <f t="shared" si="203"/>
        <v>1.7015949521116942E-3</v>
      </c>
      <c r="O61">
        <f t="shared" si="49"/>
        <v>0.34423512853741151</v>
      </c>
      <c r="Q61">
        <f t="shared" si="50"/>
        <v>2.4100710456509282</v>
      </c>
      <c r="R61">
        <f t="shared" si="51"/>
        <v>0.216</v>
      </c>
      <c r="S61">
        <f t="shared" si="5"/>
        <v>116825.46900000001</v>
      </c>
      <c r="T61">
        <f t="shared" si="6"/>
        <v>5.0700537286723045E-3</v>
      </c>
      <c r="U61">
        <f t="shared" si="52"/>
        <v>4.2020364259796354E-3</v>
      </c>
      <c r="V61">
        <f t="shared" si="53"/>
        <v>1.1721265828138341E-2</v>
      </c>
      <c r="W61">
        <f t="shared" si="54"/>
        <v>13.871173508697064</v>
      </c>
      <c r="X61">
        <f t="shared" si="242"/>
        <v>3.9983784481586741E-6</v>
      </c>
      <c r="Y61">
        <f t="shared" si="204"/>
        <v>3.4778894571092359E-2</v>
      </c>
      <c r="Z61">
        <f t="shared" si="55"/>
        <v>4063.0606695694191</v>
      </c>
      <c r="AA61">
        <f t="shared" si="205"/>
        <v>2.5072504308137772E-6</v>
      </c>
      <c r="AB61">
        <f t="shared" si="56"/>
        <v>1.6102056798624643E-3</v>
      </c>
      <c r="AC61">
        <f t="shared" si="57"/>
        <v>0.33233248010052713</v>
      </c>
      <c r="AE61">
        <f t="shared" si="58"/>
        <v>4.3077647823839431</v>
      </c>
      <c r="AF61">
        <f t="shared" si="59"/>
        <v>0.216</v>
      </c>
      <c r="AG61">
        <f t="shared" si="7"/>
        <v>116825.46900000001</v>
      </c>
      <c r="AH61">
        <f t="shared" si="8"/>
        <v>5.0700537286723045E-3</v>
      </c>
      <c r="AI61">
        <f t="shared" si="60"/>
        <v>4.2020364259796354E-3</v>
      </c>
      <c r="AJ61">
        <f t="shared" si="61"/>
        <v>1.1721265828138341E-2</v>
      </c>
      <c r="AK61">
        <f t="shared" si="62"/>
        <v>13.871173508697064</v>
      </c>
      <c r="AL61">
        <f t="shared" si="243"/>
        <v>3.8630008880678287E-6</v>
      </c>
      <c r="AM61">
        <f t="shared" si="206"/>
        <v>3.3234674766152841E-2</v>
      </c>
      <c r="AN61">
        <f t="shared" si="63"/>
        <v>3882.6564666182712</v>
      </c>
      <c r="AO61">
        <f t="shared" si="207"/>
        <v>2.4509561656546828E-6</v>
      </c>
      <c r="AP61">
        <f t="shared" si="64"/>
        <v>1.5248069956448032E-3</v>
      </c>
      <c r="AQ61">
        <f t="shared" si="65"/>
        <v>0.32108032854001944</v>
      </c>
      <c r="AS61">
        <f t="shared" si="66"/>
        <v>6.2054585191169576</v>
      </c>
      <c r="AT61">
        <f t="shared" si="67"/>
        <v>0.216</v>
      </c>
      <c r="AU61">
        <f t="shared" si="9"/>
        <v>116825.46900000001</v>
      </c>
      <c r="AV61">
        <f t="shared" si="10"/>
        <v>5.0700537286723045E-3</v>
      </c>
      <c r="AW61">
        <f t="shared" si="68"/>
        <v>4.2020364259796354E-3</v>
      </c>
      <c r="AX61">
        <f t="shared" si="69"/>
        <v>1.1721265828138341E-2</v>
      </c>
      <c r="AY61">
        <f t="shared" si="70"/>
        <v>13.871173508697064</v>
      </c>
      <c r="AZ61">
        <f t="shared" si="244"/>
        <v>3.7349144855411316E-6</v>
      </c>
      <c r="BA61">
        <f t="shared" si="208"/>
        <v>3.1782924953705521E-2</v>
      </c>
      <c r="BB61">
        <f t="shared" si="71"/>
        <v>3713.0551139084514</v>
      </c>
      <c r="BC61">
        <f t="shared" si="209"/>
        <v>2.396827388898161E-6</v>
      </c>
      <c r="BD61">
        <f t="shared" si="72"/>
        <v>1.4449433033936676E-3</v>
      </c>
      <c r="BE61">
        <f t="shared" si="73"/>
        <v>0.31043419477085243</v>
      </c>
      <c r="BG61">
        <f t="shared" si="74"/>
        <v>8.1031522558499702</v>
      </c>
      <c r="BH61">
        <f t="shared" si="75"/>
        <v>0.216</v>
      </c>
      <c r="BI61">
        <f t="shared" si="11"/>
        <v>116825.46900000001</v>
      </c>
      <c r="BJ61">
        <f t="shared" si="12"/>
        <v>5.0700537286723045E-3</v>
      </c>
      <c r="BK61">
        <f t="shared" si="76"/>
        <v>4.2020364259796354E-3</v>
      </c>
      <c r="BL61">
        <f t="shared" si="77"/>
        <v>1.1721265828138341E-2</v>
      </c>
      <c r="BM61">
        <f t="shared" si="78"/>
        <v>13.871173508697064</v>
      </c>
      <c r="BN61">
        <f t="shared" si="245"/>
        <v>3.6136261949601101E-6</v>
      </c>
      <c r="BO61">
        <f t="shared" si="210"/>
        <v>3.0416981230971186E-2</v>
      </c>
      <c r="BP61">
        <f t="shared" si="79"/>
        <v>3553.4780978724066</v>
      </c>
      <c r="BQ61">
        <f t="shared" si="211"/>
        <v>2.3447572235269086E-6</v>
      </c>
      <c r="BR61">
        <f t="shared" si="80"/>
        <v>1.3701975960729381E-3</v>
      </c>
      <c r="BS61">
        <f t="shared" si="81"/>
        <v>0.30035309841177549</v>
      </c>
      <c r="BU61">
        <f t="shared" si="82"/>
        <v>10.000845992582985</v>
      </c>
      <c r="BV61">
        <f t="shared" si="83"/>
        <v>0.216</v>
      </c>
      <c r="BW61">
        <f t="shared" si="13"/>
        <v>116825.46900000001</v>
      </c>
      <c r="BX61">
        <f t="shared" si="14"/>
        <v>5.0700537286723045E-3</v>
      </c>
      <c r="BY61">
        <f t="shared" si="84"/>
        <v>4.2020364259796354E-3</v>
      </c>
      <c r="BZ61">
        <f t="shared" si="85"/>
        <v>1.1721265828138341E-2</v>
      </c>
      <c r="CA61">
        <f t="shared" si="86"/>
        <v>13.871173508697064</v>
      </c>
      <c r="CB61">
        <f t="shared" si="246"/>
        <v>3.4986814140393076E-6</v>
      </c>
      <c r="CC61">
        <f t="shared" si="247"/>
        <v>2.9130723560644559E-2</v>
      </c>
      <c r="CD61">
        <f t="shared" si="87"/>
        <v>3403.210442281651</v>
      </c>
      <c r="CE61">
        <f t="shared" si="248"/>
        <v>2.2946447744932044E-6</v>
      </c>
      <c r="CF61">
        <f t="shared" si="212"/>
        <v>1.3001879202912323E-3</v>
      </c>
      <c r="CG61">
        <f t="shared" si="88"/>
        <v>0.29079925436892007</v>
      </c>
      <c r="CI61">
        <f t="shared" si="89"/>
        <v>11.898539729315999</v>
      </c>
      <c r="CJ61">
        <f t="shared" si="90"/>
        <v>0.216</v>
      </c>
      <c r="CK61">
        <f t="shared" si="15"/>
        <v>116825.46900000001</v>
      </c>
      <c r="CL61">
        <f t="shared" si="16"/>
        <v>5.0700537286723045E-3</v>
      </c>
      <c r="CM61">
        <f t="shared" si="91"/>
        <v>4.2020364259796354E-3</v>
      </c>
      <c r="CN61">
        <f t="shared" si="92"/>
        <v>1.1721265828138341E-2</v>
      </c>
      <c r="CO61">
        <f t="shared" si="93"/>
        <v>13.871173508697064</v>
      </c>
      <c r="CP61">
        <f t="shared" si="249"/>
        <v>3.3896606732722418E-6</v>
      </c>
      <c r="CQ61">
        <f t="shared" si="213"/>
        <v>2.7918527278987113E-2</v>
      </c>
      <c r="CR61">
        <f t="shared" si="94"/>
        <v>3261.5950431569636</v>
      </c>
      <c r="CS61">
        <f t="shared" si="214"/>
        <v>2.2463947744164032E-6</v>
      </c>
      <c r="CT61">
        <f t="shared" si="95"/>
        <v>1.2345641839716969E-3</v>
      </c>
      <c r="CU61">
        <f t="shared" si="96"/>
        <v>0.28173779767309365</v>
      </c>
      <c r="CW61">
        <f t="shared" si="97"/>
        <v>13.796233466049014</v>
      </c>
      <c r="CX61">
        <f t="shared" si="98"/>
        <v>0.216</v>
      </c>
      <c r="CY61">
        <f t="shared" si="17"/>
        <v>116825.46900000001</v>
      </c>
      <c r="CZ61">
        <f t="shared" si="18"/>
        <v>5.0700537286723045E-3</v>
      </c>
      <c r="DA61">
        <f t="shared" si="99"/>
        <v>4.2020364259796354E-3</v>
      </c>
      <c r="DB61">
        <f t="shared" si="100"/>
        <v>1.1721265828138341E-2</v>
      </c>
      <c r="DC61">
        <f t="shared" si="101"/>
        <v>13.871173508697064</v>
      </c>
      <c r="DD61">
        <f t="shared" si="250"/>
        <v>3.2861766319513446E-6</v>
      </c>
      <c r="DE61">
        <f t="shared" si="215"/>
        <v>2.6775219216017644E-2</v>
      </c>
      <c r="DF61">
        <f t="shared" si="102"/>
        <v>3128.0275424890738</v>
      </c>
      <c r="DG61">
        <f t="shared" si="216"/>
        <v>2.1999172502964141E-6</v>
      </c>
      <c r="DH61">
        <f t="shared" si="103"/>
        <v>1.1730052723837271E-3</v>
      </c>
      <c r="DI61">
        <f t="shared" si="104"/>
        <v>0.27313653379852548</v>
      </c>
      <c r="DK61">
        <f t="shared" si="105"/>
        <v>15.693927202782028</v>
      </c>
      <c r="DL61">
        <f t="shared" si="106"/>
        <v>0.216</v>
      </c>
      <c r="DM61">
        <f t="shared" si="19"/>
        <v>116825.46900000001</v>
      </c>
      <c r="DN61">
        <f t="shared" si="20"/>
        <v>5.0700537286723045E-3</v>
      </c>
      <c r="DO61">
        <f t="shared" si="107"/>
        <v>4.2020364259796354E-3</v>
      </c>
      <c r="DP61">
        <f t="shared" si="108"/>
        <v>1.1721265828138341E-2</v>
      </c>
      <c r="DQ61">
        <f t="shared" si="109"/>
        <v>13.871173508697064</v>
      </c>
      <c r="DR61">
        <f t="shared" si="251"/>
        <v>3.1878713508062039E-6</v>
      </c>
      <c r="DS61">
        <f t="shared" si="217"/>
        <v>2.5696037968032374E-2</v>
      </c>
      <c r="DT61">
        <f t="shared" si="110"/>
        <v>3001.9516870571892</v>
      </c>
      <c r="DU61">
        <f t="shared" si="218"/>
        <v>2.1551272100725549E-6</v>
      </c>
      <c r="DV61">
        <f t="shared" si="111"/>
        <v>1.1152164414528381E-3</v>
      </c>
      <c r="DW61">
        <f t="shared" si="112"/>
        <v>0.26496571197324542</v>
      </c>
      <c r="DY61">
        <f t="shared" si="113"/>
        <v>17.591620939515042</v>
      </c>
      <c r="DZ61">
        <f t="shared" si="114"/>
        <v>0.216</v>
      </c>
      <c r="EA61">
        <f t="shared" si="21"/>
        <v>116825.46900000001</v>
      </c>
      <c r="EB61">
        <f t="shared" si="22"/>
        <v>5.0700537286723045E-3</v>
      </c>
      <c r="EC61">
        <f t="shared" si="115"/>
        <v>4.2020364259796354E-3</v>
      </c>
      <c r="ED61">
        <f t="shared" si="116"/>
        <v>1.1721265828138341E-2</v>
      </c>
      <c r="EE61">
        <f t="shared" si="117"/>
        <v>13.871173508697064</v>
      </c>
      <c r="EF61">
        <f t="shared" si="252"/>
        <v>3.0944138143473241E-6</v>
      </c>
      <c r="EG61">
        <f t="shared" si="219"/>
        <v>2.4676597910054117E-2</v>
      </c>
      <c r="EH61">
        <f t="shared" si="118"/>
        <v>2882.8551241664923</v>
      </c>
      <c r="EI61">
        <f t="shared" si="220"/>
        <v>2.1119443479121826E-6</v>
      </c>
      <c r="EJ61">
        <f t="shared" si="119"/>
        <v>1.0609269604914138E-3</v>
      </c>
      <c r="EK61">
        <f t="shared" si="120"/>
        <v>0.25719781924418966</v>
      </c>
      <c r="EM61">
        <f t="shared" si="121"/>
        <v>19.489314676248057</v>
      </c>
      <c r="EN61">
        <f t="shared" si="122"/>
        <v>0.216</v>
      </c>
      <c r="EO61">
        <f t="shared" si="23"/>
        <v>116825.46900000001</v>
      </c>
      <c r="EP61">
        <f t="shared" si="24"/>
        <v>5.0700537286723045E-3</v>
      </c>
      <c r="EQ61">
        <f t="shared" si="123"/>
        <v>4.2020364259796354E-3</v>
      </c>
      <c r="ER61">
        <f t="shared" si="124"/>
        <v>1.1721265828138341E-2</v>
      </c>
      <c r="ES61">
        <f t="shared" si="125"/>
        <v>13.871173508697064</v>
      </c>
      <c r="ET61">
        <f t="shared" si="253"/>
        <v>3.0054976787281511E-6</v>
      </c>
      <c r="EU61">
        <f t="shared" si="221"/>
        <v>2.3712856578192661E-2</v>
      </c>
      <c r="EV61">
        <f t="shared" si="126"/>
        <v>2770.2655910770932</v>
      </c>
      <c r="EW61">
        <f t="shared" si="222"/>
        <v>2.0702927671667469E-6</v>
      </c>
      <c r="EX61">
        <f t="shared" si="127"/>
        <v>1.009887979378728E-3</v>
      </c>
      <c r="EY61">
        <f t="shared" si="128"/>
        <v>0.24980739328666612</v>
      </c>
      <c r="FA61">
        <f t="shared" si="129"/>
        <v>21.387008412981071</v>
      </c>
      <c r="FB61">
        <f t="shared" si="130"/>
        <v>0.216</v>
      </c>
      <c r="FC61">
        <f t="shared" si="25"/>
        <v>116825.46900000001</v>
      </c>
      <c r="FD61">
        <f t="shared" si="26"/>
        <v>5.0700537286723045E-3</v>
      </c>
      <c r="FE61">
        <f t="shared" si="131"/>
        <v>4.2020364259796354E-3</v>
      </c>
      <c r="FF61">
        <f t="shared" si="132"/>
        <v>1.1721265828138341E-2</v>
      </c>
      <c r="FG61">
        <f t="shared" si="133"/>
        <v>13.871173508697064</v>
      </c>
      <c r="FH61">
        <f t="shared" si="254"/>
        <v>2.9208392233797746E-6</v>
      </c>
      <c r="FI61">
        <f t="shared" si="223"/>
        <v>2.2801085089827821E-2</v>
      </c>
      <c r="FJ61">
        <f t="shared" si="134"/>
        <v>2663.7474593280426</v>
      </c>
      <c r="FK61">
        <f t="shared" si="224"/>
        <v>2.0301007199845695E-6</v>
      </c>
      <c r="FL61">
        <f t="shared" si="135"/>
        <v>9.618705977995208E-4</v>
      </c>
      <c r="FM61">
        <f t="shared" si="136"/>
        <v>0.24277085215075583</v>
      </c>
      <c r="FO61">
        <f t="shared" si="137"/>
        <v>23.284702149714086</v>
      </c>
      <c r="FP61">
        <f t="shared" si="138"/>
        <v>0.216</v>
      </c>
      <c r="FQ61">
        <f t="shared" si="27"/>
        <v>116825.46900000001</v>
      </c>
      <c r="FR61">
        <f t="shared" si="28"/>
        <v>5.0700537286723045E-3</v>
      </c>
      <c r="FS61">
        <f t="shared" si="139"/>
        <v>4.2020364259796354E-3</v>
      </c>
      <c r="FT61">
        <f t="shared" si="140"/>
        <v>1.1721265828138341E-2</v>
      </c>
      <c r="FU61">
        <f t="shared" si="141"/>
        <v>13.871173508697064</v>
      </c>
      <c r="FV61">
        <f t="shared" si="255"/>
        <v>2.8401754868609321E-6</v>
      </c>
      <c r="FW61">
        <f t="shared" si="225"/>
        <v>2.193784130347751E-2</v>
      </c>
      <c r="FX61">
        <f t="shared" si="142"/>
        <v>2562.8985991263316</v>
      </c>
      <c r="FY61">
        <f t="shared" si="226"/>
        <v>1.9913003626196763E-6</v>
      </c>
      <c r="FZ61">
        <f t="shared" si="143"/>
        <v>9.1666411645933846E-4</v>
      </c>
      <c r="GA61">
        <f t="shared" si="144"/>
        <v>0.2360663393191034</v>
      </c>
      <c r="GC61">
        <f t="shared" si="145"/>
        <v>25.1823958864471</v>
      </c>
      <c r="GD61">
        <f t="shared" si="146"/>
        <v>0.216</v>
      </c>
      <c r="GE61">
        <f t="shared" si="29"/>
        <v>116825.46900000001</v>
      </c>
      <c r="GF61">
        <f t="shared" si="30"/>
        <v>5.0700537286723045E-3</v>
      </c>
      <c r="GG61">
        <f t="shared" si="147"/>
        <v>4.2020364259796354E-3</v>
      </c>
      <c r="GH61">
        <f t="shared" si="148"/>
        <v>1.1721265828138341E-2</v>
      </c>
      <c r="GI61">
        <f t="shared" si="149"/>
        <v>13.871173508697064</v>
      </c>
      <c r="GJ61">
        <f t="shared" si="256"/>
        <v>2.76326256932695E-6</v>
      </c>
      <c r="GK61">
        <f t="shared" si="227"/>
        <v>2.1119945450604926E-2</v>
      </c>
      <c r="GL61">
        <f t="shared" si="150"/>
        <v>2467.3475325213371</v>
      </c>
      <c r="GM61">
        <f t="shared" si="228"/>
        <v>1.9538275255243422E-6</v>
      </c>
      <c r="GN61">
        <f t="shared" si="151"/>
        <v>8.7407445226026902E-4</v>
      </c>
      <c r="GO61">
        <f t="shared" si="152"/>
        <v>0.22967358261354273</v>
      </c>
      <c r="GQ61">
        <f t="shared" si="153"/>
        <v>27.080089623180115</v>
      </c>
      <c r="GR61">
        <f t="shared" si="154"/>
        <v>0.216</v>
      </c>
      <c r="GS61">
        <f t="shared" si="31"/>
        <v>116825.46900000001</v>
      </c>
      <c r="GT61">
        <f t="shared" si="32"/>
        <v>5.0700537286723045E-3</v>
      </c>
      <c r="GU61">
        <f t="shared" si="155"/>
        <v>4.2020364259796354E-3</v>
      </c>
      <c r="GV61">
        <f t="shared" si="156"/>
        <v>1.1721265828138341E-2</v>
      </c>
      <c r="GW61">
        <f t="shared" si="157"/>
        <v>13.871173508697064</v>
      </c>
      <c r="GX61">
        <f t="shared" si="257"/>
        <v>2.6898740857796597E-6</v>
      </c>
      <c r="GY61">
        <f t="shared" si="229"/>
        <v>2.0344457998833748E-2</v>
      </c>
      <c r="GZ61">
        <f t="shared" si="158"/>
        <v>2376.7508472645545</v>
      </c>
      <c r="HA61">
        <f t="shared" si="230"/>
        <v>1.9176214973597349E-6</v>
      </c>
      <c r="HB61">
        <f t="shared" si="159"/>
        <v>8.339227012690725E-4</v>
      </c>
      <c r="HC61">
        <f t="shared" si="160"/>
        <v>0.22357376563415715</v>
      </c>
      <c r="HE61">
        <f t="shared" si="161"/>
        <v>28.977783359913129</v>
      </c>
      <c r="HF61">
        <f t="shared" si="162"/>
        <v>0.216</v>
      </c>
      <c r="HG61">
        <f t="shared" si="33"/>
        <v>116825.46900000001</v>
      </c>
      <c r="HH61">
        <f t="shared" si="34"/>
        <v>5.0700537286723045E-3</v>
      </c>
      <c r="HI61">
        <f t="shared" si="263"/>
        <v>4.2020364259796354E-3</v>
      </c>
      <c r="HJ61">
        <f t="shared" si="164"/>
        <v>1.1721265828138341E-2</v>
      </c>
      <c r="HK61">
        <f t="shared" si="165"/>
        <v>13.871173508697064</v>
      </c>
      <c r="HL61">
        <f t="shared" si="258"/>
        <v>2.6197997558370604E-6</v>
      </c>
      <c r="HM61">
        <f t="shared" si="231"/>
        <v>1.9608659530411698E-2</v>
      </c>
      <c r="HN61">
        <f t="shared" si="166"/>
        <v>2290.7908461016664</v>
      </c>
      <c r="HO61">
        <f t="shared" si="232"/>
        <v>1.8826248221040688E-6</v>
      </c>
      <c r="HP61">
        <f t="shared" si="167"/>
        <v>7.9604383496373245E-4</v>
      </c>
      <c r="HQ61">
        <f t="shared" si="168"/>
        <v>0.21774941054542579</v>
      </c>
      <c r="HS61">
        <f t="shared" si="169"/>
        <v>30.875477096646144</v>
      </c>
      <c r="HT61">
        <f t="shared" si="170"/>
        <v>0.216</v>
      </c>
      <c r="HU61">
        <f t="shared" si="35"/>
        <v>116825.46900000001</v>
      </c>
      <c r="HV61">
        <f t="shared" si="36"/>
        <v>5.0700537286723045E-3</v>
      </c>
      <c r="HW61">
        <f t="shared" si="264"/>
        <v>4.2020364259796354E-3</v>
      </c>
      <c r="HX61">
        <f t="shared" si="172"/>
        <v>1.1721265828138341E-2</v>
      </c>
      <c r="HY61">
        <f t="shared" si="173"/>
        <v>13.871173508697064</v>
      </c>
      <c r="HZ61">
        <f t="shared" si="259"/>
        <v>2.5528441171759768E-6</v>
      </c>
      <c r="IA61">
        <f t="shared" si="233"/>
        <v>1.8910032441594858E-2</v>
      </c>
      <c r="IB61">
        <f t="shared" si="174"/>
        <v>2209.1734087945347</v>
      </c>
      <c r="IC61">
        <f t="shared" si="234"/>
        <v>1.8487831084810153E-6</v>
      </c>
      <c r="ID61">
        <f t="shared" si="175"/>
        <v>7.6028551672508934E-4</v>
      </c>
      <c r="IE61">
        <f t="shared" si="176"/>
        <v>0.21218427114167579</v>
      </c>
      <c r="IG61">
        <f t="shared" si="177"/>
        <v>32.773170833379162</v>
      </c>
      <c r="IH61">
        <f t="shared" si="178"/>
        <v>0.216</v>
      </c>
      <c r="II61">
        <f t="shared" si="37"/>
        <v>116825.46900000001</v>
      </c>
      <c r="IJ61">
        <f t="shared" si="38"/>
        <v>5.0700537286723045E-3</v>
      </c>
      <c r="IK61">
        <f t="shared" si="265"/>
        <v>4.2020364259796354E-3</v>
      </c>
      <c r="IL61">
        <f t="shared" si="180"/>
        <v>1.1721265828138341E-2</v>
      </c>
      <c r="IM61">
        <f t="shared" si="181"/>
        <v>13.871173508697064</v>
      </c>
      <c r="IN61">
        <f t="shared" si="260"/>
        <v>2.488825351070161E-6</v>
      </c>
      <c r="IO61">
        <f t="shared" si="235"/>
        <v>1.8246244288186622E-2</v>
      </c>
      <c r="IP61">
        <f t="shared" si="182"/>
        <v>2131.6260464559737</v>
      </c>
      <c r="IQ61">
        <f t="shared" si="236"/>
        <v>1.8160448509728454E-6</v>
      </c>
      <c r="IR61">
        <f t="shared" si="183"/>
        <v>7.2650702686571326E-4</v>
      </c>
      <c r="IS61">
        <f t="shared" si="184"/>
        <v>0.20686323522955019</v>
      </c>
      <c r="IU61">
        <f t="shared" si="185"/>
        <v>34.670864570112172</v>
      </c>
      <c r="IV61">
        <f t="shared" si="186"/>
        <v>0.216</v>
      </c>
      <c r="IW61">
        <f t="shared" si="39"/>
        <v>116825.46900000001</v>
      </c>
      <c r="IX61">
        <f t="shared" si="40"/>
        <v>5.0700537286723045E-3</v>
      </c>
      <c r="IY61">
        <f t="shared" si="266"/>
        <v>4.2020364259796354E-3</v>
      </c>
      <c r="IZ61">
        <f t="shared" si="188"/>
        <v>1.1721265828138341E-2</v>
      </c>
      <c r="JA61">
        <f t="shared" si="189"/>
        <v>13.871173508697064</v>
      </c>
      <c r="JB61">
        <f t="shared" si="261"/>
        <v>2.4275742095854994E-6</v>
      </c>
      <c r="JC61">
        <f t="shared" si="237"/>
        <v>1.7615132619995852E-2</v>
      </c>
      <c r="JD61">
        <f t="shared" si="190"/>
        <v>2057.8961298282143</v>
      </c>
      <c r="JE61">
        <f t="shared" si="238"/>
        <v>1.7843612617227605E-6</v>
      </c>
      <c r="JF61">
        <f t="shared" si="191"/>
        <v>6.9457828567518864E-4</v>
      </c>
      <c r="JG61">
        <f t="shared" si="192"/>
        <v>0.20177223545989106</v>
      </c>
      <c r="JI61">
        <f t="shared" si="193"/>
        <v>36.56855830684519</v>
      </c>
      <c r="JJ61">
        <f t="shared" si="194"/>
        <v>0.216</v>
      </c>
      <c r="JK61">
        <f t="shared" si="41"/>
        <v>116825.46900000001</v>
      </c>
      <c r="JL61">
        <f t="shared" si="42"/>
        <v>5.0700537286723045E-3</v>
      </c>
      <c r="JM61">
        <f t="shared" si="267"/>
        <v>4.2020364259796354E-3</v>
      </c>
      <c r="JN61">
        <f t="shared" si="196"/>
        <v>1.1721265828138341E-2</v>
      </c>
      <c r="JO61">
        <f t="shared" si="197"/>
        <v>13.871173508697064</v>
      </c>
      <c r="JP61">
        <f t="shared" si="262"/>
        <v>2.3689330350168699E-6</v>
      </c>
      <c r="JQ61">
        <f t="shared" si="239"/>
        <v>1.7014691162694041E-2</v>
      </c>
      <c r="JR61">
        <f t="shared" si="198"/>
        <v>1987.7492749718867</v>
      </c>
      <c r="JS61">
        <f t="shared" si="240"/>
        <v>1.7536861126692137E-6</v>
      </c>
      <c r="JT61">
        <f t="shared" si="199"/>
        <v>6.643789650241374E-4</v>
      </c>
      <c r="JU61">
        <f t="shared" si="200"/>
        <v>0.19689816782645447</v>
      </c>
    </row>
    <row r="62" spans="2:281">
      <c r="B62">
        <v>0.28000000000000003</v>
      </c>
      <c r="C62">
        <f t="shared" si="43"/>
        <v>0.53135424628524408</v>
      </c>
      <c r="D62">
        <f t="shared" si="44"/>
        <v>0.22400000000000003</v>
      </c>
      <c r="E62">
        <f t="shared" si="3"/>
        <v>116641.04100000001</v>
      </c>
      <c r="F62">
        <f t="shared" si="4"/>
        <v>5.0727245080923336E-3</v>
      </c>
      <c r="G62">
        <f t="shared" si="45"/>
        <v>4.2009300984071655E-3</v>
      </c>
      <c r="H62">
        <f t="shared" si="46"/>
        <v>1.1739799009903686E-2</v>
      </c>
      <c r="I62">
        <f t="shared" si="47"/>
        <v>13.885791342907281</v>
      </c>
      <c r="J62">
        <f t="shared" si="241"/>
        <v>4.1398393392848921E-6</v>
      </c>
      <c r="K62">
        <f t="shared" si="201"/>
        <v>3.7338142761800537E-2</v>
      </c>
      <c r="L62">
        <f t="shared" si="48"/>
        <v>4355.1598407430301</v>
      </c>
      <c r="M62">
        <f t="shared" si="202"/>
        <v>2.5958112507689756E-6</v>
      </c>
      <c r="N62">
        <f t="shared" si="203"/>
        <v>1.6686478513818386E-3</v>
      </c>
      <c r="O62">
        <f t="shared" si="49"/>
        <v>0.34409025875873706</v>
      </c>
      <c r="Q62">
        <f t="shared" si="50"/>
        <v>2.4290479830182585</v>
      </c>
      <c r="R62">
        <f t="shared" si="51"/>
        <v>0.22400000000000003</v>
      </c>
      <c r="S62">
        <f t="shared" si="5"/>
        <v>116641.04100000001</v>
      </c>
      <c r="T62">
        <f t="shared" si="6"/>
        <v>5.0727245080923336E-3</v>
      </c>
      <c r="U62">
        <f t="shared" si="52"/>
        <v>4.2009300984071655E-3</v>
      </c>
      <c r="V62">
        <f t="shared" si="53"/>
        <v>1.1739799009903686E-2</v>
      </c>
      <c r="W62">
        <f t="shared" si="54"/>
        <v>13.885791342907281</v>
      </c>
      <c r="X62">
        <f t="shared" si="242"/>
        <v>3.9967290934234951E-6</v>
      </c>
      <c r="Y62">
        <f t="shared" si="204"/>
        <v>3.5645032801999758E-2</v>
      </c>
      <c r="Z62">
        <f t="shared" si="55"/>
        <v>4157.6737325043987</v>
      </c>
      <c r="AA62">
        <f t="shared" si="205"/>
        <v>2.536274549944413E-6</v>
      </c>
      <c r="AB62">
        <f t="shared" si="56"/>
        <v>1.5783290175501836E-3</v>
      </c>
      <c r="AC62">
        <f t="shared" si="57"/>
        <v>0.33219539098882483</v>
      </c>
      <c r="AE62">
        <f t="shared" si="58"/>
        <v>4.326741719751273</v>
      </c>
      <c r="AF62">
        <f t="shared" si="59"/>
        <v>0.22400000000000003</v>
      </c>
      <c r="AG62">
        <f t="shared" si="7"/>
        <v>116641.04100000001</v>
      </c>
      <c r="AH62">
        <f t="shared" si="8"/>
        <v>5.0727245080923336E-3</v>
      </c>
      <c r="AI62">
        <f t="shared" si="60"/>
        <v>4.2009300984071655E-3</v>
      </c>
      <c r="AJ62">
        <f t="shared" si="61"/>
        <v>1.1739799009903686E-2</v>
      </c>
      <c r="AK62">
        <f t="shared" si="62"/>
        <v>13.885791342907281</v>
      </c>
      <c r="AL62">
        <f t="shared" si="243"/>
        <v>3.8614390083216862E-6</v>
      </c>
      <c r="AM62">
        <f t="shared" si="206"/>
        <v>3.4054876588938486E-2</v>
      </c>
      <c r="AN62">
        <f t="shared" si="63"/>
        <v>3972.1962564603145</v>
      </c>
      <c r="AO62">
        <f t="shared" si="207"/>
        <v>2.4790564144562854E-6</v>
      </c>
      <c r="AP62">
        <f t="shared" si="64"/>
        <v>1.4939558173830303E-3</v>
      </c>
      <c r="AQ62">
        <f t="shared" si="65"/>
        <v>0.32095051007076142</v>
      </c>
      <c r="AS62">
        <f t="shared" si="66"/>
        <v>6.2244354564842874</v>
      </c>
      <c r="AT62">
        <f t="shared" si="67"/>
        <v>0.22400000000000003</v>
      </c>
      <c r="AU62">
        <f t="shared" si="9"/>
        <v>116641.04100000001</v>
      </c>
      <c r="AV62">
        <f t="shared" si="10"/>
        <v>5.0727245080923336E-3</v>
      </c>
      <c r="AW62">
        <f t="shared" si="68"/>
        <v>4.2009300984071655E-3</v>
      </c>
      <c r="AX62">
        <f t="shared" si="69"/>
        <v>1.1739799009903686E-2</v>
      </c>
      <c r="AY62">
        <f t="shared" si="70"/>
        <v>13.885791342907281</v>
      </c>
      <c r="AZ62">
        <f t="shared" si="244"/>
        <v>3.7334344112193711E-6</v>
      </c>
      <c r="BA62">
        <f t="shared" si="208"/>
        <v>3.2560167670095487E-2</v>
      </c>
      <c r="BB62">
        <f t="shared" si="71"/>
        <v>3797.8518521744827</v>
      </c>
      <c r="BC62">
        <f t="shared" si="209"/>
        <v>2.4240416118780308E-6</v>
      </c>
      <c r="BD62">
        <f t="shared" si="72"/>
        <v>1.4150749571763734E-3</v>
      </c>
      <c r="BE62">
        <f t="shared" si="73"/>
        <v>0.31031117570788447</v>
      </c>
      <c r="BG62">
        <f t="shared" si="74"/>
        <v>8.1221291932173028</v>
      </c>
      <c r="BH62">
        <f t="shared" si="75"/>
        <v>0.22400000000000003</v>
      </c>
      <c r="BI62">
        <f t="shared" si="11"/>
        <v>116641.04100000001</v>
      </c>
      <c r="BJ62">
        <f t="shared" si="12"/>
        <v>5.0727245080923336E-3</v>
      </c>
      <c r="BK62">
        <f t="shared" si="76"/>
        <v>4.2009300984071655E-3</v>
      </c>
      <c r="BL62">
        <f t="shared" si="77"/>
        <v>1.1739799009903686E-2</v>
      </c>
      <c r="BM62">
        <f t="shared" si="78"/>
        <v>13.885791342907281</v>
      </c>
      <c r="BN62">
        <f t="shared" si="245"/>
        <v>3.6122226836438371E-6</v>
      </c>
      <c r="BO62">
        <f t="shared" si="210"/>
        <v>3.1154017832380823E-2</v>
      </c>
      <c r="BP62">
        <f t="shared" si="79"/>
        <v>3633.8370713014633</v>
      </c>
      <c r="BQ62">
        <f t="shared" si="211"/>
        <v>2.3711213802758707E-6</v>
      </c>
      <c r="BR62">
        <f t="shared" si="80"/>
        <v>1.3412715990178104E-3</v>
      </c>
      <c r="BS62">
        <f t="shared" si="81"/>
        <v>0.30023644302193836</v>
      </c>
      <c r="BU62">
        <f t="shared" si="82"/>
        <v>10.019822929950317</v>
      </c>
      <c r="BV62">
        <f t="shared" si="83"/>
        <v>0.22400000000000003</v>
      </c>
      <c r="BW62">
        <f t="shared" si="13"/>
        <v>116641.04100000001</v>
      </c>
      <c r="BX62">
        <f t="shared" si="14"/>
        <v>5.0727245080923336E-3</v>
      </c>
      <c r="BY62">
        <f t="shared" si="84"/>
        <v>4.2009300984071655E-3</v>
      </c>
      <c r="BZ62">
        <f t="shared" si="85"/>
        <v>1.1739799009903686E-2</v>
      </c>
      <c r="CA62">
        <f t="shared" si="86"/>
        <v>13.885791342907281</v>
      </c>
      <c r="CB62">
        <f t="shared" si="246"/>
        <v>3.4973496145494819E-6</v>
      </c>
      <c r="CC62">
        <f t="shared" si="247"/>
        <v>2.9830101583720806E-2</v>
      </c>
      <c r="CD62">
        <f t="shared" si="87"/>
        <v>3479.4141018609439</v>
      </c>
      <c r="CE62">
        <f t="shared" si="248"/>
        <v>2.3201930450740814E-6</v>
      </c>
      <c r="CF62">
        <f t="shared" si="212"/>
        <v>1.2721658336430546E-3</v>
      </c>
      <c r="CG62">
        <f t="shared" si="88"/>
        <v>0.29068855943766508</v>
      </c>
      <c r="CI62">
        <f t="shared" si="89"/>
        <v>11.917516666683332</v>
      </c>
      <c r="CJ62">
        <f t="shared" si="90"/>
        <v>0.22400000000000003</v>
      </c>
      <c r="CK62">
        <f t="shared" si="15"/>
        <v>116641.04100000001</v>
      </c>
      <c r="CL62">
        <f t="shared" si="16"/>
        <v>5.0727245080923336E-3</v>
      </c>
      <c r="CM62">
        <f t="shared" si="91"/>
        <v>4.2009300984071655E-3</v>
      </c>
      <c r="CN62">
        <f t="shared" si="92"/>
        <v>1.1739799009903686E-2</v>
      </c>
      <c r="CO62">
        <f t="shared" si="93"/>
        <v>13.885791342907281</v>
      </c>
      <c r="CP62">
        <f t="shared" si="249"/>
        <v>3.3883960930337159E-6</v>
      </c>
      <c r="CQ62">
        <f t="shared" si="213"/>
        <v>2.8582605943979988E-2</v>
      </c>
      <c r="CR62">
        <f t="shared" si="94"/>
        <v>3333.9049117986137</v>
      </c>
      <c r="CS62">
        <f t="shared" si="214"/>
        <v>2.2711596585486702E-6</v>
      </c>
      <c r="CT62">
        <f t="shared" si="95"/>
        <v>1.2074094958213321E-3</v>
      </c>
      <c r="CU62">
        <f t="shared" si="96"/>
        <v>0.28163268979188522</v>
      </c>
      <c r="CW62">
        <f t="shared" si="97"/>
        <v>13.815210403416346</v>
      </c>
      <c r="CX62">
        <f t="shared" si="98"/>
        <v>0.22400000000000003</v>
      </c>
      <c r="CY62">
        <f t="shared" si="17"/>
        <v>116641.04100000001</v>
      </c>
      <c r="CZ62">
        <f t="shared" si="18"/>
        <v>5.0727245080923336E-3</v>
      </c>
      <c r="DA62">
        <f t="shared" si="99"/>
        <v>4.2009300984071655E-3</v>
      </c>
      <c r="DB62">
        <f t="shared" si="100"/>
        <v>1.1739799009903686E-2</v>
      </c>
      <c r="DC62">
        <f t="shared" si="101"/>
        <v>13.885791342907281</v>
      </c>
      <c r="DD62">
        <f t="shared" si="250"/>
        <v>3.2849751073109885E-6</v>
      </c>
      <c r="DE62">
        <f t="shared" si="215"/>
        <v>2.740618501384938E-2</v>
      </c>
      <c r="DF62">
        <f t="shared" si="102"/>
        <v>3196.6859498539916</v>
      </c>
      <c r="DG62">
        <f t="shared" si="216"/>
        <v>2.2239296607012658E-6</v>
      </c>
      <c r="DH62">
        <f t="shared" si="103"/>
        <v>1.1466832876114131E-3</v>
      </c>
      <c r="DI62">
        <f t="shared" si="104"/>
        <v>0.27303666689777839</v>
      </c>
      <c r="DK62">
        <f t="shared" si="105"/>
        <v>15.712904140149359</v>
      </c>
      <c r="DL62">
        <f t="shared" si="106"/>
        <v>0.22400000000000003</v>
      </c>
      <c r="DM62">
        <f t="shared" si="19"/>
        <v>116641.04100000001</v>
      </c>
      <c r="DN62">
        <f t="shared" si="20"/>
        <v>5.0727245080923336E-3</v>
      </c>
      <c r="DO62">
        <f t="shared" si="107"/>
        <v>4.2009300984071655E-3</v>
      </c>
      <c r="DP62">
        <f t="shared" si="108"/>
        <v>1.1739799009903686E-2</v>
      </c>
      <c r="DQ62">
        <f t="shared" si="109"/>
        <v>13.885791342907281</v>
      </c>
      <c r="DR62">
        <f t="shared" si="251"/>
        <v>3.1867290200210976E-6</v>
      </c>
      <c r="DS62">
        <f t="shared" si="217"/>
        <v>2.629591884521406E-2</v>
      </c>
      <c r="DT62">
        <f t="shared" si="110"/>
        <v>3067.1833481572862</v>
      </c>
      <c r="DU62">
        <f t="shared" si="218"/>
        <v>2.1784165603226447E-6</v>
      </c>
      <c r="DV62">
        <f t="shared" si="111"/>
        <v>1.0896941784359359E-3</v>
      </c>
      <c r="DW62">
        <f t="shared" si="112"/>
        <v>0.26487076507718949</v>
      </c>
      <c r="DY62">
        <f t="shared" si="113"/>
        <v>17.610597876882373</v>
      </c>
      <c r="DZ62">
        <f t="shared" si="114"/>
        <v>0.22400000000000003</v>
      </c>
      <c r="EA62">
        <f t="shared" si="21"/>
        <v>116641.04100000001</v>
      </c>
      <c r="EB62">
        <f t="shared" si="22"/>
        <v>5.0727245080923336E-3</v>
      </c>
      <c r="EC62">
        <f t="shared" si="115"/>
        <v>4.2009300984071655E-3</v>
      </c>
      <c r="ED62">
        <f t="shared" si="116"/>
        <v>1.1739799009903686E-2</v>
      </c>
      <c r="EE62">
        <f t="shared" si="117"/>
        <v>13.885791342907281</v>
      </c>
      <c r="EF62">
        <f t="shared" si="252"/>
        <v>3.0933270929875317E-6</v>
      </c>
      <c r="EG62">
        <f t="shared" si="219"/>
        <v>2.5247276185614856E-2</v>
      </c>
      <c r="EH62">
        <f t="shared" si="118"/>
        <v>2944.8685767046263</v>
      </c>
      <c r="EI62">
        <f t="shared" si="220"/>
        <v>2.1345386351111592E-6</v>
      </c>
      <c r="EJ62">
        <f t="shared" si="119"/>
        <v>1.0361730541462381E-3</v>
      </c>
      <c r="EK62">
        <f t="shared" si="120"/>
        <v>0.25710749442642655</v>
      </c>
      <c r="EM62">
        <f t="shared" si="121"/>
        <v>19.508291613615388</v>
      </c>
      <c r="EN62">
        <f t="shared" si="122"/>
        <v>0.22400000000000003</v>
      </c>
      <c r="EO62">
        <f t="shared" si="23"/>
        <v>116641.04100000001</v>
      </c>
      <c r="EP62">
        <f t="shared" si="24"/>
        <v>5.0727245080923336E-3</v>
      </c>
      <c r="EQ62">
        <f t="shared" si="123"/>
        <v>4.2009300984071655E-3</v>
      </c>
      <c r="ER62">
        <f t="shared" si="124"/>
        <v>1.1739799009903686E-2</v>
      </c>
      <c r="ES62">
        <f t="shared" si="125"/>
        <v>13.885791342907281</v>
      </c>
      <c r="ET62">
        <f t="shared" si="253"/>
        <v>3.0044632372641694E-6</v>
      </c>
      <c r="EU62">
        <f t="shared" si="221"/>
        <v>2.4256080713353129E-2</v>
      </c>
      <c r="EV62">
        <f t="shared" si="126"/>
        <v>2829.2545049855321</v>
      </c>
      <c r="EW62">
        <f t="shared" si="222"/>
        <v>2.0922186497654843E-6</v>
      </c>
      <c r="EX62">
        <f t="shared" si="127"/>
        <v>9.85872590133713E-4</v>
      </c>
      <c r="EY62">
        <f t="shared" si="128"/>
        <v>0.24972141380730939</v>
      </c>
      <c r="FA62">
        <f t="shared" si="129"/>
        <v>21.405985350348402</v>
      </c>
      <c r="FB62">
        <f t="shared" si="130"/>
        <v>0.22400000000000003</v>
      </c>
      <c r="FC62">
        <f t="shared" si="25"/>
        <v>116641.04100000001</v>
      </c>
      <c r="FD62">
        <f t="shared" si="26"/>
        <v>5.0727245080923336E-3</v>
      </c>
      <c r="FE62">
        <f t="shared" si="131"/>
        <v>4.2009300984071655E-3</v>
      </c>
      <c r="FF62">
        <f t="shared" si="132"/>
        <v>1.1739799009903686E-2</v>
      </c>
      <c r="FG62">
        <f t="shared" si="133"/>
        <v>13.885791342907281</v>
      </c>
      <c r="FH62">
        <f t="shared" si="254"/>
        <v>2.9198539667476864E-6</v>
      </c>
      <c r="FI62">
        <f t="shared" si="223"/>
        <v>2.3318480419107182E-2</v>
      </c>
      <c r="FJ62">
        <f t="shared" si="134"/>
        <v>2719.8918306227783</v>
      </c>
      <c r="FK62">
        <f t="shared" si="224"/>
        <v>2.0513835910236985E-6</v>
      </c>
      <c r="FL62">
        <f t="shared" si="135"/>
        <v>9.3856532612273899E-4</v>
      </c>
      <c r="FM62">
        <f t="shared" si="136"/>
        <v>0.24268896075795179</v>
      </c>
      <c r="FO62">
        <f t="shared" si="137"/>
        <v>23.303679087081417</v>
      </c>
      <c r="FP62">
        <f t="shared" si="138"/>
        <v>0.22400000000000003</v>
      </c>
      <c r="FQ62">
        <f t="shared" si="27"/>
        <v>116641.04100000001</v>
      </c>
      <c r="FR62">
        <f t="shared" si="28"/>
        <v>5.0727245080923336E-3</v>
      </c>
      <c r="FS62">
        <f t="shared" si="139"/>
        <v>4.2009300984071655E-3</v>
      </c>
      <c r="FT62">
        <f t="shared" si="140"/>
        <v>1.1739799009903686E-2</v>
      </c>
      <c r="FU62">
        <f t="shared" si="141"/>
        <v>13.885791342907281</v>
      </c>
      <c r="FV62">
        <f t="shared" si="255"/>
        <v>2.8392365358188639E-6</v>
      </c>
      <c r="FW62">
        <f t="shared" si="225"/>
        <v>2.2430919825119678E-2</v>
      </c>
      <c r="FX62">
        <f t="shared" si="142"/>
        <v>2616.3658389894977</v>
      </c>
      <c r="FY62">
        <f t="shared" si="226"/>
        <v>2.0119644186715191E-6</v>
      </c>
      <c r="FZ62">
        <f t="shared" si="143"/>
        <v>8.9404192258759653E-4</v>
      </c>
      <c r="GA62">
        <f t="shared" si="144"/>
        <v>0.23598829669943913</v>
      </c>
      <c r="GC62">
        <f t="shared" si="145"/>
        <v>25.201372823814431</v>
      </c>
      <c r="GD62">
        <f t="shared" si="146"/>
        <v>0.22400000000000003</v>
      </c>
      <c r="GE62">
        <f t="shared" si="29"/>
        <v>116641.04100000001</v>
      </c>
      <c r="GF62">
        <f t="shared" si="30"/>
        <v>5.0727245080923336E-3</v>
      </c>
      <c r="GG62">
        <f t="shared" si="147"/>
        <v>4.2009300984071655E-3</v>
      </c>
      <c r="GH62">
        <f t="shared" si="148"/>
        <v>1.1739799009903686E-2</v>
      </c>
      <c r="GI62">
        <f t="shared" si="149"/>
        <v>13.885791342907281</v>
      </c>
      <c r="GJ62">
        <f t="shared" si="256"/>
        <v>2.7623672434348827E-6</v>
      </c>
      <c r="GK62">
        <f t="shared" si="227"/>
        <v>2.1590114764519372E-2</v>
      </c>
      <c r="GL62">
        <f t="shared" si="150"/>
        <v>2518.2934614430096</v>
      </c>
      <c r="GM62">
        <f t="shared" si="228"/>
        <v>1.9738958315916856E-6</v>
      </c>
      <c r="GN62">
        <f t="shared" si="151"/>
        <v>8.5210958079963255E-4</v>
      </c>
      <c r="GO62">
        <f t="shared" si="152"/>
        <v>0.22959916597738214</v>
      </c>
      <c r="GQ62">
        <f t="shared" si="153"/>
        <v>27.099066560547445</v>
      </c>
      <c r="GR62">
        <f t="shared" si="154"/>
        <v>0.22400000000000003</v>
      </c>
      <c r="GS62">
        <f t="shared" si="31"/>
        <v>116641.04100000001</v>
      </c>
      <c r="GT62">
        <f t="shared" si="32"/>
        <v>5.0727245080923336E-3</v>
      </c>
      <c r="GU62">
        <f t="shared" si="155"/>
        <v>4.2009300984071655E-3</v>
      </c>
      <c r="GV62">
        <f t="shared" si="156"/>
        <v>1.1739799009903686E-2</v>
      </c>
      <c r="GW62">
        <f t="shared" si="157"/>
        <v>13.885791342907281</v>
      </c>
      <c r="GX62">
        <f t="shared" si="257"/>
        <v>2.6890198878512133E-6</v>
      </c>
      <c r="GY62">
        <f t="shared" si="229"/>
        <v>2.0793029471549224E-2</v>
      </c>
      <c r="GZ62">
        <f t="shared" si="158"/>
        <v>2425.3206031051818</v>
      </c>
      <c r="HA62">
        <f t="shared" si="230"/>
        <v>1.9371160479740205E-6</v>
      </c>
      <c r="HB62">
        <f t="shared" si="159"/>
        <v>8.125906103578622E-4</v>
      </c>
      <c r="HC62">
        <f t="shared" si="160"/>
        <v>0.22350276742332292</v>
      </c>
      <c r="HE62">
        <f t="shared" si="161"/>
        <v>28.99676029728046</v>
      </c>
      <c r="HF62">
        <f t="shared" si="162"/>
        <v>0.22400000000000003</v>
      </c>
      <c r="HG62">
        <f t="shared" si="33"/>
        <v>116641.04100000001</v>
      </c>
      <c r="HH62">
        <f t="shared" si="34"/>
        <v>5.0727245080923336E-3</v>
      </c>
      <c r="HI62">
        <f t="shared" si="263"/>
        <v>4.2009300984071655E-3</v>
      </c>
      <c r="HJ62">
        <f t="shared" si="164"/>
        <v>1.1739799009903686E-2</v>
      </c>
      <c r="HK62">
        <f t="shared" si="165"/>
        <v>13.885791342907281</v>
      </c>
      <c r="HL62">
        <f t="shared" si="258"/>
        <v>2.6189843577267273E-6</v>
      </c>
      <c r="HM62">
        <f t="shared" si="231"/>
        <v>2.0036855758733995E-2</v>
      </c>
      <c r="HN62">
        <f t="shared" si="166"/>
        <v>2337.1197140655781</v>
      </c>
      <c r="HO62">
        <f t="shared" si="232"/>
        <v>1.9015665988514469E-6</v>
      </c>
      <c r="HP62">
        <f t="shared" si="167"/>
        <v>7.7532112970888495E-4</v>
      </c>
      <c r="HQ62">
        <f t="shared" si="168"/>
        <v>0.2176816372518795</v>
      </c>
      <c r="HS62">
        <f t="shared" si="169"/>
        <v>30.894454034013478</v>
      </c>
      <c r="HT62">
        <f t="shared" si="170"/>
        <v>0.22400000000000003</v>
      </c>
      <c r="HU62">
        <f t="shared" si="35"/>
        <v>116641.04100000001</v>
      </c>
      <c r="HV62">
        <f t="shared" si="36"/>
        <v>5.0727245080923336E-3</v>
      </c>
      <c r="HW62">
        <f t="shared" si="264"/>
        <v>4.2009300984071655E-3</v>
      </c>
      <c r="HX62">
        <f t="shared" si="172"/>
        <v>1.1739799009903686E-2</v>
      </c>
      <c r="HY62">
        <f t="shared" si="173"/>
        <v>13.885791342907281</v>
      </c>
      <c r="HZ62">
        <f t="shared" si="259"/>
        <v>2.5520653467786409E-6</v>
      </c>
      <c r="IA62">
        <f t="shared" si="233"/>
        <v>1.9318994079649179E-2</v>
      </c>
      <c r="IB62">
        <f t="shared" si="174"/>
        <v>2253.3875805231173</v>
      </c>
      <c r="IC62">
        <f t="shared" si="234"/>
        <v>1.8671921341713592E-6</v>
      </c>
      <c r="ID62">
        <f t="shared" si="175"/>
        <v>7.4014988664135133E-4</v>
      </c>
      <c r="IE62">
        <f t="shared" si="176"/>
        <v>0.21211954222695922</v>
      </c>
      <c r="IG62">
        <f t="shared" si="177"/>
        <v>32.792147770746489</v>
      </c>
      <c r="IH62">
        <f t="shared" si="178"/>
        <v>0.22400000000000003</v>
      </c>
      <c r="II62">
        <f t="shared" si="37"/>
        <v>116641.04100000001</v>
      </c>
      <c r="IJ62">
        <f t="shared" si="38"/>
        <v>5.0727245080923336E-3</v>
      </c>
      <c r="IK62">
        <f t="shared" si="265"/>
        <v>4.2009300984071655E-3</v>
      </c>
      <c r="IL62">
        <f t="shared" si="180"/>
        <v>1.1739799009903686E-2</v>
      </c>
      <c r="IM62">
        <f t="shared" si="181"/>
        <v>13.885791342907281</v>
      </c>
      <c r="IN62">
        <f t="shared" si="260"/>
        <v>2.4880811804217232E-6</v>
      </c>
      <c r="IO62">
        <f t="shared" si="235"/>
        <v>1.8637036296226806E-2</v>
      </c>
      <c r="IP62">
        <f t="shared" si="182"/>
        <v>2173.8433147466794</v>
      </c>
      <c r="IQ62">
        <f t="shared" si="236"/>
        <v>1.8339402406540962E-6</v>
      </c>
      <c r="IR62">
        <f t="shared" si="183"/>
        <v>7.0693718706458337E-4</v>
      </c>
      <c r="IS62">
        <f t="shared" si="184"/>
        <v>0.20680138213574731</v>
      </c>
      <c r="IU62">
        <f t="shared" si="185"/>
        <v>34.689841507479507</v>
      </c>
      <c r="IV62">
        <f t="shared" si="186"/>
        <v>0.22400000000000003</v>
      </c>
      <c r="IW62">
        <f t="shared" si="39"/>
        <v>116641.04100000001</v>
      </c>
      <c r="IX62">
        <f t="shared" si="40"/>
        <v>5.0727245080923336E-3</v>
      </c>
      <c r="IY62">
        <f t="shared" si="266"/>
        <v>4.2009300984071655E-3</v>
      </c>
      <c r="IZ62">
        <f t="shared" si="188"/>
        <v>1.1739799009903686E-2</v>
      </c>
      <c r="JA62">
        <f t="shared" si="189"/>
        <v>13.885791342907281</v>
      </c>
      <c r="JB62">
        <f t="shared" si="261"/>
        <v>2.4268627439642073E-6</v>
      </c>
      <c r="JC62">
        <f t="shared" si="237"/>
        <v>1.7988749987705617E-2</v>
      </c>
      <c r="JD62">
        <f t="shared" si="190"/>
        <v>2098.2265248547205</v>
      </c>
      <c r="JE62">
        <f t="shared" si="238"/>
        <v>1.8017612707311006E-6</v>
      </c>
      <c r="JF62">
        <f t="shared" si="191"/>
        <v>6.7555392156668859E-4</v>
      </c>
      <c r="JG62">
        <f t="shared" si="192"/>
        <v>0.20171310070376533</v>
      </c>
      <c r="JI62">
        <f t="shared" si="193"/>
        <v>36.587535244212518</v>
      </c>
      <c r="JJ62">
        <f t="shared" si="194"/>
        <v>0.22400000000000003</v>
      </c>
      <c r="JK62">
        <f t="shared" si="41"/>
        <v>116641.04100000001</v>
      </c>
      <c r="JL62">
        <f t="shared" si="42"/>
        <v>5.0727245080923336E-3</v>
      </c>
      <c r="JM62">
        <f t="shared" si="267"/>
        <v>4.2009300984071655E-3</v>
      </c>
      <c r="JN62">
        <f t="shared" si="196"/>
        <v>1.1739799009903686E-2</v>
      </c>
      <c r="JO62">
        <f t="shared" si="197"/>
        <v>13.885791342907281</v>
      </c>
      <c r="JP62">
        <f t="shared" si="262"/>
        <v>2.3682525029546495E-6</v>
      </c>
      <c r="JQ62">
        <f t="shared" si="239"/>
        <v>1.7372064154613405E-2</v>
      </c>
      <c r="JR62">
        <f t="shared" si="198"/>
        <v>2026.2956473128927</v>
      </c>
      <c r="JS62">
        <f t="shared" si="240"/>
        <v>1.7706081818939823E-6</v>
      </c>
      <c r="JT62">
        <f t="shared" si="199"/>
        <v>6.4588068031002006E-4</v>
      </c>
      <c r="JU62">
        <f t="shared" si="200"/>
        <v>0.19684160416922242</v>
      </c>
    </row>
    <row r="63" spans="2:281">
      <c r="B63">
        <v>0.28999999999999998</v>
      </c>
      <c r="C63">
        <f t="shared" si="43"/>
        <v>0.55033118365257416</v>
      </c>
      <c r="D63">
        <f t="shared" si="44"/>
        <v>0.23200000000000001</v>
      </c>
      <c r="E63">
        <f t="shared" si="3"/>
        <v>116456.61300000001</v>
      </c>
      <c r="F63">
        <f t="shared" si="4"/>
        <v>5.0754009240239206E-3</v>
      </c>
      <c r="G63">
        <f t="shared" si="45"/>
        <v>4.1998223121401217E-3</v>
      </c>
      <c r="H63">
        <f t="shared" si="46"/>
        <v>1.1758390892288232E-2</v>
      </c>
      <c r="I63">
        <f t="shared" si="47"/>
        <v>13.900447749809505</v>
      </c>
      <c r="J63">
        <f t="shared" si="241"/>
        <v>4.1381301214691543E-6</v>
      </c>
      <c r="K63">
        <f t="shared" si="201"/>
        <v>3.8235717348748172E-2</v>
      </c>
      <c r="L63">
        <f t="shared" si="48"/>
        <v>4452.8021380605524</v>
      </c>
      <c r="M63">
        <f t="shared" si="202"/>
        <v>2.624748884018314E-6</v>
      </c>
      <c r="N63">
        <f t="shared" si="203"/>
        <v>1.6368220176746788E-3</v>
      </c>
      <c r="O63">
        <f t="shared" si="49"/>
        <v>0.34394819401846771</v>
      </c>
      <c r="Q63">
        <f t="shared" si="50"/>
        <v>2.4480249203855888</v>
      </c>
      <c r="R63">
        <f t="shared" si="51"/>
        <v>0.23200000000000001</v>
      </c>
      <c r="S63">
        <f t="shared" si="5"/>
        <v>116456.61300000001</v>
      </c>
      <c r="T63">
        <f t="shared" si="6"/>
        <v>5.0754009240239206E-3</v>
      </c>
      <c r="U63">
        <f t="shared" si="52"/>
        <v>4.1998223121401217E-3</v>
      </c>
      <c r="V63">
        <f t="shared" si="53"/>
        <v>1.1758390892288232E-2</v>
      </c>
      <c r="W63">
        <f t="shared" si="54"/>
        <v>13.900447749809505</v>
      </c>
      <c r="X63">
        <f t="shared" si="242"/>
        <v>3.9951123903703858E-6</v>
      </c>
      <c r="Y63">
        <f t="shared" si="204"/>
        <v>3.6494024406083216E-2</v>
      </c>
      <c r="Z63">
        <f t="shared" si="55"/>
        <v>4249.9704770717881</v>
      </c>
      <c r="AA63">
        <f t="shared" si="205"/>
        <v>2.5642715711421373E-6</v>
      </c>
      <c r="AB63">
        <f t="shared" si="56"/>
        <v>1.5475490899077235E-3</v>
      </c>
      <c r="AC63">
        <f t="shared" si="57"/>
        <v>0.33206101578092689</v>
      </c>
      <c r="AE63">
        <f t="shared" si="58"/>
        <v>4.3457186571186028</v>
      </c>
      <c r="AF63">
        <f t="shared" si="59"/>
        <v>0.23200000000000001</v>
      </c>
      <c r="AG63">
        <f t="shared" si="7"/>
        <v>116456.61300000001</v>
      </c>
      <c r="AH63">
        <f t="shared" si="8"/>
        <v>5.0754009240239206E-3</v>
      </c>
      <c r="AI63">
        <f t="shared" si="60"/>
        <v>4.1998223121401217E-3</v>
      </c>
      <c r="AJ63">
        <f t="shared" si="61"/>
        <v>1.1758390892288232E-2</v>
      </c>
      <c r="AK63">
        <f t="shared" si="62"/>
        <v>13.900447749809505</v>
      </c>
      <c r="AL63">
        <f t="shared" si="243"/>
        <v>3.8599087298408902E-6</v>
      </c>
      <c r="AM63">
        <f t="shared" si="206"/>
        <v>3.4858483398245266E-2</v>
      </c>
      <c r="AN63">
        <f t="shared" si="63"/>
        <v>4059.5009108763743</v>
      </c>
      <c r="AO63">
        <f t="shared" si="207"/>
        <v>2.5061518547643378E-6</v>
      </c>
      <c r="AP63">
        <f t="shared" si="64"/>
        <v>1.4641777001518754E-3</v>
      </c>
      <c r="AQ63">
        <f t="shared" si="65"/>
        <v>0.32082331819801568</v>
      </c>
      <c r="AS63">
        <f t="shared" si="66"/>
        <v>6.2434123938516173</v>
      </c>
      <c r="AT63">
        <f t="shared" si="67"/>
        <v>0.23200000000000001</v>
      </c>
      <c r="AU63">
        <f t="shared" si="9"/>
        <v>116456.61300000001</v>
      </c>
      <c r="AV63">
        <f t="shared" si="10"/>
        <v>5.0754009240239206E-3</v>
      </c>
      <c r="AW63">
        <f t="shared" si="68"/>
        <v>4.1998223121401217E-3</v>
      </c>
      <c r="AX63">
        <f t="shared" si="69"/>
        <v>1.1758390892288232E-2</v>
      </c>
      <c r="AY63">
        <f t="shared" si="70"/>
        <v>13.900447749809505</v>
      </c>
      <c r="AZ63">
        <f t="shared" si="244"/>
        <v>3.7319849314352408E-6</v>
      </c>
      <c r="BA63">
        <f t="shared" si="208"/>
        <v>3.3321344043609938E-2</v>
      </c>
      <c r="BB63">
        <f t="shared" si="71"/>
        <v>3880.4908679265382</v>
      </c>
      <c r="BC63">
        <f t="shared" si="209"/>
        <v>2.4502725450667364E-6</v>
      </c>
      <c r="BD63">
        <f t="shared" si="72"/>
        <v>1.3862568151486489E-3</v>
      </c>
      <c r="BE63">
        <f t="shared" si="73"/>
        <v>0.31019069956542794</v>
      </c>
      <c r="BG63">
        <f t="shared" si="74"/>
        <v>8.1411061305846317</v>
      </c>
      <c r="BH63">
        <f t="shared" si="75"/>
        <v>0.23200000000000001</v>
      </c>
      <c r="BI63">
        <f t="shared" si="11"/>
        <v>116456.61300000001</v>
      </c>
      <c r="BJ63">
        <f t="shared" si="12"/>
        <v>5.0754009240239206E-3</v>
      </c>
      <c r="BK63">
        <f t="shared" si="76"/>
        <v>4.1998223121401217E-3</v>
      </c>
      <c r="BL63">
        <f t="shared" si="77"/>
        <v>1.1758390892288232E-2</v>
      </c>
      <c r="BM63">
        <f t="shared" si="78"/>
        <v>13.900447749809505</v>
      </c>
      <c r="BN63">
        <f t="shared" si="245"/>
        <v>3.6108488016046245E-6</v>
      </c>
      <c r="BO63">
        <f t="shared" si="210"/>
        <v>3.1875494985559645E-2</v>
      </c>
      <c r="BP63">
        <f t="shared" si="79"/>
        <v>3712.1121837167607</v>
      </c>
      <c r="BQ63">
        <f t="shared" si="211"/>
        <v>2.3965230324662645E-6</v>
      </c>
      <c r="BR63">
        <f t="shared" si="80"/>
        <v>1.3133737265722985E-3</v>
      </c>
      <c r="BS63">
        <f t="shared" si="81"/>
        <v>0.30012225032322887</v>
      </c>
      <c r="BU63">
        <f t="shared" si="82"/>
        <v>10.038799867317646</v>
      </c>
      <c r="BV63">
        <f t="shared" si="83"/>
        <v>0.23200000000000001</v>
      </c>
      <c r="BW63">
        <f t="shared" si="13"/>
        <v>116456.61300000001</v>
      </c>
      <c r="BX63">
        <f t="shared" si="14"/>
        <v>5.0754009240239206E-3</v>
      </c>
      <c r="BY63">
        <f t="shared" si="84"/>
        <v>4.1998223121401217E-3</v>
      </c>
      <c r="BZ63">
        <f t="shared" si="85"/>
        <v>1.1758390892288232E-2</v>
      </c>
      <c r="CA63">
        <f t="shared" si="86"/>
        <v>13.900447749809505</v>
      </c>
      <c r="CB63">
        <f t="shared" si="246"/>
        <v>3.4960465184494662E-6</v>
      </c>
      <c r="CC63">
        <f t="shared" si="247"/>
        <v>3.0514406376799457E-2</v>
      </c>
      <c r="CD63">
        <f t="shared" si="87"/>
        <v>3553.604414347667</v>
      </c>
      <c r="CE63">
        <f t="shared" si="248"/>
        <v>2.3447988980254694E-6</v>
      </c>
      <c r="CF63">
        <f t="shared" si="212"/>
        <v>1.2451505319833796E-3</v>
      </c>
      <c r="CG63">
        <f t="shared" si="88"/>
        <v>0.2905802502407388</v>
      </c>
      <c r="CI63">
        <f t="shared" si="89"/>
        <v>11.936493604050661</v>
      </c>
      <c r="CJ63">
        <f t="shared" si="90"/>
        <v>0.23200000000000001</v>
      </c>
      <c r="CK63">
        <f t="shared" si="15"/>
        <v>116456.61300000001</v>
      </c>
      <c r="CL63">
        <f t="shared" si="16"/>
        <v>5.0754009240239206E-3</v>
      </c>
      <c r="CM63">
        <f t="shared" si="91"/>
        <v>4.1998223121401217E-3</v>
      </c>
      <c r="CN63">
        <f t="shared" si="92"/>
        <v>1.1758390892288232E-2</v>
      </c>
      <c r="CO63">
        <f t="shared" si="93"/>
        <v>13.900447749809505</v>
      </c>
      <c r="CP63">
        <f t="shared" si="249"/>
        <v>3.3871593276973752E-6</v>
      </c>
      <c r="CQ63">
        <f t="shared" si="213"/>
        <v>2.9232077957257657E-2</v>
      </c>
      <c r="CR63">
        <f t="shared" si="94"/>
        <v>3404.2687898541858</v>
      </c>
      <c r="CS63">
        <f t="shared" si="214"/>
        <v>2.2950015468686106E-6</v>
      </c>
      <c r="CT63">
        <f t="shared" si="95"/>
        <v>1.1812409577948845E-3</v>
      </c>
      <c r="CU63">
        <f t="shared" si="96"/>
        <v>0.28152989379674431</v>
      </c>
      <c r="CW63">
        <f t="shared" si="97"/>
        <v>13.834187340783675</v>
      </c>
      <c r="CX63">
        <f t="shared" si="98"/>
        <v>0.23200000000000001</v>
      </c>
      <c r="CY63">
        <f t="shared" si="17"/>
        <v>116456.61300000001</v>
      </c>
      <c r="CZ63">
        <f t="shared" si="18"/>
        <v>5.0754009240239206E-3</v>
      </c>
      <c r="DA63">
        <f t="shared" si="99"/>
        <v>4.1998223121401217E-3</v>
      </c>
      <c r="DB63">
        <f t="shared" si="100"/>
        <v>1.1758390892288232E-2</v>
      </c>
      <c r="DC63">
        <f t="shared" si="101"/>
        <v>13.900447749809505</v>
      </c>
      <c r="DD63">
        <f t="shared" si="250"/>
        <v>3.2838005446238576E-6</v>
      </c>
      <c r="DE63">
        <f t="shared" si="215"/>
        <v>2.8022992075558164E-2</v>
      </c>
      <c r="DF63">
        <f t="shared" si="102"/>
        <v>3263.462743245344</v>
      </c>
      <c r="DG63">
        <f t="shared" si="216"/>
        <v>2.2470378633346382E-6</v>
      </c>
      <c r="DH63">
        <f t="shared" si="103"/>
        <v>1.1213274896258612E-3</v>
      </c>
      <c r="DI63">
        <f t="shared" si="104"/>
        <v>0.27293904098869831</v>
      </c>
      <c r="DK63">
        <f t="shared" si="105"/>
        <v>15.731881077516688</v>
      </c>
      <c r="DL63">
        <f t="shared" si="106"/>
        <v>0.23200000000000001</v>
      </c>
      <c r="DM63">
        <f t="shared" si="19"/>
        <v>116456.61300000001</v>
      </c>
      <c r="DN63">
        <f t="shared" si="20"/>
        <v>5.0754009240239206E-3</v>
      </c>
      <c r="DO63">
        <f t="shared" si="107"/>
        <v>4.1998223121401217E-3</v>
      </c>
      <c r="DP63">
        <f t="shared" si="108"/>
        <v>1.1758390892288232E-2</v>
      </c>
      <c r="DQ63">
        <f t="shared" si="109"/>
        <v>13.900447749809505</v>
      </c>
      <c r="DR63">
        <f t="shared" si="251"/>
        <v>3.1856128320237644E-6</v>
      </c>
      <c r="DS63">
        <f t="shared" si="217"/>
        <v>2.6882071160874221E-2</v>
      </c>
      <c r="DT63">
        <f t="shared" si="110"/>
        <v>3130.5949578203904</v>
      </c>
      <c r="DU63">
        <f t="shared" si="218"/>
        <v>2.2008198866568335E-6</v>
      </c>
      <c r="DV63">
        <f t="shared" si="111"/>
        <v>1.0651187790212382E-3</v>
      </c>
      <c r="DW63">
        <f t="shared" si="112"/>
        <v>0.26477799108637756</v>
      </c>
      <c r="DY63">
        <f t="shared" si="113"/>
        <v>17.629574814249704</v>
      </c>
      <c r="DZ63">
        <f t="shared" si="114"/>
        <v>0.23200000000000001</v>
      </c>
      <c r="EA63">
        <f t="shared" si="21"/>
        <v>116456.61300000001</v>
      </c>
      <c r="EB63">
        <f t="shared" si="22"/>
        <v>5.0754009240239206E-3</v>
      </c>
      <c r="EC63">
        <f t="shared" si="115"/>
        <v>4.1998223121401217E-3</v>
      </c>
      <c r="ED63">
        <f t="shared" si="116"/>
        <v>1.1758390892288232E-2</v>
      </c>
      <c r="EE63">
        <f t="shared" si="117"/>
        <v>13.900447749809505</v>
      </c>
      <c r="EF63">
        <f t="shared" si="252"/>
        <v>3.0922657273777253E-6</v>
      </c>
      <c r="EG63">
        <f t="shared" si="219"/>
        <v>2.5804639202809541E-2</v>
      </c>
      <c r="EH63">
        <f t="shared" si="118"/>
        <v>3005.1208812462196</v>
      </c>
      <c r="EI63">
        <f t="shared" si="220"/>
        <v>2.1562645060156847E-6</v>
      </c>
      <c r="EJ63">
        <f t="shared" si="119"/>
        <v>1.0123472987390897E-3</v>
      </c>
      <c r="EK63">
        <f t="shared" si="120"/>
        <v>0.25701927709783351</v>
      </c>
      <c r="EM63">
        <f t="shared" si="121"/>
        <v>19.527268550982718</v>
      </c>
      <c r="EN63">
        <f t="shared" si="122"/>
        <v>0.23200000000000001</v>
      </c>
      <c r="EO63">
        <f t="shared" si="23"/>
        <v>116456.61300000001</v>
      </c>
      <c r="EP63">
        <f t="shared" si="24"/>
        <v>5.0754009240239206E-3</v>
      </c>
      <c r="EQ63">
        <f t="shared" si="123"/>
        <v>4.1998223121401217E-3</v>
      </c>
      <c r="ER63">
        <f t="shared" si="124"/>
        <v>1.1758390892288232E-2</v>
      </c>
      <c r="ES63">
        <f t="shared" si="125"/>
        <v>13.900447749809505</v>
      </c>
      <c r="ET63">
        <f t="shared" si="253"/>
        <v>3.0034533950774499E-6</v>
      </c>
      <c r="EU63">
        <f t="shared" si="221"/>
        <v>2.478638684243812E-2</v>
      </c>
      <c r="EV63">
        <f t="shared" si="126"/>
        <v>2886.5386601781083</v>
      </c>
      <c r="EW63">
        <f t="shared" si="222"/>
        <v>2.1132931738666022E-6</v>
      </c>
      <c r="EX63">
        <f t="shared" si="127"/>
        <v>9.6276722168851879E-4</v>
      </c>
      <c r="EY63">
        <f t="shared" si="128"/>
        <v>0.24963747894151969</v>
      </c>
      <c r="FA63">
        <f t="shared" si="129"/>
        <v>21.424962287715733</v>
      </c>
      <c r="FB63">
        <f t="shared" si="130"/>
        <v>0.23200000000000001</v>
      </c>
      <c r="FC63">
        <f t="shared" si="25"/>
        <v>116456.61300000001</v>
      </c>
      <c r="FD63">
        <f t="shared" si="26"/>
        <v>5.0754009240239206E-3</v>
      </c>
      <c r="FE63">
        <f t="shared" si="131"/>
        <v>4.1998223121401217E-3</v>
      </c>
      <c r="FF63">
        <f t="shared" si="132"/>
        <v>1.1758390892288232E-2</v>
      </c>
      <c r="FG63">
        <f t="shared" si="133"/>
        <v>13.900447749809505</v>
      </c>
      <c r="FH63">
        <f t="shared" si="254"/>
        <v>2.9188925820101493E-6</v>
      </c>
      <c r="FI63">
        <f t="shared" si="223"/>
        <v>2.3823339718341819E-2</v>
      </c>
      <c r="FJ63">
        <f t="shared" si="134"/>
        <v>2774.3854539464623</v>
      </c>
      <c r="FK63">
        <f t="shared" si="224"/>
        <v>2.0718316364975478E-6</v>
      </c>
      <c r="FL63">
        <f t="shared" si="135"/>
        <v>9.1615250117860366E-4</v>
      </c>
      <c r="FM63">
        <f t="shared" si="136"/>
        <v>0.24260905352098086</v>
      </c>
      <c r="FO63">
        <f t="shared" si="137"/>
        <v>23.322656024448747</v>
      </c>
      <c r="FP63">
        <f t="shared" si="138"/>
        <v>0.23200000000000001</v>
      </c>
      <c r="FQ63">
        <f t="shared" si="27"/>
        <v>116456.61300000001</v>
      </c>
      <c r="FR63">
        <f t="shared" si="28"/>
        <v>5.0754009240239206E-3</v>
      </c>
      <c r="FS63">
        <f t="shared" si="139"/>
        <v>4.1998223121401217E-3</v>
      </c>
      <c r="FT63">
        <f t="shared" si="140"/>
        <v>1.1758390892288232E-2</v>
      </c>
      <c r="FU63">
        <f t="shared" si="141"/>
        <v>13.900447749809505</v>
      </c>
      <c r="FV63">
        <f t="shared" si="255"/>
        <v>2.8383207569858179E-6</v>
      </c>
      <c r="FW63">
        <f t="shared" si="225"/>
        <v>2.2911829747914902E-2</v>
      </c>
      <c r="FX63">
        <f t="shared" si="142"/>
        <v>2668.2340900748136</v>
      </c>
      <c r="FY63">
        <f t="shared" si="226"/>
        <v>2.0318096808232336E-6</v>
      </c>
      <c r="FZ63">
        <f t="shared" si="143"/>
        <v>8.7229513244464264E-4</v>
      </c>
      <c r="GA63">
        <f t="shared" si="144"/>
        <v>0.23591218007997558</v>
      </c>
      <c r="GC63">
        <f t="shared" si="145"/>
        <v>25.220349761181762</v>
      </c>
      <c r="GD63">
        <f t="shared" si="146"/>
        <v>0.23200000000000001</v>
      </c>
      <c r="GE63">
        <f t="shared" si="29"/>
        <v>116456.61300000001</v>
      </c>
      <c r="GF63">
        <f t="shared" si="30"/>
        <v>5.0754009240239206E-3</v>
      </c>
      <c r="GG63">
        <f t="shared" si="147"/>
        <v>4.1998223121401217E-3</v>
      </c>
      <c r="GH63">
        <f t="shared" si="148"/>
        <v>1.1758390892288232E-2</v>
      </c>
      <c r="GI63">
        <f t="shared" si="149"/>
        <v>13.900447749809505</v>
      </c>
      <c r="GJ63">
        <f t="shared" si="256"/>
        <v>2.761494416447896E-6</v>
      </c>
      <c r="GK63">
        <f t="shared" si="227"/>
        <v>2.2048469056820775E-2</v>
      </c>
      <c r="GL63">
        <f t="shared" si="150"/>
        <v>2567.6900281926523</v>
      </c>
      <c r="GM63">
        <f t="shared" si="228"/>
        <v>1.9931608964725998E-6</v>
      </c>
      <c r="GN63">
        <f t="shared" si="151"/>
        <v>8.3100357748019493E-4</v>
      </c>
      <c r="GO63">
        <f t="shared" si="152"/>
        <v>0.22952661937854343</v>
      </c>
      <c r="GQ63">
        <f t="shared" si="153"/>
        <v>27.118043497914776</v>
      </c>
      <c r="GR63">
        <f t="shared" si="154"/>
        <v>0.23200000000000001</v>
      </c>
      <c r="GS63">
        <f t="shared" si="31"/>
        <v>116456.61300000001</v>
      </c>
      <c r="GT63">
        <f t="shared" si="32"/>
        <v>5.0754009240239206E-3</v>
      </c>
      <c r="GU63">
        <f t="shared" si="155"/>
        <v>4.1998223121401217E-3</v>
      </c>
      <c r="GV63">
        <f t="shared" si="156"/>
        <v>1.1758390892288232E-2</v>
      </c>
      <c r="GW63">
        <f t="shared" si="157"/>
        <v>13.900447749809505</v>
      </c>
      <c r="GX63">
        <f t="shared" si="257"/>
        <v>2.6881875406624552E-6</v>
      </c>
      <c r="GY63">
        <f t="shared" si="229"/>
        <v>2.1230126298687143E-2</v>
      </c>
      <c r="GZ63">
        <f t="shared" si="158"/>
        <v>2472.3886023073314</v>
      </c>
      <c r="HA63">
        <f t="shared" si="230"/>
        <v>1.955822452274515E-6</v>
      </c>
      <c r="HB63">
        <f t="shared" si="159"/>
        <v>7.9210133704897491E-4</v>
      </c>
      <c r="HC63">
        <f t="shared" si="160"/>
        <v>0.22343358537636784</v>
      </c>
      <c r="HE63">
        <f t="shared" si="161"/>
        <v>29.015737234647791</v>
      </c>
      <c r="HF63">
        <f t="shared" si="162"/>
        <v>0.23200000000000001</v>
      </c>
      <c r="HG63">
        <f t="shared" si="33"/>
        <v>116456.61300000001</v>
      </c>
      <c r="HH63">
        <f t="shared" si="34"/>
        <v>5.0754009240239206E-3</v>
      </c>
      <c r="HI63">
        <f t="shared" si="263"/>
        <v>4.1998223121401217E-3</v>
      </c>
      <c r="HJ63">
        <f t="shared" si="164"/>
        <v>1.1758390892288232E-2</v>
      </c>
      <c r="HK63">
        <f t="shared" si="165"/>
        <v>13.900447749809505</v>
      </c>
      <c r="HL63">
        <f t="shared" si="258"/>
        <v>2.6181901861543857E-6</v>
      </c>
      <c r="HM63">
        <f t="shared" si="231"/>
        <v>2.0453905133276357E-2</v>
      </c>
      <c r="HN63">
        <f t="shared" si="166"/>
        <v>2381.9925144446784</v>
      </c>
      <c r="HO63">
        <f t="shared" si="232"/>
        <v>1.9197348862931887E-6</v>
      </c>
      <c r="HP63">
        <f t="shared" si="167"/>
        <v>7.5542565540199103E-4</v>
      </c>
      <c r="HQ63">
        <f t="shared" si="168"/>
        <v>0.21761562824055564</v>
      </c>
      <c r="HS63">
        <f t="shared" si="169"/>
        <v>30.913430971380805</v>
      </c>
      <c r="HT63">
        <f t="shared" si="170"/>
        <v>0.23200000000000001</v>
      </c>
      <c r="HU63">
        <f t="shared" si="35"/>
        <v>116456.61300000001</v>
      </c>
      <c r="HV63">
        <f t="shared" si="36"/>
        <v>5.0754009240239206E-3</v>
      </c>
      <c r="HW63">
        <f t="shared" si="264"/>
        <v>4.1998223121401217E-3</v>
      </c>
      <c r="HX63">
        <f t="shared" si="172"/>
        <v>1.1758390892288232E-2</v>
      </c>
      <c r="HY63">
        <f t="shared" si="173"/>
        <v>13.900447749809505</v>
      </c>
      <c r="HZ63">
        <f t="shared" si="259"/>
        <v>2.5513072015705218E-6</v>
      </c>
      <c r="IA63">
        <f t="shared" si="233"/>
        <v>1.9717124654791918E-2</v>
      </c>
      <c r="IB63">
        <f t="shared" si="174"/>
        <v>2296.1895553958611</v>
      </c>
      <c r="IC63">
        <f t="shared" si="234"/>
        <v>1.8848419086095848E-6</v>
      </c>
      <c r="ID63">
        <f t="shared" si="175"/>
        <v>7.2082634470344595E-4</v>
      </c>
      <c r="IE63">
        <f t="shared" si="176"/>
        <v>0.21205652761227045</v>
      </c>
      <c r="IG63">
        <f t="shared" si="177"/>
        <v>32.811124708113816</v>
      </c>
      <c r="IH63">
        <f t="shared" si="178"/>
        <v>0.23200000000000001</v>
      </c>
      <c r="II63">
        <f t="shared" si="37"/>
        <v>116456.61300000001</v>
      </c>
      <c r="IJ63">
        <f t="shared" si="38"/>
        <v>5.0754009240239206E-3</v>
      </c>
      <c r="IK63">
        <f t="shared" si="265"/>
        <v>4.1998223121401217E-3</v>
      </c>
      <c r="IL63">
        <f t="shared" si="180"/>
        <v>1.1758390892288232E-2</v>
      </c>
      <c r="IM63">
        <f t="shared" si="181"/>
        <v>13.900447749809505</v>
      </c>
      <c r="IN63">
        <f t="shared" si="260"/>
        <v>2.4873570554161162E-6</v>
      </c>
      <c r="IO63">
        <f t="shared" si="235"/>
        <v>1.9017301582968913E-2</v>
      </c>
      <c r="IP63">
        <f t="shared" si="182"/>
        <v>2214.6905307520983</v>
      </c>
      <c r="IQ63">
        <f t="shared" si="236"/>
        <v>1.8510902160882136E-6</v>
      </c>
      <c r="IR63">
        <f t="shared" si="183"/>
        <v>6.881647174920907E-4</v>
      </c>
      <c r="IS63">
        <f t="shared" si="184"/>
        <v>0.20674119517192277</v>
      </c>
      <c r="IU63">
        <f t="shared" si="185"/>
        <v>34.708818444846834</v>
      </c>
      <c r="IV63">
        <f t="shared" si="186"/>
        <v>0.23200000000000001</v>
      </c>
      <c r="IW63">
        <f t="shared" si="39"/>
        <v>116456.61300000001</v>
      </c>
      <c r="IX63">
        <f t="shared" si="40"/>
        <v>5.0754009240239206E-3</v>
      </c>
      <c r="IY63">
        <f t="shared" si="266"/>
        <v>4.1998223121401217E-3</v>
      </c>
      <c r="IZ63">
        <f t="shared" si="188"/>
        <v>1.1758390892288232E-2</v>
      </c>
      <c r="JA63">
        <f t="shared" si="189"/>
        <v>13.900447749809505</v>
      </c>
      <c r="JB63">
        <f t="shared" si="261"/>
        <v>2.4261707652478612E-6</v>
      </c>
      <c r="JC63">
        <f t="shared" si="237"/>
        <v>1.8352134048404131E-2</v>
      </c>
      <c r="JD63">
        <f t="shared" si="190"/>
        <v>2137.2273725991231</v>
      </c>
      <c r="JE63">
        <f t="shared" si="238"/>
        <v>1.8184293184100822E-6</v>
      </c>
      <c r="JF63">
        <f t="shared" si="191"/>
        <v>6.5731261668945814E-4</v>
      </c>
      <c r="JG63">
        <f t="shared" si="192"/>
        <v>0.20165558563710476</v>
      </c>
      <c r="JI63">
        <f t="shared" si="193"/>
        <v>36.606512181579845</v>
      </c>
      <c r="JJ63">
        <f t="shared" si="194"/>
        <v>0.23200000000000001</v>
      </c>
      <c r="JK63">
        <f t="shared" si="41"/>
        <v>116456.61300000001</v>
      </c>
      <c r="JL63">
        <f t="shared" si="42"/>
        <v>5.0754009240239206E-3</v>
      </c>
      <c r="JM63">
        <f t="shared" si="267"/>
        <v>4.1998223121401217E-3</v>
      </c>
      <c r="JN63">
        <f t="shared" si="196"/>
        <v>1.1758390892288232E-2</v>
      </c>
      <c r="JO63">
        <f t="shared" si="197"/>
        <v>13.900447749809505</v>
      </c>
      <c r="JP63">
        <f t="shared" si="262"/>
        <v>2.3675909189273709E-6</v>
      </c>
      <c r="JQ63">
        <f t="shared" si="239"/>
        <v>1.7719486820436246E-2</v>
      </c>
      <c r="JR63">
        <f t="shared" si="198"/>
        <v>2063.5514192061446</v>
      </c>
      <c r="JS63">
        <f t="shared" si="240"/>
        <v>1.7868113746920019E-6</v>
      </c>
      <c r="JT63">
        <f t="shared" si="199"/>
        <v>6.2815153372773114E-4</v>
      </c>
      <c r="JU63">
        <f t="shared" si="200"/>
        <v>0.19678661541229733</v>
      </c>
    </row>
    <row r="64" spans="2:281">
      <c r="B64">
        <v>0.3</v>
      </c>
      <c r="C64">
        <f t="shared" si="43"/>
        <v>0.56930812101990436</v>
      </c>
      <c r="D64">
        <f t="shared" si="44"/>
        <v>0.24000000000000002</v>
      </c>
      <c r="E64">
        <f t="shared" si="3"/>
        <v>116272.18500000001</v>
      </c>
      <c r="F64">
        <f t="shared" si="4"/>
        <v>5.078082997317203E-3</v>
      </c>
      <c r="G64">
        <f t="shared" si="45"/>
        <v>4.1987130629405544E-3</v>
      </c>
      <c r="H64">
        <f t="shared" si="46"/>
        <v>1.1777041754620292E-2</v>
      </c>
      <c r="I64">
        <f t="shared" si="47"/>
        <v>13.915142892515394</v>
      </c>
      <c r="J64">
        <f t="shared" si="241"/>
        <v>4.1364535032710816E-6</v>
      </c>
      <c r="K64">
        <f t="shared" si="201"/>
        <v>3.9116172649849901E-2</v>
      </c>
      <c r="L64">
        <f t="shared" si="48"/>
        <v>4548.1228628352883</v>
      </c>
      <c r="M64">
        <f t="shared" si="202"/>
        <v>2.6526939999753872E-6</v>
      </c>
      <c r="N64">
        <f t="shared" si="203"/>
        <v>1.6060563804938426E-3</v>
      </c>
      <c r="O64">
        <f t="shared" si="49"/>
        <v>0.3438088388545753</v>
      </c>
      <c r="Q64">
        <f t="shared" si="50"/>
        <v>2.4670018577529187</v>
      </c>
      <c r="R64">
        <f t="shared" si="51"/>
        <v>0.24000000000000002</v>
      </c>
      <c r="S64">
        <f t="shared" si="5"/>
        <v>116272.18500000001</v>
      </c>
      <c r="T64">
        <f t="shared" si="6"/>
        <v>5.078082997317203E-3</v>
      </c>
      <c r="U64">
        <f t="shared" si="52"/>
        <v>4.1987130629405544E-3</v>
      </c>
      <c r="V64">
        <f t="shared" si="53"/>
        <v>1.1777041754620292E-2</v>
      </c>
      <c r="W64">
        <f t="shared" si="54"/>
        <v>13.915142892515394</v>
      </c>
      <c r="X64">
        <f t="shared" si="242"/>
        <v>3.9935272155996825E-6</v>
      </c>
      <c r="Y64">
        <f t="shared" si="204"/>
        <v>3.7326459322776277E-2</v>
      </c>
      <c r="Z64">
        <f t="shared" si="55"/>
        <v>4340.0289837728187</v>
      </c>
      <c r="AA64">
        <f t="shared" si="205"/>
        <v>2.5912980958156254E-6</v>
      </c>
      <c r="AB64">
        <f t="shared" si="56"/>
        <v>1.5178059650106537E-3</v>
      </c>
      <c r="AC64">
        <f t="shared" si="57"/>
        <v>0.33192926110343179</v>
      </c>
      <c r="AE64">
        <f t="shared" si="58"/>
        <v>4.3646955944859327</v>
      </c>
      <c r="AF64">
        <f t="shared" si="59"/>
        <v>0.24000000000000002</v>
      </c>
      <c r="AG64">
        <f t="shared" si="7"/>
        <v>116272.18500000001</v>
      </c>
      <c r="AH64">
        <f t="shared" si="8"/>
        <v>5.078082997317203E-3</v>
      </c>
      <c r="AI64">
        <f t="shared" si="60"/>
        <v>4.1987130629405544E-3</v>
      </c>
      <c r="AJ64">
        <f t="shared" si="61"/>
        <v>1.1777041754620292E-2</v>
      </c>
      <c r="AK64">
        <f t="shared" si="62"/>
        <v>13.915142892515394</v>
      </c>
      <c r="AL64">
        <f t="shared" si="243"/>
        <v>3.858408953474994E-6</v>
      </c>
      <c r="AM64">
        <f t="shared" si="206"/>
        <v>3.5646072399329834E-2</v>
      </c>
      <c r="AN64">
        <f t="shared" si="63"/>
        <v>4144.6467245382728</v>
      </c>
      <c r="AO64">
        <f t="shared" si="207"/>
        <v>2.5322980486396882E-6</v>
      </c>
      <c r="AP64">
        <f t="shared" si="64"/>
        <v>1.4354138087894438E-3</v>
      </c>
      <c r="AQ64">
        <f t="shared" si="65"/>
        <v>0.32069866156389842</v>
      </c>
      <c r="AS64">
        <f t="shared" si="66"/>
        <v>6.2623893312189471</v>
      </c>
      <c r="AT64">
        <f t="shared" si="67"/>
        <v>0.24000000000000002</v>
      </c>
      <c r="AU64">
        <f t="shared" si="9"/>
        <v>116272.18500000001</v>
      </c>
      <c r="AV64">
        <f t="shared" si="10"/>
        <v>5.078082997317203E-3</v>
      </c>
      <c r="AW64">
        <f t="shared" si="68"/>
        <v>4.1987130629405544E-3</v>
      </c>
      <c r="AX64">
        <f t="shared" si="69"/>
        <v>1.1777041754620292E-2</v>
      </c>
      <c r="AY64">
        <f t="shared" si="70"/>
        <v>13.915142892515394</v>
      </c>
      <c r="AZ64">
        <f t="shared" si="244"/>
        <v>3.7305649704508558E-6</v>
      </c>
      <c r="BA64">
        <f t="shared" si="208"/>
        <v>3.406701898468871E-2</v>
      </c>
      <c r="BB64">
        <f t="shared" si="71"/>
        <v>3961.0467337862383</v>
      </c>
      <c r="BC64">
        <f t="shared" si="209"/>
        <v>2.4755747487716199E-6</v>
      </c>
      <c r="BD64">
        <f t="shared" si="72"/>
        <v>1.3584310991830854E-3</v>
      </c>
      <c r="BE64">
        <f t="shared" si="73"/>
        <v>0.31007267693157647</v>
      </c>
      <c r="BG64">
        <f t="shared" si="74"/>
        <v>8.1600830679519625</v>
      </c>
      <c r="BH64">
        <f t="shared" si="75"/>
        <v>0.24000000000000002</v>
      </c>
      <c r="BI64">
        <f t="shared" si="11"/>
        <v>116272.18500000001</v>
      </c>
      <c r="BJ64">
        <f t="shared" si="12"/>
        <v>5.078082997317203E-3</v>
      </c>
      <c r="BK64">
        <f t="shared" si="76"/>
        <v>4.1987130629405544E-3</v>
      </c>
      <c r="BL64">
        <f t="shared" si="77"/>
        <v>1.1777041754620292E-2</v>
      </c>
      <c r="BM64">
        <f t="shared" si="78"/>
        <v>13.915142892515394</v>
      </c>
      <c r="BN64">
        <f t="shared" si="245"/>
        <v>3.6095034957209894E-6</v>
      </c>
      <c r="BO64">
        <f t="shared" si="210"/>
        <v>3.2581965724223776E-2</v>
      </c>
      <c r="BP64">
        <f t="shared" si="79"/>
        <v>3788.3763463506061</v>
      </c>
      <c r="BQ64">
        <f t="shared" si="211"/>
        <v>2.4210157743877124E-6</v>
      </c>
      <c r="BR64">
        <f t="shared" si="80"/>
        <v>1.286447219880419E-3</v>
      </c>
      <c r="BS64">
        <f t="shared" si="81"/>
        <v>0.30001043278354395</v>
      </c>
      <c r="BU64">
        <f t="shared" si="82"/>
        <v>10.057776804684977</v>
      </c>
      <c r="BV64">
        <f t="shared" si="83"/>
        <v>0.24000000000000002</v>
      </c>
      <c r="BW64">
        <f t="shared" si="13"/>
        <v>116272.18500000001</v>
      </c>
      <c r="BX64">
        <f t="shared" si="14"/>
        <v>5.078082997317203E-3</v>
      </c>
      <c r="BY64">
        <f t="shared" si="84"/>
        <v>4.1987130629405544E-3</v>
      </c>
      <c r="BZ64">
        <f t="shared" si="85"/>
        <v>1.1777041754620292E-2</v>
      </c>
      <c r="CA64">
        <f t="shared" si="86"/>
        <v>13.915142892515394</v>
      </c>
      <c r="CB64">
        <f t="shared" si="246"/>
        <v>3.4947710944762302E-6</v>
      </c>
      <c r="CC64">
        <f t="shared" si="247"/>
        <v>3.1184179494900516E-2</v>
      </c>
      <c r="CD64">
        <f t="shared" si="87"/>
        <v>3625.8526873042797</v>
      </c>
      <c r="CE64">
        <f t="shared" si="248"/>
        <v>2.3685149956000628E-6</v>
      </c>
      <c r="CF64">
        <f t="shared" si="212"/>
        <v>1.2190862398201575E-3</v>
      </c>
      <c r="CG64">
        <f t="shared" si="88"/>
        <v>0.29047424106284309</v>
      </c>
      <c r="CI64">
        <f t="shared" si="89"/>
        <v>11.955470541417991</v>
      </c>
      <c r="CJ64">
        <f t="shared" si="90"/>
        <v>0.24000000000000002</v>
      </c>
      <c r="CK64">
        <f t="shared" si="15"/>
        <v>116272.18500000001</v>
      </c>
      <c r="CL64">
        <f t="shared" si="16"/>
        <v>5.078082997317203E-3</v>
      </c>
      <c r="CM64">
        <f t="shared" si="91"/>
        <v>4.1987130629405544E-3</v>
      </c>
      <c r="CN64">
        <f t="shared" si="92"/>
        <v>1.1777041754620292E-2</v>
      </c>
      <c r="CO64">
        <f t="shared" si="93"/>
        <v>13.915142892515394</v>
      </c>
      <c r="CP64">
        <f t="shared" si="249"/>
        <v>3.385949367136751E-6</v>
      </c>
      <c r="CQ64">
        <f t="shared" si="213"/>
        <v>2.9867473774236292E-2</v>
      </c>
      <c r="CR64">
        <f t="shared" si="94"/>
        <v>3472.7564361606505</v>
      </c>
      <c r="CS64">
        <f t="shared" si="214"/>
        <v>2.3179722019152478E-6</v>
      </c>
      <c r="CT64">
        <f t="shared" si="95"/>
        <v>1.1560037436093161E-3</v>
      </c>
      <c r="CU64">
        <f t="shared" si="96"/>
        <v>0.2814293257291765</v>
      </c>
      <c r="CW64">
        <f t="shared" si="97"/>
        <v>13.853164278151006</v>
      </c>
      <c r="CX64">
        <f t="shared" si="98"/>
        <v>0.24000000000000002</v>
      </c>
      <c r="CY64">
        <f t="shared" si="17"/>
        <v>116272.18500000001</v>
      </c>
      <c r="CZ64">
        <f t="shared" si="18"/>
        <v>5.078082997317203E-3</v>
      </c>
      <c r="DA64">
        <f t="shared" si="99"/>
        <v>4.1987130629405544E-3</v>
      </c>
      <c r="DB64">
        <f t="shared" si="100"/>
        <v>1.1777041754620292E-2</v>
      </c>
      <c r="DC64">
        <f t="shared" si="101"/>
        <v>13.915142892515394</v>
      </c>
      <c r="DD64">
        <f t="shared" si="250"/>
        <v>3.282651954212191E-6</v>
      </c>
      <c r="DE64">
        <f t="shared" si="215"/>
        <v>2.8626160118174534E-2</v>
      </c>
      <c r="DF64">
        <f t="shared" si="102"/>
        <v>3328.4261851000115</v>
      </c>
      <c r="DG64">
        <f t="shared" si="216"/>
        <v>2.2692927517792547E-6</v>
      </c>
      <c r="DH64">
        <f t="shared" si="103"/>
        <v>1.0968839688538302E-3</v>
      </c>
      <c r="DI64">
        <f t="shared" si="104"/>
        <v>0.27284357381242219</v>
      </c>
      <c r="DK64">
        <f t="shared" si="105"/>
        <v>15.750858014884022</v>
      </c>
      <c r="DL64">
        <f t="shared" si="106"/>
        <v>0.24000000000000002</v>
      </c>
      <c r="DM64">
        <f t="shared" si="19"/>
        <v>116272.18500000001</v>
      </c>
      <c r="DN64">
        <f t="shared" si="20"/>
        <v>5.078082997317203E-3</v>
      </c>
      <c r="DO64">
        <f t="shared" si="107"/>
        <v>4.1987130629405544E-3</v>
      </c>
      <c r="DP64">
        <f t="shared" si="108"/>
        <v>1.1777041754620292E-2</v>
      </c>
      <c r="DQ64">
        <f t="shared" si="109"/>
        <v>13.915142892515394</v>
      </c>
      <c r="DR64">
        <f t="shared" si="251"/>
        <v>3.1845218169294337E-6</v>
      </c>
      <c r="DS64">
        <f t="shared" si="217"/>
        <v>2.7455004237999309E-2</v>
      </c>
      <c r="DT64">
        <f t="shared" si="110"/>
        <v>3192.2533319364402</v>
      </c>
      <c r="DU64">
        <f t="shared" si="218"/>
        <v>2.2223872429792609E-6</v>
      </c>
      <c r="DV64">
        <f t="shared" si="111"/>
        <v>1.0414372194106531E-3</v>
      </c>
      <c r="DW64">
        <f t="shared" si="112"/>
        <v>0.26468730938707691</v>
      </c>
      <c r="DY64">
        <f t="shared" si="113"/>
        <v>17.648551751617035</v>
      </c>
      <c r="DZ64">
        <f t="shared" si="114"/>
        <v>0.24000000000000002</v>
      </c>
      <c r="EA64">
        <f t="shared" si="21"/>
        <v>116272.18500000001</v>
      </c>
      <c r="EB64">
        <f t="shared" si="22"/>
        <v>5.078082997317203E-3</v>
      </c>
      <c r="EC64">
        <f t="shared" si="115"/>
        <v>4.1987130629405544E-3</v>
      </c>
      <c r="ED64">
        <f t="shared" si="116"/>
        <v>1.1777041754620292E-2</v>
      </c>
      <c r="EE64">
        <f t="shared" si="117"/>
        <v>13.915142892515394</v>
      </c>
      <c r="EF64">
        <f t="shared" si="252"/>
        <v>3.0912287668007613E-6</v>
      </c>
      <c r="EG64">
        <f t="shared" si="219"/>
        <v>2.6349186218982454E-2</v>
      </c>
      <c r="EH64">
        <f t="shared" si="118"/>
        <v>3063.6774546529787</v>
      </c>
      <c r="EI64">
        <f t="shared" si="220"/>
        <v>2.1771712027305033E-6</v>
      </c>
      <c r="EJ64">
        <f t="shared" si="119"/>
        <v>9.893975267911987E-4</v>
      </c>
      <c r="EK64">
        <f t="shared" si="120"/>
        <v>0.25693308823783012</v>
      </c>
      <c r="EM64">
        <f t="shared" si="121"/>
        <v>19.546245488350049</v>
      </c>
      <c r="EN64">
        <f t="shared" si="122"/>
        <v>0.24000000000000002</v>
      </c>
      <c r="EO64">
        <f t="shared" si="23"/>
        <v>116272.18500000001</v>
      </c>
      <c r="EP64">
        <f t="shared" si="24"/>
        <v>5.078082997317203E-3</v>
      </c>
      <c r="EQ64">
        <f t="shared" si="123"/>
        <v>4.1987130629405544E-3</v>
      </c>
      <c r="ER64">
        <f t="shared" si="124"/>
        <v>1.1777041754620292E-2</v>
      </c>
      <c r="ES64">
        <f t="shared" si="125"/>
        <v>13.915142892515394</v>
      </c>
      <c r="ET64">
        <f t="shared" si="253"/>
        <v>3.0024672200217871E-6</v>
      </c>
      <c r="EU64">
        <f t="shared" si="221"/>
        <v>2.5304264470493793E-2</v>
      </c>
      <c r="EV64">
        <f t="shared" si="126"/>
        <v>2942.1821198021817</v>
      </c>
      <c r="EW64">
        <f t="shared" si="222"/>
        <v>2.1335647963324757E-6</v>
      </c>
      <c r="EX64">
        <f t="shared" si="127"/>
        <v>9.4052053482597054E-4</v>
      </c>
      <c r="EY64">
        <f t="shared" si="128"/>
        <v>0.24955551121227371</v>
      </c>
      <c r="FA64">
        <f t="shared" si="129"/>
        <v>21.443939225083064</v>
      </c>
      <c r="FB64">
        <f t="shared" si="130"/>
        <v>0.24000000000000002</v>
      </c>
      <c r="FC64">
        <f t="shared" si="25"/>
        <v>116272.18500000001</v>
      </c>
      <c r="FD64">
        <f t="shared" si="26"/>
        <v>5.078082997317203E-3</v>
      </c>
      <c r="FE64">
        <f t="shared" si="131"/>
        <v>4.1987130629405544E-3</v>
      </c>
      <c r="FF64">
        <f t="shared" si="132"/>
        <v>1.1777041754620292E-2</v>
      </c>
      <c r="FG64">
        <f t="shared" si="133"/>
        <v>13.915142892515394</v>
      </c>
      <c r="FH64">
        <f t="shared" si="254"/>
        <v>2.9179541550223037E-6</v>
      </c>
      <c r="FI64">
        <f t="shared" si="223"/>
        <v>2.4316143039393341E-2</v>
      </c>
      <c r="FJ64">
        <f t="shared" si="134"/>
        <v>2827.291081962805</v>
      </c>
      <c r="FK64">
        <f t="shared" si="224"/>
        <v>2.0914925533327978E-6</v>
      </c>
      <c r="FL64">
        <f t="shared" si="135"/>
        <v>8.9458158527599952E-4</v>
      </c>
      <c r="FM64">
        <f t="shared" si="136"/>
        <v>0.24253105445903422</v>
      </c>
      <c r="FO64">
        <f t="shared" si="137"/>
        <v>23.341632961816078</v>
      </c>
      <c r="FP64">
        <f t="shared" si="138"/>
        <v>0.24000000000000002</v>
      </c>
      <c r="FQ64">
        <f t="shared" si="27"/>
        <v>116272.18500000001</v>
      </c>
      <c r="FR64">
        <f t="shared" si="28"/>
        <v>5.078082997317203E-3</v>
      </c>
      <c r="FS64">
        <f t="shared" si="139"/>
        <v>4.1987130629405544E-3</v>
      </c>
      <c r="FT64">
        <f t="shared" si="140"/>
        <v>1.1777041754620292E-2</v>
      </c>
      <c r="FU64">
        <f t="shared" si="141"/>
        <v>13.915142892515394</v>
      </c>
      <c r="FV64">
        <f t="shared" si="255"/>
        <v>2.8374272536743066E-6</v>
      </c>
      <c r="FW64">
        <f t="shared" si="225"/>
        <v>2.3381041956202039E-2</v>
      </c>
      <c r="FX64">
        <f t="shared" si="142"/>
        <v>2718.5648358242856</v>
      </c>
      <c r="FY64">
        <f t="shared" si="226"/>
        <v>2.0508831101897562E-6</v>
      </c>
      <c r="FZ64">
        <f t="shared" si="143"/>
        <v>8.5137398438059418E-4</v>
      </c>
      <c r="GA64">
        <f t="shared" si="144"/>
        <v>0.23583791493090511</v>
      </c>
      <c r="GC64">
        <f t="shared" si="145"/>
        <v>25.239326698549092</v>
      </c>
      <c r="GD64">
        <f t="shared" si="146"/>
        <v>0.24000000000000002</v>
      </c>
      <c r="GE64">
        <f t="shared" si="29"/>
        <v>116272.18500000001</v>
      </c>
      <c r="GF64">
        <f t="shared" si="30"/>
        <v>5.078082997317203E-3</v>
      </c>
      <c r="GG64">
        <f t="shared" si="147"/>
        <v>4.1987130629405544E-3</v>
      </c>
      <c r="GH64">
        <f t="shared" si="148"/>
        <v>1.1777041754620292E-2</v>
      </c>
      <c r="GI64">
        <f t="shared" si="149"/>
        <v>13.915142892515394</v>
      </c>
      <c r="GJ64">
        <f t="shared" si="256"/>
        <v>2.7606432086161211E-6</v>
      </c>
      <c r="GK64">
        <f t="shared" si="227"/>
        <v>2.249547031726715E-2</v>
      </c>
      <c r="GL64">
        <f t="shared" si="150"/>
        <v>2615.5974863912952</v>
      </c>
      <c r="GM64">
        <f t="shared" si="228"/>
        <v>2.011668968475137E-6</v>
      </c>
      <c r="GN64">
        <f t="shared" si="151"/>
        <v>8.1070743239191462E-4</v>
      </c>
      <c r="GO64">
        <f t="shared" si="152"/>
        <v>0.22945586969501985</v>
      </c>
      <c r="GQ64">
        <f t="shared" si="153"/>
        <v>27.137020435282107</v>
      </c>
      <c r="GR64">
        <f t="shared" si="154"/>
        <v>0.24000000000000002</v>
      </c>
      <c r="GS64">
        <f t="shared" si="31"/>
        <v>116272.18500000001</v>
      </c>
      <c r="GT64">
        <f t="shared" si="32"/>
        <v>5.078082997317203E-3</v>
      </c>
      <c r="GU64">
        <f t="shared" si="155"/>
        <v>4.1987130629405544E-3</v>
      </c>
      <c r="GV64">
        <f t="shared" si="156"/>
        <v>1.1777041754620292E-2</v>
      </c>
      <c r="GW64">
        <f t="shared" si="157"/>
        <v>13.915142892515394</v>
      </c>
      <c r="GX64">
        <f t="shared" si="257"/>
        <v>2.6873761809042939E-6</v>
      </c>
      <c r="GY64">
        <f t="shared" si="229"/>
        <v>2.165620183633498E-2</v>
      </c>
      <c r="GZ64">
        <f t="shared" si="158"/>
        <v>2518.0139063116808</v>
      </c>
      <c r="HA64">
        <f t="shared" si="230"/>
        <v>1.973786267708072E-6</v>
      </c>
      <c r="HB64">
        <f t="shared" si="159"/>
        <v>7.724065999909173E-4</v>
      </c>
      <c r="HC64">
        <f t="shared" si="160"/>
        <v>0.22336614773779023</v>
      </c>
      <c r="HE64">
        <f t="shared" si="161"/>
        <v>29.034714172015121</v>
      </c>
      <c r="HF64">
        <f t="shared" si="162"/>
        <v>0.24000000000000002</v>
      </c>
      <c r="HG64">
        <f t="shared" si="33"/>
        <v>116272.18500000001</v>
      </c>
      <c r="HH64">
        <f t="shared" si="34"/>
        <v>5.078082997317203E-3</v>
      </c>
      <c r="HI64">
        <f t="shared" si="263"/>
        <v>4.1987130629405544E-3</v>
      </c>
      <c r="HJ64">
        <f t="shared" si="164"/>
        <v>1.1777041754620292E-2</v>
      </c>
      <c r="HK64">
        <f t="shared" si="165"/>
        <v>13.915142892515394</v>
      </c>
      <c r="HL64">
        <f t="shared" si="258"/>
        <v>2.6174163937765575E-6</v>
      </c>
      <c r="HM64">
        <f t="shared" si="231"/>
        <v>2.0860252625981665E-2</v>
      </c>
      <c r="HN64">
        <f t="shared" si="166"/>
        <v>2425.467152474876</v>
      </c>
      <c r="HO64">
        <f t="shared" si="232"/>
        <v>1.937174571957866E-6</v>
      </c>
      <c r="HP64">
        <f t="shared" si="167"/>
        <v>7.3630983712927398E-4</v>
      </c>
      <c r="HQ64">
        <f t="shared" si="168"/>
        <v>0.21755131308296344</v>
      </c>
      <c r="HS64">
        <f t="shared" si="169"/>
        <v>30.932407908748136</v>
      </c>
      <c r="HT64">
        <f t="shared" si="170"/>
        <v>0.24000000000000002</v>
      </c>
      <c r="HU64">
        <f t="shared" si="35"/>
        <v>116272.18500000001</v>
      </c>
      <c r="HV64">
        <f t="shared" si="36"/>
        <v>5.078082997317203E-3</v>
      </c>
      <c r="HW64">
        <f t="shared" si="264"/>
        <v>4.1987130629405544E-3</v>
      </c>
      <c r="HX64">
        <f t="shared" si="172"/>
        <v>1.1777041754620292E-2</v>
      </c>
      <c r="HY64">
        <f t="shared" si="173"/>
        <v>13.915142892515394</v>
      </c>
      <c r="HZ64">
        <f t="shared" si="259"/>
        <v>2.5505688497191112E-6</v>
      </c>
      <c r="IA64">
        <f t="shared" si="233"/>
        <v>2.0104860993572088E-2</v>
      </c>
      <c r="IB64">
        <f t="shared" si="174"/>
        <v>2337.636116843898</v>
      </c>
      <c r="IC64">
        <f t="shared" si="234"/>
        <v>1.9017766693992639E-6</v>
      </c>
      <c r="ID64">
        <f t="shared" si="175"/>
        <v>7.0226800131877292E-4</v>
      </c>
      <c r="IE64">
        <f t="shared" si="176"/>
        <v>0.21199515815834116</v>
      </c>
      <c r="IG64">
        <f t="shared" si="177"/>
        <v>32.83010164548115</v>
      </c>
      <c r="IH64">
        <f t="shared" si="178"/>
        <v>0.24000000000000002</v>
      </c>
      <c r="II64">
        <f t="shared" si="37"/>
        <v>116272.18500000001</v>
      </c>
      <c r="IJ64">
        <f t="shared" si="38"/>
        <v>5.078082997317203E-3</v>
      </c>
      <c r="IK64">
        <f t="shared" si="265"/>
        <v>4.1987130629405544E-3</v>
      </c>
      <c r="IL64">
        <f t="shared" si="180"/>
        <v>1.1777041754620292E-2</v>
      </c>
      <c r="IM64">
        <f t="shared" si="181"/>
        <v>13.915142892515394</v>
      </c>
      <c r="IN64">
        <f t="shared" si="260"/>
        <v>2.4866521592965869E-6</v>
      </c>
      <c r="IO64">
        <f t="shared" si="235"/>
        <v>1.9387469058115645E-2</v>
      </c>
      <c r="IP64">
        <f t="shared" si="182"/>
        <v>2254.2233890069983</v>
      </c>
      <c r="IQ64">
        <f t="shared" si="236"/>
        <v>1.8675383840474095E-6</v>
      </c>
      <c r="IR64">
        <f t="shared" si="183"/>
        <v>6.7014339371170635E-4</v>
      </c>
      <c r="IS64">
        <f t="shared" si="184"/>
        <v>0.20668260645185696</v>
      </c>
      <c r="IU64">
        <f t="shared" si="185"/>
        <v>34.727795382214168</v>
      </c>
      <c r="IV64">
        <f t="shared" si="186"/>
        <v>0.24000000000000002</v>
      </c>
      <c r="IW64">
        <f t="shared" si="39"/>
        <v>116272.18500000001</v>
      </c>
      <c r="IX64">
        <f t="shared" si="40"/>
        <v>5.078082997317203E-3</v>
      </c>
      <c r="IY64">
        <f t="shared" si="266"/>
        <v>4.1987130629405544E-3</v>
      </c>
      <c r="IZ64">
        <f t="shared" si="188"/>
        <v>1.1777041754620292E-2</v>
      </c>
      <c r="JA64">
        <f t="shared" si="189"/>
        <v>13.915142892515394</v>
      </c>
      <c r="JB64">
        <f t="shared" si="261"/>
        <v>2.4254974713386494E-6</v>
      </c>
      <c r="JC64">
        <f t="shared" si="237"/>
        <v>1.8705706013832341E-2</v>
      </c>
      <c r="JD64">
        <f t="shared" si="190"/>
        <v>2174.9533101959269</v>
      </c>
      <c r="JE64">
        <f t="shared" si="238"/>
        <v>1.8344083989417439E-6</v>
      </c>
      <c r="JF64">
        <f t="shared" si="191"/>
        <v>6.3980879249947366E-4</v>
      </c>
      <c r="JG64">
        <f t="shared" si="192"/>
        <v>0.20159962359209424</v>
      </c>
      <c r="JI64">
        <f t="shared" si="193"/>
        <v>36.625489118947179</v>
      </c>
      <c r="JJ64">
        <f t="shared" si="194"/>
        <v>0.24000000000000002</v>
      </c>
      <c r="JK64">
        <f t="shared" si="41"/>
        <v>116272.18500000001</v>
      </c>
      <c r="JL64">
        <f t="shared" si="42"/>
        <v>5.078082997317203E-3</v>
      </c>
      <c r="JM64">
        <f t="shared" si="267"/>
        <v>4.1987130629405544E-3</v>
      </c>
      <c r="JN64">
        <f t="shared" si="196"/>
        <v>1.1777041754620292E-2</v>
      </c>
      <c r="JO64">
        <f t="shared" si="197"/>
        <v>13.915142892515394</v>
      </c>
      <c r="JP64">
        <f t="shared" si="262"/>
        <v>2.3669474950967877E-6</v>
      </c>
      <c r="JQ64">
        <f t="shared" si="239"/>
        <v>1.8057372883669667E-2</v>
      </c>
      <c r="JR64">
        <f t="shared" si="198"/>
        <v>2099.5702005440235</v>
      </c>
      <c r="JS64">
        <f t="shared" si="240"/>
        <v>1.8023380900882301E-6</v>
      </c>
      <c r="JT64">
        <f t="shared" si="199"/>
        <v>6.1114657421682808E-4</v>
      </c>
      <c r="JU64">
        <f t="shared" si="200"/>
        <v>0.19673313607307369</v>
      </c>
    </row>
    <row r="65" spans="2:281">
      <c r="B65">
        <v>0.31</v>
      </c>
      <c r="C65">
        <f t="shared" si="43"/>
        <v>0.58828505838723444</v>
      </c>
      <c r="D65">
        <f t="shared" si="44"/>
        <v>0.248</v>
      </c>
      <c r="E65">
        <f t="shared" si="3"/>
        <v>116087.75700000001</v>
      </c>
      <c r="F65">
        <f t="shared" si="4"/>
        <v>5.0807707489326694E-3</v>
      </c>
      <c r="G65">
        <f t="shared" si="45"/>
        <v>4.1976023465514602E-3</v>
      </c>
      <c r="H65">
        <f t="shared" si="46"/>
        <v>1.1795751878003254E-2</v>
      </c>
      <c r="I65">
        <f t="shared" si="47"/>
        <v>13.929876935086533</v>
      </c>
      <c r="J65">
        <f t="shared" si="241"/>
        <v>4.134808398717508E-6</v>
      </c>
      <c r="K65">
        <f t="shared" si="201"/>
        <v>3.9980078950476838E-2</v>
      </c>
      <c r="L65">
        <f t="shared" si="48"/>
        <v>4641.1976900437703</v>
      </c>
      <c r="M65">
        <f t="shared" si="202"/>
        <v>2.6796994967391313E-6</v>
      </c>
      <c r="N65">
        <f t="shared" si="203"/>
        <v>1.5762949276871745E-3</v>
      </c>
      <c r="O65">
        <f t="shared" si="49"/>
        <v>0.34367210300442946</v>
      </c>
      <c r="Q65">
        <f t="shared" si="50"/>
        <v>2.485978795120249</v>
      </c>
      <c r="R65">
        <f t="shared" si="51"/>
        <v>0.248</v>
      </c>
      <c r="S65">
        <f t="shared" si="5"/>
        <v>116087.75700000001</v>
      </c>
      <c r="T65">
        <f t="shared" si="6"/>
        <v>5.0807707489326694E-3</v>
      </c>
      <c r="U65">
        <f t="shared" si="52"/>
        <v>4.1976023465514602E-3</v>
      </c>
      <c r="V65">
        <f t="shared" si="53"/>
        <v>1.1795751878003254E-2</v>
      </c>
      <c r="W65">
        <f t="shared" si="54"/>
        <v>13.929876935086533</v>
      </c>
      <c r="X65">
        <f t="shared" si="242"/>
        <v>3.9919725071007736E-6</v>
      </c>
      <c r="Y65">
        <f t="shared" si="204"/>
        <v>3.8142895253810455E-2</v>
      </c>
      <c r="Z65">
        <f t="shared" si="55"/>
        <v>4427.9231555008018</v>
      </c>
      <c r="AA65">
        <f t="shared" si="205"/>
        <v>2.6174060301261547E-6</v>
      </c>
      <c r="AB65">
        <f t="shared" si="56"/>
        <v>1.4890446773282947E-3</v>
      </c>
      <c r="AC65">
        <f t="shared" si="57"/>
        <v>0.33180003868540037</v>
      </c>
      <c r="AE65">
        <f t="shared" si="58"/>
        <v>4.3836725318532634</v>
      </c>
      <c r="AF65">
        <f t="shared" si="59"/>
        <v>0.248</v>
      </c>
      <c r="AG65">
        <f t="shared" si="7"/>
        <v>116087.75700000001</v>
      </c>
      <c r="AH65">
        <f t="shared" si="8"/>
        <v>5.0807707489326694E-3</v>
      </c>
      <c r="AI65">
        <f t="shared" si="60"/>
        <v>4.1976023465514602E-3</v>
      </c>
      <c r="AJ65">
        <f t="shared" si="61"/>
        <v>1.1795751878003254E-2</v>
      </c>
      <c r="AK65">
        <f t="shared" si="62"/>
        <v>13.929876935086533</v>
      </c>
      <c r="AL65">
        <f t="shared" si="243"/>
        <v>3.8569386403391773E-6</v>
      </c>
      <c r="AM65">
        <f t="shared" si="206"/>
        <v>3.6418189149701227E-2</v>
      </c>
      <c r="AN65">
        <f t="shared" si="63"/>
        <v>4227.7058923905533</v>
      </c>
      <c r="AO65">
        <f t="shared" si="207"/>
        <v>2.5575459466013672E-6</v>
      </c>
      <c r="AP65">
        <f t="shared" si="64"/>
        <v>1.407610186033431E-3</v>
      </c>
      <c r="AQ65">
        <f t="shared" si="65"/>
        <v>0.32057645381961264</v>
      </c>
      <c r="AS65">
        <f t="shared" si="66"/>
        <v>6.2813662685862779</v>
      </c>
      <c r="AT65">
        <f t="shared" si="67"/>
        <v>0.248</v>
      </c>
      <c r="AU65">
        <f t="shared" si="9"/>
        <v>116087.75700000001</v>
      </c>
      <c r="AV65">
        <f t="shared" si="10"/>
        <v>5.0807707489326694E-3</v>
      </c>
      <c r="AW65">
        <f t="shared" si="68"/>
        <v>4.1976023465514602E-3</v>
      </c>
      <c r="AX65">
        <f t="shared" si="69"/>
        <v>1.1795751878003254E-2</v>
      </c>
      <c r="AY65">
        <f t="shared" si="70"/>
        <v>13.929876935086533</v>
      </c>
      <c r="AZ65">
        <f t="shared" si="244"/>
        <v>3.7291735117112222E-6</v>
      </c>
      <c r="BA65">
        <f t="shared" si="208"/>
        <v>3.4797726324608515E-2</v>
      </c>
      <c r="BB65">
        <f t="shared" si="71"/>
        <v>4039.5899977236568</v>
      </c>
      <c r="BC65">
        <f t="shared" si="209"/>
        <v>2.4999982523573147E-6</v>
      </c>
      <c r="BD65">
        <f t="shared" si="72"/>
        <v>1.3315448238436548E-3</v>
      </c>
      <c r="BE65">
        <f t="shared" si="73"/>
        <v>0.3099570233135171</v>
      </c>
      <c r="BG65">
        <f t="shared" si="74"/>
        <v>8.1790600053192914</v>
      </c>
      <c r="BH65">
        <f t="shared" si="75"/>
        <v>0.248</v>
      </c>
      <c r="BI65">
        <f t="shared" si="11"/>
        <v>116087.75700000001</v>
      </c>
      <c r="BJ65">
        <f t="shared" si="12"/>
        <v>5.0807707489326694E-3</v>
      </c>
      <c r="BK65">
        <f t="shared" si="76"/>
        <v>4.1976023465514602E-3</v>
      </c>
      <c r="BL65">
        <f t="shared" si="77"/>
        <v>1.1795751878003254E-2</v>
      </c>
      <c r="BM65">
        <f t="shared" si="78"/>
        <v>13.929876935086533</v>
      </c>
      <c r="BN65">
        <f t="shared" si="245"/>
        <v>3.6081857710102874E-6</v>
      </c>
      <c r="BO65">
        <f t="shared" si="210"/>
        <v>3.3273952551197375E-2</v>
      </c>
      <c r="BP65">
        <f t="shared" si="79"/>
        <v>3862.6985181929313</v>
      </c>
      <c r="BQ65">
        <f t="shared" si="211"/>
        <v>2.4446487470318016E-6</v>
      </c>
      <c r="BR65">
        <f t="shared" si="80"/>
        <v>1.2604400306945359E-3</v>
      </c>
      <c r="BS65">
        <f t="shared" si="81"/>
        <v>0.29990090770309569</v>
      </c>
      <c r="BU65">
        <f t="shared" si="82"/>
        <v>10.076753742052306</v>
      </c>
      <c r="BV65">
        <f t="shared" si="83"/>
        <v>0.248</v>
      </c>
      <c r="BW65">
        <f t="shared" si="13"/>
        <v>116087.75700000001</v>
      </c>
      <c r="BX65">
        <f t="shared" si="14"/>
        <v>5.0807707489326694E-3</v>
      </c>
      <c r="BY65">
        <f t="shared" si="84"/>
        <v>4.1976023465514602E-3</v>
      </c>
      <c r="BZ65">
        <f t="shared" si="85"/>
        <v>1.1795751878003254E-2</v>
      </c>
      <c r="CA65">
        <f t="shared" si="86"/>
        <v>13.929876935086533</v>
      </c>
      <c r="CB65">
        <f t="shared" si="246"/>
        <v>3.4935223684983102E-6</v>
      </c>
      <c r="CC65">
        <f t="shared" si="247"/>
        <v>3.1839932491108738E-2</v>
      </c>
      <c r="CD65">
        <f t="shared" si="87"/>
        <v>3696.2263459242363</v>
      </c>
      <c r="CE65">
        <f t="shared" si="248"/>
        <v>2.3913896215863586E-6</v>
      </c>
      <c r="CF65">
        <f t="shared" si="212"/>
        <v>1.1939218131599737E-3</v>
      </c>
      <c r="CG65">
        <f t="shared" si="88"/>
        <v>0.29037045093727376</v>
      </c>
      <c r="CI65">
        <f t="shared" si="89"/>
        <v>11.97444747878532</v>
      </c>
      <c r="CJ65">
        <f t="shared" si="90"/>
        <v>0.248</v>
      </c>
      <c r="CK65">
        <f t="shared" si="15"/>
        <v>116087.75700000001</v>
      </c>
      <c r="CL65">
        <f t="shared" si="16"/>
        <v>5.0807707489326694E-3</v>
      </c>
      <c r="CM65">
        <f t="shared" si="91"/>
        <v>4.1976023465514602E-3</v>
      </c>
      <c r="CN65">
        <f t="shared" si="92"/>
        <v>1.1795751878003254E-2</v>
      </c>
      <c r="CO65">
        <f t="shared" si="93"/>
        <v>13.929876935086533</v>
      </c>
      <c r="CP65">
        <f t="shared" si="249"/>
        <v>3.3847652573846544E-6</v>
      </c>
      <c r="CQ65">
        <f t="shared" si="213"/>
        <v>3.0489294358981438E-2</v>
      </c>
      <c r="CR65">
        <f t="shared" si="94"/>
        <v>3539.4337946469082</v>
      </c>
      <c r="CS65">
        <f t="shared" si="214"/>
        <v>2.3401190799219739E-6</v>
      </c>
      <c r="CT65">
        <f t="shared" si="95"/>
        <v>1.1316475822004759E-3</v>
      </c>
      <c r="CU65">
        <f t="shared" si="96"/>
        <v>0.28133090629846785</v>
      </c>
      <c r="CW65">
        <f t="shared" si="97"/>
        <v>13.872141215518335</v>
      </c>
      <c r="CX65">
        <f t="shared" si="98"/>
        <v>0.248</v>
      </c>
      <c r="CY65">
        <f t="shared" si="17"/>
        <v>116087.75700000001</v>
      </c>
      <c r="CZ65">
        <f t="shared" si="18"/>
        <v>5.0807707489326694E-3</v>
      </c>
      <c r="DA65">
        <f t="shared" si="99"/>
        <v>4.1976023465514602E-3</v>
      </c>
      <c r="DB65">
        <f t="shared" si="100"/>
        <v>1.1795751878003254E-2</v>
      </c>
      <c r="DC65">
        <f t="shared" si="101"/>
        <v>13.929876935086533</v>
      </c>
      <c r="DD65">
        <f t="shared" si="250"/>
        <v>3.2815284016185088E-6</v>
      </c>
      <c r="DE65">
        <f t="shared" si="215"/>
        <v>2.9216179860481507E-2</v>
      </c>
      <c r="DF65">
        <f t="shared" si="102"/>
        <v>3391.6407881118716</v>
      </c>
      <c r="DG65">
        <f t="shared" si="216"/>
        <v>2.2907409829235714E-6</v>
      </c>
      <c r="DH65">
        <f t="shared" si="103"/>
        <v>1.0733032973557514E-3</v>
      </c>
      <c r="DI65">
        <f t="shared" si="104"/>
        <v>0.27275018769982107</v>
      </c>
      <c r="DK65">
        <f t="shared" si="105"/>
        <v>15.769834952251351</v>
      </c>
      <c r="DL65">
        <f t="shared" si="106"/>
        <v>0.248</v>
      </c>
      <c r="DM65">
        <f t="shared" si="19"/>
        <v>116087.75700000001</v>
      </c>
      <c r="DN65">
        <f t="shared" si="20"/>
        <v>5.0807707489326694E-3</v>
      </c>
      <c r="DO65">
        <f t="shared" si="107"/>
        <v>4.1976023465514602E-3</v>
      </c>
      <c r="DP65">
        <f t="shared" si="108"/>
        <v>1.1795751878003254E-2</v>
      </c>
      <c r="DQ65">
        <f t="shared" si="109"/>
        <v>13.929876935086533</v>
      </c>
      <c r="DR65">
        <f t="shared" si="251"/>
        <v>3.1834550591663054E-6</v>
      </c>
      <c r="DS65">
        <f t="shared" si="217"/>
        <v>2.8015198877791195E-2</v>
      </c>
      <c r="DT65">
        <f t="shared" si="110"/>
        <v>3252.2215996316972</v>
      </c>
      <c r="DU65">
        <f t="shared" si="218"/>
        <v>2.2431645136849628E-6</v>
      </c>
      <c r="DV65">
        <f t="shared" si="111"/>
        <v>1.0186008864211268E-3</v>
      </c>
      <c r="DW65">
        <f t="shared" si="112"/>
        <v>0.26459864387987608</v>
      </c>
      <c r="DY65">
        <f t="shared" si="113"/>
        <v>17.667528688984365</v>
      </c>
      <c r="DZ65">
        <f t="shared" si="114"/>
        <v>0.248</v>
      </c>
      <c r="EA65">
        <f t="shared" si="21"/>
        <v>116087.75700000001</v>
      </c>
      <c r="EB65">
        <f t="shared" si="22"/>
        <v>5.0807707489326694E-3</v>
      </c>
      <c r="EC65">
        <f t="shared" si="115"/>
        <v>4.1976023465514602E-3</v>
      </c>
      <c r="ED65">
        <f t="shared" si="116"/>
        <v>1.1795751878003254E-2</v>
      </c>
      <c r="EE65">
        <f t="shared" si="117"/>
        <v>13.929876935086533</v>
      </c>
      <c r="EF65">
        <f t="shared" si="252"/>
        <v>3.0902153139753267E-6</v>
      </c>
      <c r="EG65">
        <f t="shared" si="219"/>
        <v>2.6881388430312562E-2</v>
      </c>
      <c r="EH65">
        <f t="shared" si="118"/>
        <v>3120.6000879207363</v>
      </c>
      <c r="EI65">
        <f t="shared" si="220"/>
        <v>2.1973038627246112E-6</v>
      </c>
      <c r="EJ65">
        <f t="shared" si="119"/>
        <v>9.6727591286580722E-4</v>
      </c>
      <c r="EK65">
        <f t="shared" si="120"/>
        <v>0.25684885326725182</v>
      </c>
      <c r="EM65">
        <f t="shared" si="121"/>
        <v>19.56522242571738</v>
      </c>
      <c r="EN65">
        <f t="shared" si="122"/>
        <v>0.248</v>
      </c>
      <c r="EO65">
        <f t="shared" si="23"/>
        <v>116087.75700000001</v>
      </c>
      <c r="EP65">
        <f t="shared" si="24"/>
        <v>5.0807707489326694E-3</v>
      </c>
      <c r="EQ65">
        <f t="shared" si="123"/>
        <v>4.1976023465514602E-3</v>
      </c>
      <c r="ER65">
        <f t="shared" si="124"/>
        <v>1.1795751878003254E-2</v>
      </c>
      <c r="ES65">
        <f t="shared" si="125"/>
        <v>13.929876935086533</v>
      </c>
      <c r="ET65">
        <f t="shared" si="253"/>
        <v>3.0015038325384062E-6</v>
      </c>
      <c r="EU65">
        <f t="shared" si="221"/>
        <v>2.5810175486927326E-2</v>
      </c>
      <c r="EV65">
        <f t="shared" si="126"/>
        <v>2996.2453800537764</v>
      </c>
      <c r="EW65">
        <f t="shared" si="222"/>
        <v>2.153077932059345E-6</v>
      </c>
      <c r="EX65">
        <f t="shared" si="127"/>
        <v>9.1908546612921589E-4</v>
      </c>
      <c r="EY65">
        <f t="shared" si="128"/>
        <v>0.24947543751344781</v>
      </c>
      <c r="FA65">
        <f t="shared" si="129"/>
        <v>21.462916162450394</v>
      </c>
      <c r="FB65">
        <f t="shared" si="130"/>
        <v>0.248</v>
      </c>
      <c r="FC65">
        <f t="shared" si="25"/>
        <v>116087.75700000001</v>
      </c>
      <c r="FD65">
        <f t="shared" si="26"/>
        <v>5.0807707489326694E-3</v>
      </c>
      <c r="FE65">
        <f t="shared" si="131"/>
        <v>4.1976023465514602E-3</v>
      </c>
      <c r="FF65">
        <f t="shared" si="132"/>
        <v>1.1795751878003254E-2</v>
      </c>
      <c r="FG65">
        <f t="shared" si="133"/>
        <v>13.929876935086533</v>
      </c>
      <c r="FH65">
        <f t="shared" si="254"/>
        <v>2.9170378234057087E-6</v>
      </c>
      <c r="FI65">
        <f t="shared" si="223"/>
        <v>2.4797343249629521E-2</v>
      </c>
      <c r="FJ65">
        <f t="shared" si="134"/>
        <v>2878.6679574085824</v>
      </c>
      <c r="FK65">
        <f t="shared" si="224"/>
        <v>2.1104100570581218E-6</v>
      </c>
      <c r="FL65">
        <f t="shared" si="135"/>
        <v>8.7380625250565004E-4</v>
      </c>
      <c r="FM65">
        <f t="shared" si="136"/>
        <v>0.24245489189396294</v>
      </c>
      <c r="FO65">
        <f t="shared" si="137"/>
        <v>23.360609899183409</v>
      </c>
      <c r="FP65">
        <f t="shared" si="138"/>
        <v>0.248</v>
      </c>
      <c r="FQ65">
        <f t="shared" si="27"/>
        <v>116087.75700000001</v>
      </c>
      <c r="FR65">
        <f t="shared" si="28"/>
        <v>5.0807707489326694E-3</v>
      </c>
      <c r="FS65">
        <f t="shared" si="139"/>
        <v>4.1976023465514602E-3</v>
      </c>
      <c r="FT65">
        <f t="shared" si="140"/>
        <v>1.1795751878003254E-2</v>
      </c>
      <c r="FU65">
        <f t="shared" si="141"/>
        <v>13.929876935086533</v>
      </c>
      <c r="FV65">
        <f t="shared" si="255"/>
        <v>2.8365551801683517E-6</v>
      </c>
      <c r="FW65">
        <f t="shared" si="225"/>
        <v>2.383900056726283E-2</v>
      </c>
      <c r="FX65">
        <f t="shared" si="142"/>
        <v>2767.4161049752697</v>
      </c>
      <c r="FY65">
        <f t="shared" si="226"/>
        <v>2.0692277450513575E-6</v>
      </c>
      <c r="FZ65">
        <f t="shared" si="143"/>
        <v>8.3123286662986932E-4</v>
      </c>
      <c r="GA65">
        <f t="shared" si="144"/>
        <v>0.23576543095900962</v>
      </c>
      <c r="GC65">
        <f t="shared" si="145"/>
        <v>25.258303635916423</v>
      </c>
      <c r="GD65">
        <f t="shared" si="146"/>
        <v>0.248</v>
      </c>
      <c r="GE65">
        <f t="shared" si="29"/>
        <v>116087.75700000001</v>
      </c>
      <c r="GF65">
        <f t="shared" si="30"/>
        <v>5.0807707489326694E-3</v>
      </c>
      <c r="GG65">
        <f t="shared" si="147"/>
        <v>4.1976023465514602E-3</v>
      </c>
      <c r="GH65">
        <f t="shared" si="148"/>
        <v>1.1795751878003254E-2</v>
      </c>
      <c r="GI65">
        <f t="shared" si="149"/>
        <v>13.929876935086533</v>
      </c>
      <c r="GJ65">
        <f t="shared" si="256"/>
        <v>2.7598127903911804E-6</v>
      </c>
      <c r="GK65">
        <f t="shared" si="227"/>
        <v>2.2931554172924279E-2</v>
      </c>
      <c r="GL65">
        <f t="shared" si="150"/>
        <v>2662.0726884587698</v>
      </c>
      <c r="GM65">
        <f t="shared" si="228"/>
        <v>2.0294624297227395E-6</v>
      </c>
      <c r="GN65">
        <f t="shared" si="151"/>
        <v>7.9117622563570141E-4</v>
      </c>
      <c r="GO65">
        <f t="shared" si="152"/>
        <v>0.2293868479773927</v>
      </c>
      <c r="GQ65">
        <f t="shared" si="153"/>
        <v>27.155997372649438</v>
      </c>
      <c r="GR65">
        <f t="shared" si="154"/>
        <v>0.248</v>
      </c>
      <c r="GS65">
        <f t="shared" si="31"/>
        <v>116087.75700000001</v>
      </c>
      <c r="GT65">
        <f t="shared" si="32"/>
        <v>5.0807707489326694E-3</v>
      </c>
      <c r="GU65">
        <f t="shared" si="155"/>
        <v>4.1976023465514602E-3</v>
      </c>
      <c r="GV65">
        <f t="shared" si="156"/>
        <v>1.1795751878003254E-2</v>
      </c>
      <c r="GW65">
        <f t="shared" si="157"/>
        <v>13.929876935086533</v>
      </c>
      <c r="GX65">
        <f t="shared" si="257"/>
        <v>2.6865849947228569E-6</v>
      </c>
      <c r="GY65">
        <f t="shared" si="229"/>
        <v>2.2071683469783505E-2</v>
      </c>
      <c r="GZ65">
        <f t="shared" si="158"/>
        <v>2562.2522272211445</v>
      </c>
      <c r="HA65">
        <f t="shared" si="230"/>
        <v>1.9910492403603079E-6</v>
      </c>
      <c r="HB65">
        <f t="shared" si="159"/>
        <v>7.534621499024071E-4</v>
      </c>
      <c r="HC65">
        <f t="shared" si="160"/>
        <v>0.22330038686264861</v>
      </c>
      <c r="HE65">
        <f t="shared" si="161"/>
        <v>29.053691109382452</v>
      </c>
      <c r="HF65">
        <f t="shared" si="162"/>
        <v>0.248</v>
      </c>
      <c r="HG65">
        <f t="shared" si="33"/>
        <v>116087.75700000001</v>
      </c>
      <c r="HH65">
        <f t="shared" si="34"/>
        <v>5.0807707489326694E-3</v>
      </c>
      <c r="HI65">
        <f t="shared" si="263"/>
        <v>4.1976023465514602E-3</v>
      </c>
      <c r="HJ65">
        <f t="shared" si="164"/>
        <v>1.1795751878003254E-2</v>
      </c>
      <c r="HK65">
        <f t="shared" si="165"/>
        <v>13.929876935086533</v>
      </c>
      <c r="HL65">
        <f t="shared" si="258"/>
        <v>2.6166621819813713E-6</v>
      </c>
      <c r="HM65">
        <f t="shared" si="231"/>
        <v>2.125631761799272E-2</v>
      </c>
      <c r="HN65">
        <f t="shared" si="166"/>
        <v>2467.5982343523578</v>
      </c>
      <c r="HO65">
        <f t="shared" si="232"/>
        <v>1.9539267850914945E-6</v>
      </c>
      <c r="HP65">
        <f t="shared" si="167"/>
        <v>7.1793007595233815E-4</v>
      </c>
      <c r="HQ65">
        <f t="shared" si="168"/>
        <v>0.21748862540102809</v>
      </c>
      <c r="HS65">
        <f t="shared" si="169"/>
        <v>30.951384846115463</v>
      </c>
      <c r="HT65">
        <f t="shared" si="170"/>
        <v>0.248</v>
      </c>
      <c r="HU65">
        <f t="shared" si="35"/>
        <v>116087.75700000001</v>
      </c>
      <c r="HV65">
        <f t="shared" si="36"/>
        <v>5.0807707489326694E-3</v>
      </c>
      <c r="HW65">
        <f t="shared" si="264"/>
        <v>4.1976023465514602E-3</v>
      </c>
      <c r="HX65">
        <f t="shared" si="172"/>
        <v>1.1795751878003254E-2</v>
      </c>
      <c r="HY65">
        <f t="shared" si="173"/>
        <v>13.929876935086533</v>
      </c>
      <c r="HZ65">
        <f t="shared" si="259"/>
        <v>2.5498495074215245E-6</v>
      </c>
      <c r="IA65">
        <f t="shared" si="233"/>
        <v>2.048261470037616E-2</v>
      </c>
      <c r="IB65">
        <f t="shared" si="174"/>
        <v>2377.7807980618959</v>
      </c>
      <c r="IC65">
        <f t="shared" si="234"/>
        <v>1.9180369472730415E-6</v>
      </c>
      <c r="ID65">
        <f t="shared" si="175"/>
        <v>6.8443188853908985E-4</v>
      </c>
      <c r="IE65">
        <f t="shared" si="176"/>
        <v>0.21193536871797233</v>
      </c>
      <c r="IG65">
        <f t="shared" si="177"/>
        <v>32.849078582848477</v>
      </c>
      <c r="IH65">
        <f t="shared" si="178"/>
        <v>0.248</v>
      </c>
      <c r="II65">
        <f t="shared" si="37"/>
        <v>116087.75700000001</v>
      </c>
      <c r="IJ65">
        <f t="shared" si="38"/>
        <v>5.0807707489326694E-3</v>
      </c>
      <c r="IK65">
        <f t="shared" si="265"/>
        <v>4.1976023465514602E-3</v>
      </c>
      <c r="IL65">
        <f t="shared" si="180"/>
        <v>1.1795751878003254E-2</v>
      </c>
      <c r="IM65">
        <f t="shared" si="181"/>
        <v>13.929876935086533</v>
      </c>
      <c r="IN65">
        <f t="shared" si="260"/>
        <v>2.4859657226546781E-6</v>
      </c>
      <c r="IO65">
        <f t="shared" si="235"/>
        <v>1.9747942766998115E-2</v>
      </c>
      <c r="IP65">
        <f t="shared" si="182"/>
        <v>2292.4943811851849</v>
      </c>
      <c r="IQ65">
        <f t="shared" si="236"/>
        <v>1.8833246942511529E-6</v>
      </c>
      <c r="IR65">
        <f t="shared" si="183"/>
        <v>6.5283086028620531E-4</v>
      </c>
      <c r="IS65">
        <f t="shared" si="184"/>
        <v>0.20662555202476976</v>
      </c>
      <c r="IU65">
        <f t="shared" si="185"/>
        <v>34.746772319581495</v>
      </c>
      <c r="IV65">
        <f t="shared" si="186"/>
        <v>0.248</v>
      </c>
      <c r="IW65">
        <f t="shared" si="39"/>
        <v>116087.75700000001</v>
      </c>
      <c r="IX65">
        <f t="shared" si="40"/>
        <v>5.0807707489326694E-3</v>
      </c>
      <c r="IY65">
        <f t="shared" si="266"/>
        <v>4.1976023465514602E-3</v>
      </c>
      <c r="IZ65">
        <f t="shared" si="188"/>
        <v>1.1795751878003254E-2</v>
      </c>
      <c r="JA65">
        <f t="shared" si="189"/>
        <v>13.929876935086533</v>
      </c>
      <c r="JB65">
        <f t="shared" si="261"/>
        <v>2.42484210682546E-6</v>
      </c>
      <c r="JC65">
        <f t="shared" si="237"/>
        <v>1.9049862578788525E-2</v>
      </c>
      <c r="JD65">
        <f t="shared" si="190"/>
        <v>2211.455817929796</v>
      </c>
      <c r="JE65">
        <f t="shared" si="238"/>
        <v>1.8497378977498276E-6</v>
      </c>
      <c r="JF65">
        <f t="shared" si="191"/>
        <v>6.2300068841921971E-4</v>
      </c>
      <c r="JG65">
        <f t="shared" si="192"/>
        <v>0.20154515178136845</v>
      </c>
      <c r="JI65">
        <f t="shared" si="193"/>
        <v>36.644466056314506</v>
      </c>
      <c r="JJ65">
        <f t="shared" si="194"/>
        <v>0.248</v>
      </c>
      <c r="JK65">
        <f t="shared" si="41"/>
        <v>116087.75700000001</v>
      </c>
      <c r="JL65">
        <f t="shared" si="42"/>
        <v>5.0807707489326694E-3</v>
      </c>
      <c r="JM65">
        <f t="shared" si="267"/>
        <v>4.1976023465514602E-3</v>
      </c>
      <c r="JN65">
        <f t="shared" si="196"/>
        <v>1.1795751878003254E-2</v>
      </c>
      <c r="JO65">
        <f t="shared" si="197"/>
        <v>13.929876935086533</v>
      </c>
      <c r="JP65">
        <f t="shared" si="262"/>
        <v>2.3663214896686123E-6</v>
      </c>
      <c r="JQ65">
        <f t="shared" si="239"/>
        <v>1.8386111888405016E-2</v>
      </c>
      <c r="JR65">
        <f t="shared" si="198"/>
        <v>2134.4024890759729</v>
      </c>
      <c r="JS65">
        <f t="shared" si="240"/>
        <v>1.8172271651861591E-6</v>
      </c>
      <c r="JT65">
        <f t="shared" si="199"/>
        <v>5.948246191929135E-4</v>
      </c>
      <c r="JU65">
        <f t="shared" si="200"/>
        <v>0.19668110449597331</v>
      </c>
    </row>
    <row r="66" spans="2:281">
      <c r="B66">
        <v>0.32</v>
      </c>
      <c r="C66">
        <f t="shared" si="43"/>
        <v>0.60726199575456463</v>
      </c>
      <c r="D66">
        <f t="shared" si="44"/>
        <v>0.25600000000000001</v>
      </c>
      <c r="E66">
        <f t="shared" ref="E66:E97" si="268">$C$13+$C$18*$C$19*($C$3-D66)+4*$C$22/$C$11</f>
        <v>115903.32900000001</v>
      </c>
      <c r="F66">
        <f t="shared" ref="F66:F97" si="269">$C$11*($G$27/E66)^(1/3)</f>
        <v>5.0834641999419269E-3</v>
      </c>
      <c r="G66">
        <f t="shared" si="45"/>
        <v>4.1964901586966589E-3</v>
      </c>
      <c r="H66">
        <f t="shared" si="46"/>
        <v>1.1814521545329687E-2</v>
      </c>
      <c r="I66">
        <f t="shared" si="47"/>
        <v>13.944650042541449</v>
      </c>
      <c r="J66">
        <f t="shared" si="241"/>
        <v>4.1331937792092469E-6</v>
      </c>
      <c r="K66">
        <f t="shared" si="201"/>
        <v>4.0827976406764464E-2</v>
      </c>
      <c r="L66">
        <f t="shared" si="48"/>
        <v>4732.0983818774603</v>
      </c>
      <c r="M66">
        <f t="shared" si="202"/>
        <v>2.7058140252917244E-6</v>
      </c>
      <c r="N66">
        <f t="shared" si="203"/>
        <v>1.5474861394441592E-3</v>
      </c>
      <c r="O66">
        <f t="shared" si="49"/>
        <v>0.34353790097414233</v>
      </c>
      <c r="Q66">
        <f t="shared" si="50"/>
        <v>2.5049557324875793</v>
      </c>
      <c r="R66">
        <f t="shared" si="51"/>
        <v>0.25600000000000001</v>
      </c>
      <c r="S66">
        <f t="shared" ref="S66:S97" si="270">$C$13+$C$18*$C$19*($C$3-R66)+4*$C$22/$C$11</f>
        <v>115903.32900000001</v>
      </c>
      <c r="T66">
        <f t="shared" ref="T66:T97" si="271">$C$11*($G$27/S66)^(1/3)</f>
        <v>5.0834641999419269E-3</v>
      </c>
      <c r="U66">
        <f t="shared" si="52"/>
        <v>4.1964901586966589E-3</v>
      </c>
      <c r="V66">
        <f t="shared" si="53"/>
        <v>1.1814521545329687E-2</v>
      </c>
      <c r="W66">
        <f t="shared" si="54"/>
        <v>13.944650042541449</v>
      </c>
      <c r="X66">
        <f t="shared" si="242"/>
        <v>3.9904472591649609E-6</v>
      </c>
      <c r="Y66">
        <f t="shared" si="204"/>
        <v>3.8943860334664827E-2</v>
      </c>
      <c r="Z66">
        <f t="shared" si="55"/>
        <v>4513.7230568987079</v>
      </c>
      <c r="AA66">
        <f t="shared" si="205"/>
        <v>2.6426431104087034E-6</v>
      </c>
      <c r="AB66">
        <f t="shared" si="56"/>
        <v>1.4612146719618945E-3</v>
      </c>
      <c r="AC66">
        <f t="shared" si="57"/>
        <v>0.33167326493552929</v>
      </c>
      <c r="AE66">
        <f t="shared" si="58"/>
        <v>4.4026494692205933</v>
      </c>
      <c r="AF66">
        <f t="shared" si="59"/>
        <v>0.25600000000000001</v>
      </c>
      <c r="AG66">
        <f t="shared" ref="AG66:AG97" si="272">$C$13+$C$18*$C$19*($C$3-AF66)+4*$C$22/$C$11</f>
        <v>115903.32900000001</v>
      </c>
      <c r="AH66">
        <f t="shared" ref="AH66:AH97" si="273">$C$11*($G$27/AG66)^(1/3)</f>
        <v>5.0834641999419269E-3</v>
      </c>
      <c r="AI66">
        <f t="shared" si="60"/>
        <v>4.1964901586966589E-3</v>
      </c>
      <c r="AJ66">
        <f t="shared" si="61"/>
        <v>1.1814521545329687E-2</v>
      </c>
      <c r="AK66">
        <f t="shared" si="62"/>
        <v>13.944650042541449</v>
      </c>
      <c r="AL66">
        <f t="shared" si="243"/>
        <v>3.8554968068177487E-6</v>
      </c>
      <c r="AM66">
        <f t="shared" si="206"/>
        <v>3.7175350182968941E-2</v>
      </c>
      <c r="AN66">
        <f t="shared" si="63"/>
        <v>4308.7468429468599</v>
      </c>
      <c r="AO66">
        <f t="shared" si="207"/>
        <v>2.5819424037294948E-6</v>
      </c>
      <c r="AP66">
        <f t="shared" si="64"/>
        <v>1.3807172066145411E-3</v>
      </c>
      <c r="AQ66">
        <f t="shared" si="65"/>
        <v>0.32045661321015534</v>
      </c>
      <c r="AS66">
        <f t="shared" si="66"/>
        <v>6.3003432059536078</v>
      </c>
      <c r="AT66">
        <f t="shared" si="67"/>
        <v>0.25600000000000001</v>
      </c>
      <c r="AU66">
        <f t="shared" ref="AU66:AU97" si="274">$C$13+$C$18*$C$19*($C$3-AT66)+4*$C$22/$C$11</f>
        <v>115903.32900000001</v>
      </c>
      <c r="AV66">
        <f t="shared" ref="AV66:AV97" si="275">$C$11*($G$27/AU66)^(1/3)</f>
        <v>5.0834641999419269E-3</v>
      </c>
      <c r="AW66">
        <f t="shared" si="68"/>
        <v>4.1964901586966589E-3</v>
      </c>
      <c r="AX66">
        <f t="shared" si="69"/>
        <v>1.1814521545329687E-2</v>
      </c>
      <c r="AY66">
        <f t="shared" si="70"/>
        <v>13.944650042541449</v>
      </c>
      <c r="AZ66">
        <f t="shared" si="244"/>
        <v>3.7278095929350212E-6</v>
      </c>
      <c r="BA66">
        <f t="shared" si="208"/>
        <v>3.551397139349706E-2</v>
      </c>
      <c r="BB66">
        <f t="shared" si="71"/>
        <v>4116.1875105170784</v>
      </c>
      <c r="BC66">
        <f t="shared" si="209"/>
        <v>2.5235890613769689E-6</v>
      </c>
      <c r="BD66">
        <f t="shared" si="72"/>
        <v>1.3055492599678854E-3</v>
      </c>
      <c r="BE66">
        <f t="shared" si="73"/>
        <v>0.30984365872949199</v>
      </c>
      <c r="BG66">
        <f t="shared" si="74"/>
        <v>8.1980369426866222</v>
      </c>
      <c r="BH66">
        <f t="shared" si="75"/>
        <v>0.25600000000000001</v>
      </c>
      <c r="BI66">
        <f t="shared" ref="BI66:BI97" si="276">$C$13+$C$18*$C$19*($C$3-BH66)+4*$C$22/$C$11</f>
        <v>115903.32900000001</v>
      </c>
      <c r="BJ66">
        <f t="shared" ref="BJ66:BJ97" si="277">$C$11*($G$27/BI66)^(1/3)</f>
        <v>5.0834641999419269E-3</v>
      </c>
      <c r="BK66">
        <f t="shared" si="76"/>
        <v>4.1964901586966589E-3</v>
      </c>
      <c r="BL66">
        <f t="shared" si="77"/>
        <v>1.1814521545329687E-2</v>
      </c>
      <c r="BM66">
        <f t="shared" si="78"/>
        <v>13.944650042541449</v>
      </c>
      <c r="BN66">
        <f t="shared" si="245"/>
        <v>3.6068946858035745E-6</v>
      </c>
      <c r="BO66">
        <f t="shared" si="210"/>
        <v>3.3951949972274603E-2</v>
      </c>
      <c r="BP66">
        <f t="shared" si="79"/>
        <v>3935.1440278280847</v>
      </c>
      <c r="BQ66">
        <f t="shared" si="211"/>
        <v>2.4674671365811975E-6</v>
      </c>
      <c r="BR66">
        <f t="shared" si="80"/>
        <v>1.2353042940977156E-3</v>
      </c>
      <c r="BS66">
        <f t="shared" si="81"/>
        <v>0.29979359681336093</v>
      </c>
      <c r="BU66">
        <f t="shared" si="82"/>
        <v>10.095730679419637</v>
      </c>
      <c r="BV66">
        <f t="shared" si="83"/>
        <v>0.25600000000000001</v>
      </c>
      <c r="BW66">
        <f t="shared" ref="BW66:BW97" si="278">$C$13+$C$18*$C$19*($C$3-BV66)+4*$C$22/$C$11</f>
        <v>115903.32900000001</v>
      </c>
      <c r="BX66">
        <f t="shared" ref="BX66:BX97" si="279">$C$11*($G$27/BW66)^(1/3)</f>
        <v>5.0834641999419269E-3</v>
      </c>
      <c r="BY66">
        <f t="shared" si="84"/>
        <v>4.1964901586966589E-3</v>
      </c>
      <c r="BZ66">
        <f t="shared" si="85"/>
        <v>1.1814521545329687E-2</v>
      </c>
      <c r="CA66">
        <f t="shared" si="86"/>
        <v>13.944650042541449</v>
      </c>
      <c r="CB66">
        <f t="shared" si="246"/>
        <v>3.4922994187717031E-6</v>
      </c>
      <c r="CC66">
        <f t="shared" si="247"/>
        <v>3.2482149407882056E-2</v>
      </c>
      <c r="CD66">
        <f t="shared" si="87"/>
        <v>3764.7892494489097</v>
      </c>
      <c r="CE66">
        <f t="shared" si="248"/>
        <v>2.4134671714691464E-6</v>
      </c>
      <c r="CF66">
        <f t="shared" si="212"/>
        <v>1.1696102210390232E-3</v>
      </c>
      <c r="CG66">
        <f t="shared" si="88"/>
        <v>0.29026880325160537</v>
      </c>
      <c r="CI66">
        <f t="shared" si="89"/>
        <v>11.993424416152651</v>
      </c>
      <c r="CJ66">
        <f t="shared" si="90"/>
        <v>0.25600000000000001</v>
      </c>
      <c r="CK66">
        <f t="shared" ref="CK66:CK97" si="280">$C$13+$C$18*$C$19*($C$3-CJ66)+4*$C$22/$C$11</f>
        <v>115903.32900000001</v>
      </c>
      <c r="CL66">
        <f t="shared" ref="CL66:CL97" si="281">$C$11*($G$27/CK66)^(1/3)</f>
        <v>5.0834641999419269E-3</v>
      </c>
      <c r="CM66">
        <f t="shared" si="91"/>
        <v>4.1964901586966589E-3</v>
      </c>
      <c r="CN66">
        <f t="shared" si="92"/>
        <v>1.1814521545329687E-2</v>
      </c>
      <c r="CO66">
        <f t="shared" si="93"/>
        <v>13.944650042541449</v>
      </c>
      <c r="CP66">
        <f t="shared" si="249"/>
        <v>3.3836060959672039E-6</v>
      </c>
      <c r="CQ66">
        <f t="shared" si="213"/>
        <v>3.1098013634485111E-2</v>
      </c>
      <c r="CR66">
        <f t="shared" si="94"/>
        <v>3604.363305524214</v>
      </c>
      <c r="CS66">
        <f t="shared" si="214"/>
        <v>2.3614858129468083E-6</v>
      </c>
      <c r="CT66">
        <f t="shared" si="95"/>
        <v>1.1081262477471003E-3</v>
      </c>
      <c r="CU66">
        <f t="shared" si="96"/>
        <v>0.28123456049386408</v>
      </c>
      <c r="CW66">
        <f t="shared" si="97"/>
        <v>13.891118152885666</v>
      </c>
      <c r="CX66">
        <f t="shared" si="98"/>
        <v>0.25600000000000001</v>
      </c>
      <c r="CY66">
        <f t="shared" ref="CY66:CY97" si="282">$C$13+$C$18*$C$19*($C$3-CX66)+4*$C$22/$C$11</f>
        <v>115903.32900000001</v>
      </c>
      <c r="CZ66">
        <f t="shared" ref="CZ66:CZ97" si="283">$C$11*($G$27/CY66)^(1/3)</f>
        <v>5.0834641999419269E-3</v>
      </c>
      <c r="DA66">
        <f t="shared" si="99"/>
        <v>4.1964901586966589E-3</v>
      </c>
      <c r="DB66">
        <f t="shared" si="100"/>
        <v>1.1814521545329687E-2</v>
      </c>
      <c r="DC66">
        <f t="shared" si="101"/>
        <v>13.944650042541449</v>
      </c>
      <c r="DD66">
        <f t="shared" si="250"/>
        <v>3.280429003015016E-6</v>
      </c>
      <c r="DE66">
        <f t="shared" si="215"/>
        <v>2.9793515433709776E-2</v>
      </c>
      <c r="DF66">
        <f t="shared" si="102"/>
        <v>3453.1676213798423</v>
      </c>
      <c r="DG66">
        <f t="shared" si="216"/>
        <v>2.3114254513459068E-6</v>
      </c>
      <c r="DH66">
        <f t="shared" si="103"/>
        <v>1.0505400270422742E-3</v>
      </c>
      <c r="DI66">
        <f t="shared" si="104"/>
        <v>0.2726588091899439</v>
      </c>
      <c r="DK66">
        <f t="shared" si="105"/>
        <v>15.78881188961868</v>
      </c>
      <c r="DL66">
        <f t="shared" si="106"/>
        <v>0.25600000000000001</v>
      </c>
      <c r="DM66">
        <f t="shared" ref="DM66:DM97" si="284">$C$13+$C$18*$C$19*($C$3-DL66)+4*$C$22/$C$11</f>
        <v>115903.32900000001</v>
      </c>
      <c r="DN66">
        <f t="shared" ref="DN66:DN97" si="285">$C$11*($G$27/DM66)^(1/3)</f>
        <v>5.0834641999419269E-3</v>
      </c>
      <c r="DO66">
        <f t="shared" si="107"/>
        <v>4.1964901586966589E-3</v>
      </c>
      <c r="DP66">
        <f t="shared" si="108"/>
        <v>1.1814521545329687E-2</v>
      </c>
      <c r="DQ66">
        <f t="shared" si="109"/>
        <v>13.944650042541449</v>
      </c>
      <c r="DR66">
        <f t="shared" si="251"/>
        <v>3.1824116929576981E-6</v>
      </c>
      <c r="DS66">
        <f t="shared" si="217"/>
        <v>2.856310973216155E-2</v>
      </c>
      <c r="DT66">
        <f t="shared" si="110"/>
        <v>3310.5595045498226</v>
      </c>
      <c r="DU66">
        <f t="shared" si="218"/>
        <v>2.2631938805684904E-6</v>
      </c>
      <c r="DV66">
        <f t="shared" si="111"/>
        <v>9.9656508360750832E-4</v>
      </c>
      <c r="DW66">
        <f t="shared" si="112"/>
        <v>0.26451192260417511</v>
      </c>
      <c r="DY66">
        <f t="shared" si="113"/>
        <v>17.686505626351696</v>
      </c>
      <c r="DZ66">
        <f t="shared" si="114"/>
        <v>0.25600000000000001</v>
      </c>
      <c r="EA66">
        <f t="shared" ref="EA66:EA97" si="286">$C$13+$C$18*$C$19*($C$3-DZ66)+4*$C$22/$C$11</f>
        <v>115903.32900000001</v>
      </c>
      <c r="EB66">
        <f t="shared" ref="EB66:EB97" si="287">$C$11*($G$27/EA66)^(1/3)</f>
        <v>5.0834641999419269E-3</v>
      </c>
      <c r="EC66">
        <f t="shared" si="115"/>
        <v>4.1964901586966589E-3</v>
      </c>
      <c r="ED66">
        <f t="shared" si="116"/>
        <v>1.1814521545329687E-2</v>
      </c>
      <c r="EE66">
        <f t="shared" si="117"/>
        <v>13.944650042541449</v>
      </c>
      <c r="EF66">
        <f t="shared" si="252"/>
        <v>3.0892245206083289E-6</v>
      </c>
      <c r="EG66">
        <f t="shared" si="219"/>
        <v>2.7401691307421101E-2</v>
      </c>
      <c r="EH66">
        <f t="shared" si="118"/>
        <v>3175.9472427604683</v>
      </c>
      <c r="EI66">
        <f t="shared" si="220"/>
        <v>2.216703978522168E-6</v>
      </c>
      <c r="EJ66">
        <f t="shared" si="119"/>
        <v>9.4593848732469623E-4</v>
      </c>
      <c r="EK66">
        <f t="shared" si="120"/>
        <v>0.25676650167867893</v>
      </c>
      <c r="EM66">
        <f t="shared" si="121"/>
        <v>19.584199363084711</v>
      </c>
      <c r="EN66">
        <f t="shared" si="122"/>
        <v>0.25600000000000001</v>
      </c>
      <c r="EO66">
        <f t="shared" ref="EO66:EO97" si="288">$C$13+$C$18*$C$19*($C$3-EN66)+4*$C$22/$C$11</f>
        <v>115903.32900000001</v>
      </c>
      <c r="EP66">
        <f t="shared" ref="EP66:EP97" si="289">$C$11*($G$27/EO66)^(1/3)</f>
        <v>5.0834641999419269E-3</v>
      </c>
      <c r="EQ66">
        <f t="shared" si="123"/>
        <v>4.1964901586966589E-3</v>
      </c>
      <c r="ER66">
        <f t="shared" si="124"/>
        <v>1.1814521545329687E-2</v>
      </c>
      <c r="ES66">
        <f t="shared" si="125"/>
        <v>13.944650042541449</v>
      </c>
      <c r="ET66">
        <f t="shared" si="253"/>
        <v>3.0005624012762064E-6</v>
      </c>
      <c r="EU66">
        <f t="shared" si="221"/>
        <v>2.6304556465482735E-2</v>
      </c>
      <c r="EV66">
        <f t="shared" si="126"/>
        <v>3048.7856622179229</v>
      </c>
      <c r="EW66">
        <f t="shared" si="222"/>
        <v>2.1718734066963566E-6</v>
      </c>
      <c r="EX66">
        <f t="shared" si="127"/>
        <v>8.9841874911190109E-4</v>
      </c>
      <c r="EY66">
        <f t="shared" si="128"/>
        <v>0.24939718874578673</v>
      </c>
      <c r="FA66">
        <f t="shared" si="129"/>
        <v>21.481893099817725</v>
      </c>
      <c r="FB66">
        <f t="shared" si="130"/>
        <v>0.25600000000000001</v>
      </c>
      <c r="FC66">
        <f t="shared" ref="FC66:FC97" si="290">$C$13+$C$18*$C$19*($C$3-FB66)+4*$C$22/$C$11</f>
        <v>115903.32900000001</v>
      </c>
      <c r="FD66">
        <f t="shared" ref="FD66:FD97" si="291">$C$11*($G$27/FC66)^(1/3)</f>
        <v>5.0834641999419269E-3</v>
      </c>
      <c r="FE66">
        <f t="shared" si="131"/>
        <v>4.1964901586966589E-3</v>
      </c>
      <c r="FF66">
        <f t="shared" si="132"/>
        <v>1.1814521545329687E-2</v>
      </c>
      <c r="FG66">
        <f t="shared" si="133"/>
        <v>13.944650042541449</v>
      </c>
      <c r="FH66">
        <f t="shared" si="254"/>
        <v>2.9161427722341577E-6</v>
      </c>
      <c r="FI66">
        <f t="shared" si="223"/>
        <v>2.5267368297464239E-2</v>
      </c>
      <c r="FJ66">
        <f t="shared" si="134"/>
        <v>2928.572100745168</v>
      </c>
      <c r="FK66">
        <f t="shared" si="224"/>
        <v>2.1286243277857629E-6</v>
      </c>
      <c r="FL66">
        <f t="shared" si="135"/>
        <v>8.5378391699601904E-4</v>
      </c>
      <c r="FM66">
        <f t="shared" si="136"/>
        <v>0.24238049809169657</v>
      </c>
      <c r="FO66">
        <f t="shared" si="137"/>
        <v>23.37958683655074</v>
      </c>
      <c r="FP66">
        <f t="shared" si="138"/>
        <v>0.25600000000000001</v>
      </c>
      <c r="FQ66">
        <f t="shared" ref="FQ66:FQ97" si="292">$C$13+$C$18*$C$19*($C$3-FP66)+4*$C$22/$C$11</f>
        <v>115903.32900000001</v>
      </c>
      <c r="FR66">
        <f t="shared" ref="FR66:FR97" si="293">$C$11*($G$27/FQ66)^(1/3)</f>
        <v>5.0834641999419269E-3</v>
      </c>
      <c r="FS66">
        <f t="shared" si="139"/>
        <v>4.1964901586966589E-3</v>
      </c>
      <c r="FT66">
        <f t="shared" si="140"/>
        <v>1.1814521545329687E-2</v>
      </c>
      <c r="FU66">
        <f t="shared" si="141"/>
        <v>13.944650042541449</v>
      </c>
      <c r="FV66">
        <f t="shared" si="255"/>
        <v>2.8357037374727021E-6</v>
      </c>
      <c r="FW66">
        <f t="shared" si="225"/>
        <v>2.4286125163566822E-2</v>
      </c>
      <c r="FX66">
        <f t="shared" si="142"/>
        <v>2814.8427549680646</v>
      </c>
      <c r="FY66">
        <f t="shared" si="226"/>
        <v>2.0868831403213835E-6</v>
      </c>
      <c r="FZ66">
        <f t="shared" si="143"/>
        <v>8.1182985245629438E-4</v>
      </c>
      <c r="GA66">
        <f t="shared" si="144"/>
        <v>0.23569466175434889</v>
      </c>
      <c r="GC66">
        <f t="shared" si="145"/>
        <v>25.277280573283754</v>
      </c>
      <c r="GD66">
        <f t="shared" si="146"/>
        <v>0.25600000000000001</v>
      </c>
      <c r="GE66">
        <f t="shared" ref="GE66:GE97" si="294">$C$13+$C$18*$C$19*($C$3-GD66)+4*$C$22/$C$11</f>
        <v>115903.32900000001</v>
      </c>
      <c r="GF66">
        <f t="shared" ref="GF66:GF97" si="295">$C$11*($G$27/GE66)^(1/3)</f>
        <v>5.0834641999419269E-3</v>
      </c>
      <c r="GG66">
        <f t="shared" si="147"/>
        <v>4.1964901586966589E-3</v>
      </c>
      <c r="GH66">
        <f t="shared" si="148"/>
        <v>1.1814521545329687E-2</v>
      </c>
      <c r="GI66">
        <f t="shared" si="149"/>
        <v>13.944650042541449</v>
      </c>
      <c r="GJ66">
        <f t="shared" si="256"/>
        <v>2.7590023782367378E-6</v>
      </c>
      <c r="GK66">
        <f t="shared" si="227"/>
        <v>2.3357132088204426E-2</v>
      </c>
      <c r="GL66">
        <f t="shared" si="150"/>
        <v>2707.169364915615</v>
      </c>
      <c r="GM66">
        <f t="shared" si="228"/>
        <v>2.046580229321586E-6</v>
      </c>
      <c r="GN66">
        <f t="shared" si="151"/>
        <v>7.7236866913198718E-4</v>
      </c>
      <c r="GO66">
        <f t="shared" si="152"/>
        <v>0.22931948910061767</v>
      </c>
      <c r="GQ66">
        <f t="shared" si="153"/>
        <v>27.174974310016768</v>
      </c>
      <c r="GR66">
        <f t="shared" si="154"/>
        <v>0.25600000000000001</v>
      </c>
      <c r="GS66">
        <f t="shared" ref="GS66:GS97" si="296">$C$13+$C$18*$C$19*($C$3-GR66)+4*$C$22/$C$11</f>
        <v>115903.32900000001</v>
      </c>
      <c r="GT66">
        <f t="shared" ref="GT66:GT97" si="297">$C$11*($G$27/GS66)^(1/3)</f>
        <v>5.0834641999419269E-3</v>
      </c>
      <c r="GU66">
        <f t="shared" si="155"/>
        <v>4.1964901586966589E-3</v>
      </c>
      <c r="GV66">
        <f t="shared" si="156"/>
        <v>1.1814521545329687E-2</v>
      </c>
      <c r="GW66">
        <f t="shared" si="157"/>
        <v>13.944650042541449</v>
      </c>
      <c r="GX66">
        <f t="shared" si="257"/>
        <v>2.6858132135893894E-6</v>
      </c>
      <c r="GY66">
        <f t="shared" si="229"/>
        <v>2.2476974782398868E-2</v>
      </c>
      <c r="GZ66">
        <f t="shared" si="158"/>
        <v>2605.1562031290796</v>
      </c>
      <c r="HA66">
        <f t="shared" si="230"/>
        <v>2.007649732026344E-6</v>
      </c>
      <c r="HB66">
        <f t="shared" si="159"/>
        <v>7.3522731782886639E-4</v>
      </c>
      <c r="HC66">
        <f t="shared" si="160"/>
        <v>0.22323623887328103</v>
      </c>
      <c r="HE66">
        <f t="shared" si="161"/>
        <v>29.072668046749783</v>
      </c>
      <c r="HF66">
        <f t="shared" si="162"/>
        <v>0.25600000000000001</v>
      </c>
      <c r="HG66">
        <f t="shared" si="33"/>
        <v>115903.32900000001</v>
      </c>
      <c r="HH66">
        <f t="shared" si="34"/>
        <v>5.0834641999419269E-3</v>
      </c>
      <c r="HI66">
        <f t="shared" si="263"/>
        <v>4.1964901586966589E-3</v>
      </c>
      <c r="HJ66">
        <f t="shared" si="164"/>
        <v>1.1814521545329687E-2</v>
      </c>
      <c r="HK66">
        <f t="shared" si="165"/>
        <v>13.944650042541449</v>
      </c>
      <c r="HL66">
        <f t="shared" si="258"/>
        <v>2.6159267968159181E-6</v>
      </c>
      <c r="HM66">
        <f t="shared" si="231"/>
        <v>2.1642496038350608E-2</v>
      </c>
      <c r="HN66">
        <f t="shared" si="166"/>
        <v>2508.4373387141472</v>
      </c>
      <c r="HO66">
        <f t="shared" si="232"/>
        <v>1.9700293178263443E-6</v>
      </c>
      <c r="HP66">
        <f t="shared" si="167"/>
        <v>7.0024630340668613E-4</v>
      </c>
      <c r="HQ66">
        <f t="shared" si="168"/>
        <v>0.21742750252858545</v>
      </c>
      <c r="HS66">
        <f t="shared" si="169"/>
        <v>30.970361783482797</v>
      </c>
      <c r="HT66">
        <f t="shared" si="170"/>
        <v>0.25600000000000001</v>
      </c>
      <c r="HU66">
        <f t="shared" si="35"/>
        <v>115903.32900000001</v>
      </c>
      <c r="HV66">
        <f t="shared" si="36"/>
        <v>5.0834641999419269E-3</v>
      </c>
      <c r="HW66">
        <f t="shared" si="264"/>
        <v>4.1964901586966589E-3</v>
      </c>
      <c r="HX66">
        <f t="shared" si="172"/>
        <v>1.1814521545329687E-2</v>
      </c>
      <c r="HY66">
        <f t="shared" si="173"/>
        <v>13.944650042541449</v>
      </c>
      <c r="HZ66">
        <f t="shared" si="259"/>
        <v>2.5491484348875076E-6</v>
      </c>
      <c r="IA66">
        <f t="shared" si="233"/>
        <v>2.0850774266902232E-2</v>
      </c>
      <c r="IB66">
        <f t="shared" si="174"/>
        <v>2416.6741497615035</v>
      </c>
      <c r="IC66">
        <f t="shared" si="234"/>
        <v>1.9336599815455741E-6</v>
      </c>
      <c r="ID66">
        <f t="shared" si="175"/>
        <v>6.6727852060426563E-4</v>
      </c>
      <c r="IE66">
        <f t="shared" si="176"/>
        <v>0.21187709780215458</v>
      </c>
      <c r="IG66">
        <f t="shared" si="177"/>
        <v>32.868055520215812</v>
      </c>
      <c r="IH66">
        <f t="shared" si="178"/>
        <v>0.25600000000000001</v>
      </c>
      <c r="II66">
        <f t="shared" si="37"/>
        <v>115903.32900000001</v>
      </c>
      <c r="IJ66">
        <f t="shared" si="38"/>
        <v>5.0834641999419269E-3</v>
      </c>
      <c r="IK66">
        <f t="shared" si="265"/>
        <v>4.1964901586966589E-3</v>
      </c>
      <c r="IL66">
        <f t="shared" si="180"/>
        <v>1.1814521545329687E-2</v>
      </c>
      <c r="IM66">
        <f t="shared" si="181"/>
        <v>13.944650042541449</v>
      </c>
      <c r="IN66">
        <f t="shared" si="260"/>
        <v>2.4852970194671595E-6</v>
      </c>
      <c r="IO66">
        <f t="shared" si="235"/>
        <v>2.0099103971732202E-2</v>
      </c>
      <c r="IP66">
        <f t="shared" si="182"/>
        <v>2329.5530602408844</v>
      </c>
      <c r="IQ66">
        <f t="shared" si="236"/>
        <v>1.8984858492810573E-6</v>
      </c>
      <c r="IR66">
        <f t="shared" si="183"/>
        <v>6.3618819717858486E-4</v>
      </c>
      <c r="IS66">
        <f t="shared" si="184"/>
        <v>0.20656997154592302</v>
      </c>
      <c r="IU66">
        <f t="shared" si="185"/>
        <v>34.765749256948823</v>
      </c>
      <c r="IV66">
        <f t="shared" si="186"/>
        <v>0.25600000000000001</v>
      </c>
      <c r="IW66">
        <f t="shared" si="39"/>
        <v>115903.32900000001</v>
      </c>
      <c r="IX66">
        <f t="shared" si="40"/>
        <v>5.0834641999419269E-3</v>
      </c>
      <c r="IY66">
        <f t="shared" si="266"/>
        <v>4.1964901586966589E-3</v>
      </c>
      <c r="IZ66">
        <f t="shared" si="188"/>
        <v>1.1814521545329687E-2</v>
      </c>
      <c r="JA66">
        <f t="shared" si="189"/>
        <v>13.944650042541449</v>
      </c>
      <c r="JB66">
        <f t="shared" si="261"/>
        <v>2.4242039590730863E-6</v>
      </c>
      <c r="JC66">
        <f t="shared" si="237"/>
        <v>1.9384977974833777E-2</v>
      </c>
      <c r="JD66">
        <f t="shared" si="190"/>
        <v>2246.7834798749132</v>
      </c>
      <c r="JE66">
        <f t="shared" si="238"/>
        <v>1.8644539960466913E-6</v>
      </c>
      <c r="JF66">
        <f t="shared" si="191"/>
        <v>6.0684993391588941E-4</v>
      </c>
      <c r="JG66">
        <f t="shared" si="192"/>
        <v>0.20149211097295908</v>
      </c>
      <c r="JI66">
        <f t="shared" si="193"/>
        <v>36.663442993681841</v>
      </c>
      <c r="JJ66">
        <f t="shared" si="194"/>
        <v>0.25600000000000001</v>
      </c>
      <c r="JK66">
        <f t="shared" si="41"/>
        <v>115903.32900000001</v>
      </c>
      <c r="JL66">
        <f t="shared" si="42"/>
        <v>5.0834641999419269E-3</v>
      </c>
      <c r="JM66">
        <f t="shared" si="267"/>
        <v>4.1964901586966589E-3</v>
      </c>
      <c r="JN66">
        <f t="shared" si="196"/>
        <v>1.1814521545329687E-2</v>
      </c>
      <c r="JO66">
        <f t="shared" si="197"/>
        <v>13.944650042541449</v>
      </c>
      <c r="JP66">
        <f t="shared" si="262"/>
        <v>2.3657122030324163E-6</v>
      </c>
      <c r="JQ66">
        <f t="shared" si="239"/>
        <v>1.8706071226402155E-2</v>
      </c>
      <c r="JR66">
        <f t="shared" si="198"/>
        <v>2168.0959276511226</v>
      </c>
      <c r="JS66">
        <f t="shared" si="240"/>
        <v>1.8315142745095005E-6</v>
      </c>
      <c r="JT66">
        <f t="shared" si="199"/>
        <v>5.7914783213098631E-4</v>
      </c>
      <c r="JU66">
        <f t="shared" si="200"/>
        <v>0.19663046253160588</v>
      </c>
    </row>
    <row r="67" spans="2:281">
      <c r="B67">
        <v>0.33</v>
      </c>
      <c r="C67">
        <f t="shared" si="43"/>
        <v>0.62623893312189483</v>
      </c>
      <c r="D67">
        <f t="shared" si="44"/>
        <v>0.26400000000000001</v>
      </c>
      <c r="E67">
        <f t="shared" si="268"/>
        <v>115718.90100000001</v>
      </c>
      <c r="F67">
        <f t="shared" si="269"/>
        <v>5.0861633715284698E-3</v>
      </c>
      <c r="G67">
        <f t="shared" si="45"/>
        <v>4.1953764950806776E-3</v>
      </c>
      <c r="H67">
        <f t="shared" si="46"/>
        <v>1.1833351041295624E-2</v>
      </c>
      <c r="I67">
        <f t="shared" si="47"/>
        <v>13.959462380862753</v>
      </c>
      <c r="J67">
        <f t="shared" si="241"/>
        <v>4.1316086689195263E-6</v>
      </c>
      <c r="K67">
        <f t="shared" si="201"/>
        <v>4.166037746206714E-2</v>
      </c>
      <c r="L67">
        <f t="shared" ref="L67:L98" si="298">K67*E67</f>
        <v>4820.8930951555794</v>
      </c>
      <c r="M67">
        <f t="shared" si="202"/>
        <v>2.7310824499835113E-6</v>
      </c>
      <c r="N67">
        <f t="shared" si="203"/>
        <v>1.5195825012256554E-3</v>
      </c>
      <c r="O67">
        <f t="shared" si="49"/>
        <v>0.34340615165610111</v>
      </c>
      <c r="Q67">
        <f t="shared" si="50"/>
        <v>2.5239326698549092</v>
      </c>
      <c r="R67">
        <f t="shared" si="51"/>
        <v>0.26400000000000001</v>
      </c>
      <c r="S67">
        <f t="shared" si="270"/>
        <v>115718.90100000001</v>
      </c>
      <c r="T67">
        <f t="shared" si="271"/>
        <v>5.0861633715284698E-3</v>
      </c>
      <c r="U67">
        <f t="shared" si="52"/>
        <v>4.1953764950806776E-3</v>
      </c>
      <c r="V67">
        <f t="shared" si="53"/>
        <v>1.1833351041295624E-2</v>
      </c>
      <c r="W67">
        <f t="shared" si="54"/>
        <v>13.959462380862753</v>
      </c>
      <c r="X67">
        <f t="shared" si="242"/>
        <v>3.988950517867589E-6</v>
      </c>
      <c r="Y67">
        <f t="shared" si="204"/>
        <v>3.9729855507068569E-2</v>
      </c>
      <c r="Z67">
        <f t="shared" ref="Z67:Z98" si="299">Y67*S67</f>
        <v>4597.4952161667734</v>
      </c>
      <c r="AA67">
        <f t="shared" si="205"/>
        <v>2.6670533553214106E-6</v>
      </c>
      <c r="AB67">
        <f t="shared" si="56"/>
        <v>1.4342693263900903E-3</v>
      </c>
      <c r="AC67">
        <f t="shared" si="57"/>
        <v>0.33154886056663979</v>
      </c>
      <c r="AE67">
        <f t="shared" si="58"/>
        <v>4.4216264065879241</v>
      </c>
      <c r="AF67">
        <f t="shared" si="59"/>
        <v>0.26400000000000001</v>
      </c>
      <c r="AG67">
        <f t="shared" si="272"/>
        <v>115718.90100000001</v>
      </c>
      <c r="AH67">
        <f t="shared" si="273"/>
        <v>5.0861633715284698E-3</v>
      </c>
      <c r="AI67">
        <f t="shared" si="60"/>
        <v>4.1953764950806776E-3</v>
      </c>
      <c r="AJ67">
        <f t="shared" si="61"/>
        <v>1.1833351041295624E-2</v>
      </c>
      <c r="AK67">
        <f t="shared" si="62"/>
        <v>13.959462380862753</v>
      </c>
      <c r="AL67">
        <f t="shared" si="243"/>
        <v>3.854082520126829E-6</v>
      </c>
      <c r="AM67">
        <f t="shared" si="206"/>
        <v>3.7918045339045338E-2</v>
      </c>
      <c r="AN67">
        <f t="shared" ref="AN67:AN98" si="300">AM67*AG67</f>
        <v>4387.8345347024997</v>
      </c>
      <c r="AO67">
        <f t="shared" si="207"/>
        <v>2.6055306237930203E-6</v>
      </c>
      <c r="AP67">
        <f t="shared" si="64"/>
        <v>1.3546891074858512E-3</v>
      </c>
      <c r="AQ67">
        <f t="shared" si="65"/>
        <v>0.32033906220550168</v>
      </c>
      <c r="AS67">
        <f t="shared" si="66"/>
        <v>6.3193201433209385</v>
      </c>
      <c r="AT67">
        <f t="shared" si="67"/>
        <v>0.26400000000000001</v>
      </c>
      <c r="AU67">
        <f t="shared" si="274"/>
        <v>115718.90100000001</v>
      </c>
      <c r="AV67">
        <f t="shared" si="275"/>
        <v>5.0861633715284698E-3</v>
      </c>
      <c r="AW67">
        <f t="shared" si="68"/>
        <v>4.1953764950806776E-3</v>
      </c>
      <c r="AX67">
        <f t="shared" si="69"/>
        <v>1.1833351041295624E-2</v>
      </c>
      <c r="AY67">
        <f t="shared" si="70"/>
        <v>13.959462380862753</v>
      </c>
      <c r="AZ67">
        <f t="shared" si="244"/>
        <v>3.7264723017548525E-6</v>
      </c>
      <c r="BA67">
        <f t="shared" si="208"/>
        <v>3.6216233309805577E-2</v>
      </c>
      <c r="BB67">
        <f t="shared" ref="BB67:BB98" si="301">BA67*AU67</f>
        <v>4190.902716970294</v>
      </c>
      <c r="BC67">
        <f t="shared" si="209"/>
        <v>2.5463895939765224E-6</v>
      </c>
      <c r="BD67">
        <f t="shared" si="72"/>
        <v>1.2803994730646775E-3</v>
      </c>
      <c r="BE67">
        <f t="shared" si="73"/>
        <v>0.30973250734642904</v>
      </c>
      <c r="BG67">
        <f t="shared" si="74"/>
        <v>8.2170138800539529</v>
      </c>
      <c r="BH67">
        <f t="shared" si="75"/>
        <v>0.26400000000000001</v>
      </c>
      <c r="BI67">
        <f t="shared" si="276"/>
        <v>115718.90100000001</v>
      </c>
      <c r="BJ67">
        <f t="shared" si="277"/>
        <v>5.0861633715284698E-3</v>
      </c>
      <c r="BK67">
        <f t="shared" si="76"/>
        <v>4.1953764950806776E-3</v>
      </c>
      <c r="BL67">
        <f t="shared" si="77"/>
        <v>1.1833351041295624E-2</v>
      </c>
      <c r="BM67">
        <f t="shared" si="78"/>
        <v>13.959462380862753</v>
      </c>
      <c r="BN67">
        <f t="shared" si="245"/>
        <v>3.6056293474605679E-6</v>
      </c>
      <c r="BO67">
        <f t="shared" si="210"/>
        <v>3.4616426746455105E-2</v>
      </c>
      <c r="BP67">
        <f t="shared" ref="BP67:BP98" si="302">BO67*BI67</f>
        <v>4005.7748596467909</v>
      </c>
      <c r="BQ67">
        <f t="shared" si="211"/>
        <v>2.4895126033740859E-6</v>
      </c>
      <c r="BR67">
        <f t="shared" si="80"/>
        <v>1.2109958747700221E-3</v>
      </c>
      <c r="BS67">
        <f t="shared" si="81"/>
        <v>0.29968842592092299</v>
      </c>
      <c r="BU67">
        <f t="shared" si="82"/>
        <v>10.114707616786967</v>
      </c>
      <c r="BV67">
        <f t="shared" si="83"/>
        <v>0.26400000000000001</v>
      </c>
      <c r="BW67">
        <f t="shared" si="278"/>
        <v>115718.90100000001</v>
      </c>
      <c r="BX67">
        <f t="shared" si="279"/>
        <v>5.0861633715284698E-3</v>
      </c>
      <c r="BY67">
        <f t="shared" si="84"/>
        <v>4.1953764950806776E-3</v>
      </c>
      <c r="BZ67">
        <f t="shared" si="85"/>
        <v>1.1833351041295624E-2</v>
      </c>
      <c r="CA67">
        <f t="shared" si="86"/>
        <v>13.959462380862753</v>
      </c>
      <c r="CB67">
        <f t="shared" si="246"/>
        <v>3.491101371726838E-6</v>
      </c>
      <c r="CC67">
        <f t="shared" si="247"/>
        <v>3.3111288989471722E-2</v>
      </c>
      <c r="CD67">
        <f t="shared" ref="CD67:CD98" si="303">CC67*BW67</f>
        <v>3831.6019725550686</v>
      </c>
      <c r="CE67">
        <f t="shared" si="248"/>
        <v>2.4347885742240176E-6</v>
      </c>
      <c r="CF67">
        <f t="shared" si="212"/>
        <v>1.1461080993724251E-3</v>
      </c>
      <c r="CG67">
        <f t="shared" si="88"/>
        <v>0.29016922539751794</v>
      </c>
      <c r="CI67">
        <f t="shared" si="89"/>
        <v>12.012401353519982</v>
      </c>
      <c r="CJ67">
        <f t="shared" si="90"/>
        <v>0.26400000000000001</v>
      </c>
      <c r="CK67">
        <f t="shared" si="280"/>
        <v>115718.90100000001</v>
      </c>
      <c r="CL67">
        <f t="shared" si="281"/>
        <v>5.0861633715284698E-3</v>
      </c>
      <c r="CM67">
        <f t="shared" si="91"/>
        <v>4.1953764950806776E-3</v>
      </c>
      <c r="CN67">
        <f t="shared" si="92"/>
        <v>1.1833351041295624E-2</v>
      </c>
      <c r="CO67">
        <f t="shared" si="93"/>
        <v>13.959462380862753</v>
      </c>
      <c r="CP67">
        <f t="shared" si="249"/>
        <v>3.3824710277602318E-6</v>
      </c>
      <c r="CQ67">
        <f t="shared" si="213"/>
        <v>3.1694080658623128E-2</v>
      </c>
      <c r="CR67">
        <f t="shared" ref="CR67:CR98" si="304">CQ67*CK67</f>
        <v>3667.6041820212249</v>
      </c>
      <c r="CS67">
        <f t="shared" si="214"/>
        <v>2.3821126237538235E-6</v>
      </c>
      <c r="CT67">
        <f t="shared" si="95"/>
        <v>1.0853971208314892E-3</v>
      </c>
      <c r="CU67">
        <f t="shared" si="96"/>
        <v>0.2811402172401683</v>
      </c>
      <c r="CW67">
        <f t="shared" si="97"/>
        <v>13.910095090252996</v>
      </c>
      <c r="CX67">
        <f t="shared" si="98"/>
        <v>0.26400000000000001</v>
      </c>
      <c r="CY67">
        <f t="shared" si="282"/>
        <v>115718.90100000001</v>
      </c>
      <c r="CZ67">
        <f t="shared" si="283"/>
        <v>5.0861633715284698E-3</v>
      </c>
      <c r="DA67">
        <f t="shared" si="99"/>
        <v>4.1953764950806776E-3</v>
      </c>
      <c r="DB67">
        <f t="shared" si="100"/>
        <v>1.1833351041295624E-2</v>
      </c>
      <c r="DC67">
        <f t="shared" si="101"/>
        <v>13.959462380862753</v>
      </c>
      <c r="DD67">
        <f t="shared" si="250"/>
        <v>3.2793529211269894E-6</v>
      </c>
      <c r="DE67">
        <f t="shared" si="215"/>
        <v>3.0358606522319989E-2</v>
      </c>
      <c r="DF67">
        <f t="shared" ref="DF67:DF98" si="305">DE67*CY67</f>
        <v>3513.0645826543014</v>
      </c>
      <c r="DG67">
        <f t="shared" si="216"/>
        <v>2.3313856975273478E-6</v>
      </c>
      <c r="DH67">
        <f t="shared" si="103"/>
        <v>1.0285522578876443E-3</v>
      </c>
      <c r="DI67">
        <f t="shared" si="104"/>
        <v>0.2725693686911827</v>
      </c>
      <c r="DK67">
        <f t="shared" si="105"/>
        <v>15.807788826986011</v>
      </c>
      <c r="DL67">
        <f t="shared" si="106"/>
        <v>0.26400000000000001</v>
      </c>
      <c r="DM67">
        <f t="shared" si="284"/>
        <v>115718.90100000001</v>
      </c>
      <c r="DN67">
        <f t="shared" si="285"/>
        <v>5.0861633715284698E-3</v>
      </c>
      <c r="DO67">
        <f t="shared" si="107"/>
        <v>4.1953764950806776E-3</v>
      </c>
      <c r="DP67">
        <f t="shared" si="108"/>
        <v>1.1833351041295624E-2</v>
      </c>
      <c r="DQ67">
        <f t="shared" si="109"/>
        <v>13.959462380862753</v>
      </c>
      <c r="DR67">
        <f t="shared" si="251"/>
        <v>3.1813908983100835E-6</v>
      </c>
      <c r="DS67">
        <f t="shared" si="217"/>
        <v>2.909916741056549E-2</v>
      </c>
      <c r="DT67">
        <f t="shared" ref="DT67:DT98" si="306">DS67*DM67</f>
        <v>3367.3236727656545</v>
      </c>
      <c r="DU67">
        <f t="shared" si="218"/>
        <v>2.2825142246012359E-6</v>
      </c>
      <c r="DV67">
        <f t="shared" si="111"/>
        <v>9.7528860628227313E-4</v>
      </c>
      <c r="DW67">
        <f t="shared" si="112"/>
        <v>0.26442707740472399</v>
      </c>
      <c r="DY67">
        <f t="shared" si="113"/>
        <v>17.705482563719023</v>
      </c>
      <c r="DZ67">
        <f t="shared" si="114"/>
        <v>0.26400000000000001</v>
      </c>
      <c r="EA67">
        <f t="shared" si="286"/>
        <v>115718.90100000001</v>
      </c>
      <c r="EB67">
        <f t="shared" si="287"/>
        <v>5.0861633715284698E-3</v>
      </c>
      <c r="EC67">
        <f t="shared" si="115"/>
        <v>4.1953764950806776E-3</v>
      </c>
      <c r="ED67">
        <f t="shared" si="116"/>
        <v>1.1833351041295624E-2</v>
      </c>
      <c r="EE67">
        <f t="shared" si="117"/>
        <v>13.959462380862753</v>
      </c>
      <c r="EF67">
        <f t="shared" si="252"/>
        <v>3.0882555834453509E-6</v>
      </c>
      <c r="EG67">
        <f t="shared" si="219"/>
        <v>2.7910516669426087E-2</v>
      </c>
      <c r="EH67">
        <f t="shared" ref="EH67:EH98" si="307">EG67*EA67</f>
        <v>3229.7743153281676</v>
      </c>
      <c r="EI67">
        <f t="shared" si="220"/>
        <v>2.2354097932662365E-6</v>
      </c>
      <c r="EJ67">
        <f t="shared" si="119"/>
        <v>9.2534471791945602E-4</v>
      </c>
      <c r="EK67">
        <f t="shared" si="120"/>
        <v>0.25668596670816302</v>
      </c>
      <c r="EM67">
        <f t="shared" si="121"/>
        <v>19.603176300452038</v>
      </c>
      <c r="EN67">
        <f t="shared" si="122"/>
        <v>0.26400000000000001</v>
      </c>
      <c r="EO67">
        <f t="shared" si="288"/>
        <v>115718.90100000001</v>
      </c>
      <c r="EP67">
        <f t="shared" si="289"/>
        <v>5.0861633715284698E-3</v>
      </c>
      <c r="EQ67">
        <f t="shared" si="123"/>
        <v>4.1953764950806776E-3</v>
      </c>
      <c r="ER67">
        <f t="shared" si="124"/>
        <v>1.1833351041295624E-2</v>
      </c>
      <c r="ES67">
        <f t="shared" si="125"/>
        <v>13.959462380862753</v>
      </c>
      <c r="ET67">
        <f t="shared" si="253"/>
        <v>2.9996421392025143E-6</v>
      </c>
      <c r="EU67">
        <f t="shared" si="221"/>
        <v>2.6787820706629967E-2</v>
      </c>
      <c r="EV67">
        <f t="shared" ref="EV67:EV98" si="308">EU67*EO67</f>
        <v>3099.8571723562636</v>
      </c>
      <c r="EW67">
        <f t="shared" si="222"/>
        <v>2.1899888462073035E-6</v>
      </c>
      <c r="EX67">
        <f t="shared" si="127"/>
        <v>8.7848050215721116E-4</v>
      </c>
      <c r="EY67">
        <f t="shared" si="128"/>
        <v>0.24932069949364169</v>
      </c>
      <c r="FA67">
        <f t="shared" si="129"/>
        <v>21.500870037185052</v>
      </c>
      <c r="FB67">
        <f t="shared" si="130"/>
        <v>0.26400000000000001</v>
      </c>
      <c r="FC67">
        <f t="shared" si="290"/>
        <v>115718.90100000001</v>
      </c>
      <c r="FD67">
        <f t="shared" si="291"/>
        <v>5.0861633715284698E-3</v>
      </c>
      <c r="FE67">
        <f t="shared" si="131"/>
        <v>4.1953764950806776E-3</v>
      </c>
      <c r="FF67">
        <f t="shared" si="132"/>
        <v>1.1833351041295624E-2</v>
      </c>
      <c r="FG67">
        <f t="shared" si="133"/>
        <v>13.959462380862753</v>
      </c>
      <c r="FH67">
        <f t="shared" si="254"/>
        <v>2.915268230202709E-6</v>
      </c>
      <c r="FI67">
        <f t="shared" si="223"/>
        <v>2.5726623224143645E-2</v>
      </c>
      <c r="FJ67">
        <f t="shared" ref="FJ67:FJ98" si="309">FI67*FC67</f>
        <v>2977.0565659389795</v>
      </c>
      <c r="FK67">
        <f t="shared" si="224"/>
        <v>2.1461723939730617E-6</v>
      </c>
      <c r="FL67">
        <f t="shared" si="135"/>
        <v>8.3447532698670474E-4</v>
      </c>
      <c r="FM67">
        <f t="shared" si="136"/>
        <v>0.24230780894382528</v>
      </c>
      <c r="FO67">
        <f t="shared" si="137"/>
        <v>23.398563773918067</v>
      </c>
      <c r="FP67">
        <f t="shared" si="138"/>
        <v>0.26400000000000001</v>
      </c>
      <c r="FQ67">
        <f t="shared" si="292"/>
        <v>115718.90100000001</v>
      </c>
      <c r="FR67">
        <f t="shared" si="293"/>
        <v>5.0861633715284698E-3</v>
      </c>
      <c r="FS67">
        <f t="shared" si="139"/>
        <v>4.1953764950806776E-3</v>
      </c>
      <c r="FT67">
        <f t="shared" si="140"/>
        <v>1.1833351041295624E-2</v>
      </c>
      <c r="FU67">
        <f t="shared" si="141"/>
        <v>13.959462380862753</v>
      </c>
      <c r="FV67">
        <f t="shared" si="255"/>
        <v>2.8348721695382114E-6</v>
      </c>
      <c r="FW67">
        <f t="shared" si="225"/>
        <v>2.4722812774968277E-2</v>
      </c>
      <c r="FX67">
        <f t="shared" ref="FX67:FX98" si="310">FW67*FQ67</f>
        <v>2860.8967239480899</v>
      </c>
      <c r="FY67">
        <f t="shared" si="226"/>
        <v>2.1038857457001013E-6</v>
      </c>
      <c r="FZ67">
        <f t="shared" si="143"/>
        <v>7.9312630015722721E-4</v>
      </c>
      <c r="GA67">
        <f t="shared" si="144"/>
        <v>0.23562554447652628</v>
      </c>
      <c r="GC67">
        <f t="shared" si="145"/>
        <v>25.296257510651081</v>
      </c>
      <c r="GD67">
        <f t="shared" si="146"/>
        <v>0.26400000000000001</v>
      </c>
      <c r="GE67">
        <f t="shared" si="294"/>
        <v>115718.90100000001</v>
      </c>
      <c r="GF67">
        <f t="shared" si="295"/>
        <v>5.0861633715284698E-3</v>
      </c>
      <c r="GG67">
        <f t="shared" si="147"/>
        <v>4.1953764950806776E-3</v>
      </c>
      <c r="GH67">
        <f t="shared" si="148"/>
        <v>1.1833351041295624E-2</v>
      </c>
      <c r="GI67">
        <f t="shared" si="149"/>
        <v>13.959462380862753</v>
      </c>
      <c r="GJ67">
        <f t="shared" si="256"/>
        <v>2.7582112309083759E-6</v>
      </c>
      <c r="GK67">
        <f t="shared" si="227"/>
        <v>2.3772593318441369E-2</v>
      </c>
      <c r="GL67">
        <f t="shared" ref="GL67:GL98" si="311">GK67*GE67</f>
        <v>2750.9383727299787</v>
      </c>
      <c r="GM67">
        <f t="shared" si="228"/>
        <v>2.0630582560904999E-6</v>
      </c>
      <c r="GN67">
        <f t="shared" si="151"/>
        <v>7.5424671236123671E-4</v>
      </c>
      <c r="GO67">
        <f t="shared" si="152"/>
        <v>0.22925373145481992</v>
      </c>
      <c r="GQ67">
        <f t="shared" si="153"/>
        <v>27.193951247384096</v>
      </c>
      <c r="GR67">
        <f t="shared" si="154"/>
        <v>0.26400000000000001</v>
      </c>
      <c r="GS67">
        <f t="shared" si="296"/>
        <v>115718.90100000001</v>
      </c>
      <c r="GT67">
        <f t="shared" si="297"/>
        <v>5.0861633715284698E-3</v>
      </c>
      <c r="GU67">
        <f t="shared" si="155"/>
        <v>4.1953764950806776E-3</v>
      </c>
      <c r="GV67">
        <f t="shared" si="156"/>
        <v>1.1833351041295624E-2</v>
      </c>
      <c r="GW67">
        <f t="shared" si="157"/>
        <v>13.959462380862753</v>
      </c>
      <c r="GX67">
        <f t="shared" si="257"/>
        <v>2.6850601106328792E-6</v>
      </c>
      <c r="GY67">
        <f t="shared" si="229"/>
        <v>2.2872457481499381E-2</v>
      </c>
      <c r="GZ67">
        <f t="shared" ref="GZ67:GZ98" si="312">GY67*GS67</f>
        <v>2646.7756429283363</v>
      </c>
      <c r="HA67">
        <f t="shared" si="230"/>
        <v>2.0236230876922368E-6</v>
      </c>
      <c r="HB67">
        <f t="shared" si="159"/>
        <v>7.1766462643375341E-4</v>
      </c>
      <c r="HC67">
        <f t="shared" si="160"/>
        <v>0.22317364335448434</v>
      </c>
      <c r="HE67">
        <f t="shared" si="161"/>
        <v>29.09164498411711</v>
      </c>
      <c r="HF67">
        <f t="shared" si="162"/>
        <v>0.26400000000000001</v>
      </c>
      <c r="HG67">
        <f t="shared" si="33"/>
        <v>115718.90100000001</v>
      </c>
      <c r="HH67">
        <f t="shared" si="34"/>
        <v>5.0861633715284698E-3</v>
      </c>
      <c r="HI67">
        <f t="shared" si="263"/>
        <v>4.1953764950806776E-3</v>
      </c>
      <c r="HJ67">
        <f t="shared" si="164"/>
        <v>1.1833351041295624E-2</v>
      </c>
      <c r="HK67">
        <f t="shared" si="165"/>
        <v>13.959462380862753</v>
      </c>
      <c r="HL67">
        <f t="shared" si="258"/>
        <v>2.6152095253699409E-6</v>
      </c>
      <c r="HM67">
        <f t="shared" si="231"/>
        <v>2.2019162263055406E-2</v>
      </c>
      <c r="HN67">
        <f t="shared" si="166"/>
        <v>2548.0332580214449</v>
      </c>
      <c r="HO67">
        <f t="shared" si="232"/>
        <v>1.9855169875814866E-6</v>
      </c>
      <c r="HP67">
        <f t="shared" si="167"/>
        <v>6.8322159816661435E-4</v>
      </c>
      <c r="HQ67">
        <f t="shared" si="168"/>
        <v>0.21736788521080588</v>
      </c>
      <c r="HS67">
        <f t="shared" si="169"/>
        <v>30.989338720850121</v>
      </c>
      <c r="HT67">
        <f t="shared" si="170"/>
        <v>0.26400000000000001</v>
      </c>
      <c r="HU67">
        <f t="shared" si="35"/>
        <v>115718.90100000001</v>
      </c>
      <c r="HV67">
        <f t="shared" si="36"/>
        <v>5.0861633715284698E-3</v>
      </c>
      <c r="HW67">
        <f t="shared" si="264"/>
        <v>4.1953764950806776E-3</v>
      </c>
      <c r="HX67">
        <f t="shared" si="172"/>
        <v>1.1833351041295624E-2</v>
      </c>
      <c r="HY67">
        <f t="shared" si="173"/>
        <v>13.959462380862753</v>
      </c>
      <c r="HZ67">
        <f t="shared" si="259"/>
        <v>2.5484649327725882E-6</v>
      </c>
      <c r="IA67">
        <f t="shared" si="233"/>
        <v>2.1209706945246685E-2</v>
      </c>
      <c r="IB67">
        <f t="shared" si="174"/>
        <v>2454.3639782360137</v>
      </c>
      <c r="IC67">
        <f t="shared" si="234"/>
        <v>1.9486800775933179E-6</v>
      </c>
      <c r="ID67">
        <f t="shared" si="175"/>
        <v>6.5077151581138836E-4</v>
      </c>
      <c r="IE67">
        <f t="shared" si="176"/>
        <v>0.21182028728360305</v>
      </c>
      <c r="IG67">
        <f t="shared" si="177"/>
        <v>32.887032457583139</v>
      </c>
      <c r="IH67">
        <f t="shared" si="178"/>
        <v>0.26400000000000001</v>
      </c>
      <c r="II67">
        <f t="shared" si="37"/>
        <v>115718.90100000001</v>
      </c>
      <c r="IJ67">
        <f t="shared" si="38"/>
        <v>5.0861633715284698E-3</v>
      </c>
      <c r="IK67">
        <f t="shared" si="265"/>
        <v>4.1953764950806776E-3</v>
      </c>
      <c r="IL67">
        <f t="shared" si="180"/>
        <v>1.1833351041295624E-2</v>
      </c>
      <c r="IM67">
        <f t="shared" si="181"/>
        <v>13.959462380862753</v>
      </c>
      <c r="IN67">
        <f t="shared" si="260"/>
        <v>2.484645363577105E-6</v>
      </c>
      <c r="IO67">
        <f t="shared" si="235"/>
        <v>2.0441312999137571E-2</v>
      </c>
      <c r="IP67">
        <f t="shared" si="182"/>
        <v>2365.446275257214</v>
      </c>
      <c r="IQ67">
        <f t="shared" si="236"/>
        <v>1.9130556572930602E-6</v>
      </c>
      <c r="IR67">
        <f t="shared" si="183"/>
        <v>6.2017954666340205E-4</v>
      </c>
      <c r="IS67">
        <f t="shared" si="184"/>
        <v>0.20651580798413868</v>
      </c>
      <c r="IU67">
        <f t="shared" si="185"/>
        <v>34.78472619431615</v>
      </c>
      <c r="IV67">
        <f t="shared" si="186"/>
        <v>0.26400000000000001</v>
      </c>
      <c r="IW67">
        <f t="shared" si="39"/>
        <v>115718.90100000001</v>
      </c>
      <c r="IX67">
        <f t="shared" si="40"/>
        <v>5.0861633715284698E-3</v>
      </c>
      <c r="IY67">
        <f t="shared" si="266"/>
        <v>4.1953764950806776E-3</v>
      </c>
      <c r="IZ67">
        <f t="shared" si="188"/>
        <v>1.1833351041295624E-2</v>
      </c>
      <c r="JA67">
        <f t="shared" si="189"/>
        <v>13.959462380862753</v>
      </c>
      <c r="JB67">
        <f t="shared" si="261"/>
        <v>2.4235823547497598E-6</v>
      </c>
      <c r="JC67">
        <f t="shared" si="237"/>
        <v>1.9711405793814637E-2</v>
      </c>
      <c r="JD67">
        <f t="shared" si="190"/>
        <v>2280.9822156252626</v>
      </c>
      <c r="JE67">
        <f t="shared" si="238"/>
        <v>1.8785900189243701E-6</v>
      </c>
      <c r="JF67">
        <f t="shared" si="191"/>
        <v>5.9132118030001235E-4</v>
      </c>
      <c r="JG67">
        <f t="shared" si="192"/>
        <v>0.20144044520167437</v>
      </c>
      <c r="JI67">
        <f t="shared" si="193"/>
        <v>36.682419931049168</v>
      </c>
      <c r="JJ67">
        <f t="shared" si="194"/>
        <v>0.26400000000000001</v>
      </c>
      <c r="JK67">
        <f t="shared" si="41"/>
        <v>115718.90100000001</v>
      </c>
      <c r="JL67">
        <f t="shared" si="42"/>
        <v>5.0861633715284698E-3</v>
      </c>
      <c r="JM67">
        <f t="shared" si="267"/>
        <v>4.1953764950806776E-3</v>
      </c>
      <c r="JN67">
        <f t="shared" si="196"/>
        <v>1.1833351041295624E-2</v>
      </c>
      <c r="JO67">
        <f t="shared" si="197"/>
        <v>13.959462380862753</v>
      </c>
      <c r="JP67">
        <f t="shared" si="262"/>
        <v>2.3651189743342197E-6</v>
      </c>
      <c r="JQ67">
        <f t="shared" si="239"/>
        <v>1.9017597936951673E-2</v>
      </c>
      <c r="JR67">
        <f t="shared" si="198"/>
        <v>2200.6955329239149</v>
      </c>
      <c r="JS67">
        <f t="shared" si="240"/>
        <v>1.8452322736122058E-6</v>
      </c>
      <c r="JT67">
        <f t="shared" si="199"/>
        <v>5.6408135910321323E-4</v>
      </c>
      <c r="JU67">
        <f t="shared" si="200"/>
        <v>0.19658115525189371</v>
      </c>
    </row>
    <row r="68" spans="2:281">
      <c r="B68">
        <v>0.34</v>
      </c>
      <c r="C68">
        <f t="shared" si="43"/>
        <v>0.64521587048922491</v>
      </c>
      <c r="D68">
        <f t="shared" si="44"/>
        <v>0.27200000000000002</v>
      </c>
      <c r="E68">
        <f t="shared" si="268"/>
        <v>115534.47300000001</v>
      </c>
      <c r="F68">
        <f t="shared" si="269"/>
        <v>5.088868284988445E-3</v>
      </c>
      <c r="G68">
        <f t="shared" si="45"/>
        <v>4.1942613513886373E-3</v>
      </c>
      <c r="H68">
        <f t="shared" si="46"/>
        <v>1.1852240652414931E-2</v>
      </c>
      <c r="I68">
        <f t="shared" si="47"/>
        <v>13.974314117004321</v>
      </c>
      <c r="J68">
        <f t="shared" si="241"/>
        <v>4.1300521406913399E-6</v>
      </c>
      <c r="K68">
        <f t="shared" si="201"/>
        <v>4.2477769001414978E-2</v>
      </c>
      <c r="L68">
        <f t="shared" si="298"/>
        <v>4907.6466557942158</v>
      </c>
      <c r="M68">
        <f t="shared" si="202"/>
        <v>2.7555462467372655E-6</v>
      </c>
      <c r="N68">
        <f t="shared" si="203"/>
        <v>1.4925400825739443E-3</v>
      </c>
      <c r="O68">
        <f t="shared" si="49"/>
        <v>0.34327677798796874</v>
      </c>
      <c r="Q68">
        <f t="shared" si="50"/>
        <v>2.5429096072222395</v>
      </c>
      <c r="R68">
        <f t="shared" si="51"/>
        <v>0.27200000000000002</v>
      </c>
      <c r="S68">
        <f t="shared" si="270"/>
        <v>115534.47300000001</v>
      </c>
      <c r="T68">
        <f t="shared" si="271"/>
        <v>5.088868284988445E-3</v>
      </c>
      <c r="U68">
        <f t="shared" si="52"/>
        <v>4.1942613513886373E-3</v>
      </c>
      <c r="V68">
        <f t="shared" si="53"/>
        <v>1.1852240652414931E-2</v>
      </c>
      <c r="W68">
        <f t="shared" si="54"/>
        <v>13.974314117004321</v>
      </c>
      <c r="X68">
        <f t="shared" si="242"/>
        <v>3.9874813770400613E-6</v>
      </c>
      <c r="Y68">
        <f t="shared" si="204"/>
        <v>4.0501356634247782E-2</v>
      </c>
      <c r="Z68">
        <f t="shared" si="299"/>
        <v>4679.3028945228716</v>
      </c>
      <c r="AA68">
        <f t="shared" si="205"/>
        <v>2.6906774568390665E-6</v>
      </c>
      <c r="AB68">
        <f t="shared" si="56"/>
        <v>1.4081655369050591E-3</v>
      </c>
      <c r="AC68">
        <f t="shared" si="57"/>
        <v>0.33142675026088469</v>
      </c>
      <c r="AE68">
        <f t="shared" si="58"/>
        <v>4.4406033439552539</v>
      </c>
      <c r="AF68">
        <f t="shared" si="59"/>
        <v>0.27200000000000002</v>
      </c>
      <c r="AG68">
        <f t="shared" si="272"/>
        <v>115534.47300000001</v>
      </c>
      <c r="AH68">
        <f t="shared" si="273"/>
        <v>5.088868284988445E-3</v>
      </c>
      <c r="AI68">
        <f t="shared" si="60"/>
        <v>4.1942613513886373E-3</v>
      </c>
      <c r="AJ68">
        <f t="shared" si="61"/>
        <v>1.1852240652414931E-2</v>
      </c>
      <c r="AK68">
        <f t="shared" si="62"/>
        <v>13.974314117004321</v>
      </c>
      <c r="AL68">
        <f t="shared" si="243"/>
        <v>3.8526948943582262E-6</v>
      </c>
      <c r="AM68">
        <f t="shared" si="206"/>
        <v>3.8646739841655411E-2</v>
      </c>
      <c r="AN68">
        <f t="shared" si="300"/>
        <v>4465.0307207737615</v>
      </c>
      <c r="AO68">
        <f t="shared" si="207"/>
        <v>2.6283505433037998E-6</v>
      </c>
      <c r="AP68">
        <f t="shared" si="64"/>
        <v>1.329483581598067E-3</v>
      </c>
      <c r="AQ68">
        <f t="shared" si="65"/>
        <v>0.32022372717178482</v>
      </c>
      <c r="AS68">
        <f t="shared" si="66"/>
        <v>6.3382970806882684</v>
      </c>
      <c r="AT68">
        <f t="shared" si="67"/>
        <v>0.27200000000000002</v>
      </c>
      <c r="AU68">
        <f t="shared" si="274"/>
        <v>115534.47300000001</v>
      </c>
      <c r="AV68">
        <f t="shared" si="275"/>
        <v>5.088868284988445E-3</v>
      </c>
      <c r="AW68">
        <f t="shared" si="68"/>
        <v>4.1942613513886373E-3</v>
      </c>
      <c r="AX68">
        <f t="shared" si="69"/>
        <v>1.1852240652414931E-2</v>
      </c>
      <c r="AY68">
        <f t="shared" si="70"/>
        <v>13.974314117004321</v>
      </c>
      <c r="AZ68">
        <f t="shared" si="244"/>
        <v>3.7251607718303024E-6</v>
      </c>
      <c r="BA68">
        <f t="shared" si="208"/>
        <v>3.6904967021482528E-2</v>
      </c>
      <c r="BB68">
        <f t="shared" si="301"/>
        <v>4263.7959159093643</v>
      </c>
      <c r="BC68">
        <f t="shared" si="209"/>
        <v>2.5684390582673764E-6</v>
      </c>
      <c r="BD68">
        <f t="shared" si="72"/>
        <v>1.2560539241557947E-3</v>
      </c>
      <c r="BE68">
        <f t="shared" si="73"/>
        <v>0.30962349715687265</v>
      </c>
      <c r="BG68">
        <f t="shared" si="74"/>
        <v>8.2359908174212819</v>
      </c>
      <c r="BH68">
        <f t="shared" si="75"/>
        <v>0.27200000000000002</v>
      </c>
      <c r="BI68">
        <f t="shared" si="276"/>
        <v>115534.47300000001</v>
      </c>
      <c r="BJ68">
        <f t="shared" si="277"/>
        <v>5.088868284988445E-3</v>
      </c>
      <c r="BK68">
        <f t="shared" si="76"/>
        <v>4.1942613513886373E-3</v>
      </c>
      <c r="BL68">
        <f t="shared" si="77"/>
        <v>1.1852240652414931E-2</v>
      </c>
      <c r="BM68">
        <f t="shared" si="78"/>
        <v>13.974314117004321</v>
      </c>
      <c r="BN68">
        <f t="shared" si="245"/>
        <v>3.6043889085493696E-6</v>
      </c>
      <c r="BO68">
        <f t="shared" si="210"/>
        <v>3.5267827892114322E-2</v>
      </c>
      <c r="BP68">
        <f t="shared" si="302"/>
        <v>4074.6499093701295</v>
      </c>
      <c r="BQ68">
        <f t="shared" si="211"/>
        <v>2.5108236528408183E-6</v>
      </c>
      <c r="BR68">
        <f t="shared" si="80"/>
        <v>1.1874739746367163E-3</v>
      </c>
      <c r="BS68">
        <f t="shared" si="81"/>
        <v>0.29958532458994175</v>
      </c>
      <c r="BU68">
        <f t="shared" si="82"/>
        <v>10.133684554154296</v>
      </c>
      <c r="BV68">
        <f t="shared" si="83"/>
        <v>0.27200000000000002</v>
      </c>
      <c r="BW68">
        <f t="shared" si="278"/>
        <v>115534.47300000001</v>
      </c>
      <c r="BX68">
        <f t="shared" si="279"/>
        <v>5.088868284988445E-3</v>
      </c>
      <c r="BY68">
        <f t="shared" si="84"/>
        <v>4.1942613513886373E-3</v>
      </c>
      <c r="BZ68">
        <f t="shared" si="85"/>
        <v>1.1852240652414931E-2</v>
      </c>
      <c r="CA68">
        <f t="shared" si="86"/>
        <v>13.974314117004321</v>
      </c>
      <c r="CB68">
        <f t="shared" si="246"/>
        <v>3.4899273982125425E-6</v>
      </c>
      <c r="CC68">
        <f t="shared" si="247"/>
        <v>3.3727786654356245E-2</v>
      </c>
      <c r="CD68">
        <f t="shared" si="303"/>
        <v>3896.7220565674825</v>
      </c>
      <c r="CE68">
        <f t="shared" si="248"/>
        <v>2.4553916570514072E-6</v>
      </c>
      <c r="CF68">
        <f t="shared" si="212"/>
        <v>1.1233753651622603E-3</v>
      </c>
      <c r="CG68">
        <f t="shared" si="88"/>
        <v>0.29007164845860717</v>
      </c>
      <c r="CI68">
        <f t="shared" si="89"/>
        <v>12.031378290887311</v>
      </c>
      <c r="CJ68">
        <f t="shared" si="90"/>
        <v>0.27200000000000002</v>
      </c>
      <c r="CK68">
        <f t="shared" si="280"/>
        <v>115534.47300000001</v>
      </c>
      <c r="CL68">
        <f t="shared" si="281"/>
        <v>5.088868284988445E-3</v>
      </c>
      <c r="CM68">
        <f t="shared" si="91"/>
        <v>4.1942613513886373E-3</v>
      </c>
      <c r="CN68">
        <f t="shared" si="92"/>
        <v>1.1852240652414931E-2</v>
      </c>
      <c r="CO68">
        <f t="shared" si="93"/>
        <v>13.974314117004321</v>
      </c>
      <c r="CP68">
        <f t="shared" si="249"/>
        <v>3.3813592412951971E-6</v>
      </c>
      <c r="CQ68">
        <f t="shared" si="213"/>
        <v>3.2277921564059016E-2</v>
      </c>
      <c r="CR68">
        <f t="shared" si="304"/>
        <v>3729.2126574388944</v>
      </c>
      <c r="CS68">
        <f t="shared" si="214"/>
        <v>2.4020366845667723E-6</v>
      </c>
      <c r="CT68">
        <f t="shared" si="95"/>
        <v>1.0634208089723969E-3</v>
      </c>
      <c r="CU68">
        <f t="shared" si="96"/>
        <v>0.28104780909070032</v>
      </c>
      <c r="CW68">
        <f t="shared" si="97"/>
        <v>13.929072027620325</v>
      </c>
      <c r="CX68">
        <f t="shared" si="98"/>
        <v>0.27200000000000002</v>
      </c>
      <c r="CY68">
        <f t="shared" si="282"/>
        <v>115534.47300000001</v>
      </c>
      <c r="CZ68">
        <f t="shared" si="283"/>
        <v>5.088868284988445E-3</v>
      </c>
      <c r="DA68">
        <f t="shared" si="99"/>
        <v>4.1942613513886373E-3</v>
      </c>
      <c r="DB68">
        <f t="shared" si="100"/>
        <v>1.1852240652414931E-2</v>
      </c>
      <c r="DC68">
        <f t="shared" si="101"/>
        <v>13.974314117004321</v>
      </c>
      <c r="DD68">
        <f t="shared" si="250"/>
        <v>3.2782993615984509E-6</v>
      </c>
      <c r="DE68">
        <f t="shared" si="215"/>
        <v>3.0911870272525271E-2</v>
      </c>
      <c r="DF68">
        <f t="shared" si="305"/>
        <v>3571.386641380574</v>
      </c>
      <c r="DG68">
        <f t="shared" si="216"/>
        <v>2.3506582608365086E-6</v>
      </c>
      <c r="DH68">
        <f t="shared" si="103"/>
        <v>1.0073012645637116E-3</v>
      </c>
      <c r="DI68">
        <f t="shared" si="104"/>
        <v>0.2724818001791991</v>
      </c>
      <c r="DK68">
        <f t="shared" si="105"/>
        <v>15.82676576435334</v>
      </c>
      <c r="DL68">
        <f t="shared" si="106"/>
        <v>0.27200000000000002</v>
      </c>
      <c r="DM68">
        <f t="shared" si="284"/>
        <v>115534.47300000001</v>
      </c>
      <c r="DN68">
        <f t="shared" si="285"/>
        <v>5.088868284988445E-3</v>
      </c>
      <c r="DO68">
        <f t="shared" si="107"/>
        <v>4.1942613513886373E-3</v>
      </c>
      <c r="DP68">
        <f t="shared" si="108"/>
        <v>1.1852240652414931E-2</v>
      </c>
      <c r="DQ68">
        <f t="shared" si="109"/>
        <v>13.974314117004321</v>
      </c>
      <c r="DR68">
        <f t="shared" si="251"/>
        <v>3.1803918974364339E-6</v>
      </c>
      <c r="DS68">
        <f t="shared" si="217"/>
        <v>2.9623780358236602E-2</v>
      </c>
      <c r="DT68">
        <f t="shared" si="306"/>
        <v>3422.5678519566172</v>
      </c>
      <c r="DU68">
        <f t="shared" si="218"/>
        <v>2.3011614733488289E-6</v>
      </c>
      <c r="DV68">
        <f t="shared" si="111"/>
        <v>9.5473337403752495E-4</v>
      </c>
      <c r="DW68">
        <f t="shared" si="112"/>
        <v>0.26434404363434255</v>
      </c>
      <c r="DY68">
        <f t="shared" si="113"/>
        <v>17.724459501086354</v>
      </c>
      <c r="DZ68">
        <f t="shared" si="114"/>
        <v>0.27200000000000002</v>
      </c>
      <c r="EA68">
        <f t="shared" si="286"/>
        <v>115534.47300000001</v>
      </c>
      <c r="EB68">
        <f t="shared" si="287"/>
        <v>5.088868284988445E-3</v>
      </c>
      <c r="EC68">
        <f t="shared" si="115"/>
        <v>4.1942613513886373E-3</v>
      </c>
      <c r="ED68">
        <f t="shared" si="116"/>
        <v>1.1852240652414931E-2</v>
      </c>
      <c r="EE68">
        <f t="shared" si="117"/>
        <v>13.974314117004321</v>
      </c>
      <c r="EF68">
        <f t="shared" si="252"/>
        <v>3.0873077407496875E-6</v>
      </c>
      <c r="EG68">
        <f t="shared" si="219"/>
        <v>2.840826453293303E-2</v>
      </c>
      <c r="EH68">
        <f t="shared" si="307"/>
        <v>3282.133871657009</v>
      </c>
      <c r="EI68">
        <f t="shared" si="220"/>
        <v>2.2534566427608551E-6</v>
      </c>
      <c r="EJ68">
        <f t="shared" si="119"/>
        <v>9.054571479983843E-4</v>
      </c>
      <c r="EK68">
        <f t="shared" si="120"/>
        <v>0.25660718504257551</v>
      </c>
      <c r="EM68">
        <f t="shared" si="121"/>
        <v>19.622153237819369</v>
      </c>
      <c r="EN68">
        <f t="shared" si="122"/>
        <v>0.27200000000000002</v>
      </c>
      <c r="EO68">
        <f t="shared" si="288"/>
        <v>115534.47300000001</v>
      </c>
      <c r="EP68">
        <f t="shared" si="289"/>
        <v>5.088868284988445E-3</v>
      </c>
      <c r="EQ68">
        <f t="shared" si="123"/>
        <v>4.1942613513886373E-3</v>
      </c>
      <c r="ER68">
        <f t="shared" si="124"/>
        <v>1.1852240652414931E-2</v>
      </c>
      <c r="ES68">
        <f t="shared" si="125"/>
        <v>13.974314117004321</v>
      </c>
      <c r="ET68">
        <f t="shared" si="253"/>
        <v>2.9987423001359178E-6</v>
      </c>
      <c r="EU68">
        <f t="shared" si="221"/>
        <v>2.7260360058304654E-2</v>
      </c>
      <c r="EV68">
        <f t="shared" si="308"/>
        <v>3149.5113331264779</v>
      </c>
      <c r="EW68">
        <f t="shared" si="222"/>
        <v>2.2074590137204065E-6</v>
      </c>
      <c r="EX68">
        <f t="shared" si="127"/>
        <v>8.5923387221608369E-4</v>
      </c>
      <c r="EY68">
        <f t="shared" si="128"/>
        <v>0.24924590773679059</v>
      </c>
      <c r="FA68">
        <f t="shared" si="129"/>
        <v>21.519846974552383</v>
      </c>
      <c r="FB68">
        <f t="shared" si="130"/>
        <v>0.27200000000000002</v>
      </c>
      <c r="FC68">
        <f t="shared" si="290"/>
        <v>115534.47300000001</v>
      </c>
      <c r="FD68">
        <f t="shared" si="291"/>
        <v>5.088868284988445E-3</v>
      </c>
      <c r="FE68">
        <f t="shared" si="131"/>
        <v>4.1942613513886373E-3</v>
      </c>
      <c r="FF68">
        <f t="shared" si="132"/>
        <v>1.1852240652414931E-2</v>
      </c>
      <c r="FG68">
        <f t="shared" si="133"/>
        <v>13.974314117004321</v>
      </c>
      <c r="FH68">
        <f t="shared" si="254"/>
        <v>2.9144134662125129E-6</v>
      </c>
      <c r="FI68">
        <f t="shared" si="223"/>
        <v>2.61754919571827E-2</v>
      </c>
      <c r="FJ68">
        <f t="shared" si="309"/>
        <v>3024.171668788842</v>
      </c>
      <c r="FK68">
        <f t="shared" si="224"/>
        <v>2.1630884642545247E-6</v>
      </c>
      <c r="FL68">
        <f t="shared" si="135"/>
        <v>8.1584421383333302E-4</v>
      </c>
      <c r="FM68">
        <f t="shared" si="136"/>
        <v>0.24223676368374158</v>
      </c>
      <c r="FO68">
        <f t="shared" si="137"/>
        <v>23.417540711285397</v>
      </c>
      <c r="FP68">
        <f t="shared" si="138"/>
        <v>0.27200000000000002</v>
      </c>
      <c r="FQ68">
        <f t="shared" si="292"/>
        <v>115534.47300000001</v>
      </c>
      <c r="FR68">
        <f t="shared" si="293"/>
        <v>5.088868284988445E-3</v>
      </c>
      <c r="FS68">
        <f t="shared" si="139"/>
        <v>4.1942613513886373E-3</v>
      </c>
      <c r="FT68">
        <f t="shared" si="140"/>
        <v>1.1852240652414931E-2</v>
      </c>
      <c r="FU68">
        <f t="shared" si="141"/>
        <v>13.974314117004321</v>
      </c>
      <c r="FV68">
        <f t="shared" si="255"/>
        <v>2.8340597598969341E-6</v>
      </c>
      <c r="FW68">
        <f t="shared" si="225"/>
        <v>2.5149439645743572E-2</v>
      </c>
      <c r="FX68">
        <f t="shared" si="310"/>
        <v>2905.6272557162906</v>
      </c>
      <c r="FY68">
        <f t="shared" si="226"/>
        <v>2.1202692326556031E-6</v>
      </c>
      <c r="FZ68">
        <f t="shared" si="143"/>
        <v>7.7508650719898011E-4</v>
      </c>
      <c r="GA68">
        <f t="shared" si="144"/>
        <v>0.23555801957500835</v>
      </c>
      <c r="GC68">
        <f t="shared" si="145"/>
        <v>25.315234448018412</v>
      </c>
      <c r="GD68">
        <f t="shared" si="146"/>
        <v>0.27200000000000002</v>
      </c>
      <c r="GE68">
        <f t="shared" si="294"/>
        <v>115534.47300000001</v>
      </c>
      <c r="GF68">
        <f t="shared" si="295"/>
        <v>5.088868284988445E-3</v>
      </c>
      <c r="GG68">
        <f t="shared" si="147"/>
        <v>4.1942613513886373E-3</v>
      </c>
      <c r="GH68">
        <f t="shared" si="148"/>
        <v>1.1852240652414931E-2</v>
      </c>
      <c r="GI68">
        <f t="shared" si="149"/>
        <v>13.974314117004321</v>
      </c>
      <c r="GJ68">
        <f t="shared" si="256"/>
        <v>2.7574386461373221E-6</v>
      </c>
      <c r="GK68">
        <f t="shared" si="227"/>
        <v>2.4178306651391542E-2</v>
      </c>
      <c r="GL68">
        <f t="shared" si="311"/>
        <v>2793.4279170009168</v>
      </c>
      <c r="GM68">
        <f t="shared" si="228"/>
        <v>2.0789296608496644E-6</v>
      </c>
      <c r="GN68">
        <f t="shared" si="151"/>
        <v>7.3677520146177018E-4</v>
      </c>
      <c r="GO68">
        <f t="shared" si="152"/>
        <v>0.22918951666965606</v>
      </c>
      <c r="GQ68">
        <f t="shared" si="153"/>
        <v>27.212928184751426</v>
      </c>
      <c r="GR68">
        <f t="shared" si="154"/>
        <v>0.27200000000000002</v>
      </c>
      <c r="GS68">
        <f t="shared" si="296"/>
        <v>115534.47300000001</v>
      </c>
      <c r="GT68">
        <f t="shared" si="297"/>
        <v>5.088868284988445E-3</v>
      </c>
      <c r="GU68">
        <f t="shared" si="155"/>
        <v>4.1942613513886373E-3</v>
      </c>
      <c r="GV68">
        <f t="shared" si="156"/>
        <v>1.1852240652414931E-2</v>
      </c>
      <c r="GW68">
        <f t="shared" si="157"/>
        <v>13.974314117004321</v>
      </c>
      <c r="GX68">
        <f t="shared" si="257"/>
        <v>2.6843249973708393E-6</v>
      </c>
      <c r="GY68">
        <f t="shared" si="229"/>
        <v>2.3258493115144184E-2</v>
      </c>
      <c r="GZ68">
        <f t="shared" si="312"/>
        <v>2687.1577448323119</v>
      </c>
      <c r="HA68">
        <f t="shared" si="230"/>
        <v>2.0390019532832945E-6</v>
      </c>
      <c r="HB68">
        <f t="shared" si="159"/>
        <v>7.0073945389824204E-4</v>
      </c>
      <c r="HC68">
        <f t="shared" si="160"/>
        <v>0.22311254308178727</v>
      </c>
      <c r="HE68">
        <f t="shared" si="161"/>
        <v>29.110621921484441</v>
      </c>
      <c r="HF68">
        <f t="shared" si="162"/>
        <v>0.27200000000000002</v>
      </c>
      <c r="HG68">
        <f t="shared" si="33"/>
        <v>115534.47300000001</v>
      </c>
      <c r="HH68">
        <f t="shared" si="34"/>
        <v>5.088868284988445E-3</v>
      </c>
      <c r="HI68">
        <f t="shared" si="263"/>
        <v>4.1942613513886373E-3</v>
      </c>
      <c r="HJ68">
        <f t="shared" si="164"/>
        <v>1.1852240652414931E-2</v>
      </c>
      <c r="HK68">
        <f t="shared" si="165"/>
        <v>13.974314117004321</v>
      </c>
      <c r="HL68">
        <f t="shared" si="258"/>
        <v>2.6145096925521801E-6</v>
      </c>
      <c r="HM68">
        <f t="shared" si="231"/>
        <v>2.23866708079292E-2</v>
      </c>
      <c r="HN68">
        <f t="shared" si="166"/>
        <v>2586.4322140185845</v>
      </c>
      <c r="HO68">
        <f t="shared" si="232"/>
        <v>2.0004219504157146E-6</v>
      </c>
      <c r="HP68">
        <f t="shared" si="167"/>
        <v>6.6682185459339416E-4</v>
      </c>
      <c r="HQ68">
        <f t="shared" si="168"/>
        <v>0.21730971733625432</v>
      </c>
      <c r="HS68">
        <f t="shared" si="169"/>
        <v>31.008315658217455</v>
      </c>
      <c r="HT68">
        <f t="shared" si="170"/>
        <v>0.27200000000000002</v>
      </c>
      <c r="HU68">
        <f t="shared" si="35"/>
        <v>115534.47300000001</v>
      </c>
      <c r="HV68">
        <f t="shared" si="36"/>
        <v>5.088868284988445E-3</v>
      </c>
      <c r="HW68">
        <f t="shared" si="264"/>
        <v>4.1942613513886373E-3</v>
      </c>
      <c r="HX68">
        <f t="shared" si="172"/>
        <v>1.1852240652414931E-2</v>
      </c>
      <c r="HY68">
        <f t="shared" si="173"/>
        <v>13.974314117004321</v>
      </c>
      <c r="HZ68">
        <f t="shared" si="259"/>
        <v>2.5477983389985461E-6</v>
      </c>
      <c r="IA68">
        <f t="shared" si="233"/>
        <v>2.1559760417594432E-2</v>
      </c>
      <c r="IB68">
        <f t="shared" si="174"/>
        <v>2490.8955578530331</v>
      </c>
      <c r="IC68">
        <f t="shared" si="234"/>
        <v>1.9631289159506817E-6</v>
      </c>
      <c r="ID68">
        <f t="shared" si="175"/>
        <v>6.3487726956482364E-4</v>
      </c>
      <c r="IE68">
        <f t="shared" si="176"/>
        <v>0.21176488213248512</v>
      </c>
      <c r="IG68">
        <f t="shared" si="177"/>
        <v>32.906009394950473</v>
      </c>
      <c r="IH68">
        <f t="shared" si="178"/>
        <v>0.27200000000000002</v>
      </c>
      <c r="II68">
        <f t="shared" si="37"/>
        <v>115534.47300000001</v>
      </c>
      <c r="IJ68">
        <f t="shared" si="38"/>
        <v>5.088868284988445E-3</v>
      </c>
      <c r="IK68">
        <f t="shared" si="265"/>
        <v>4.1942613513886373E-3</v>
      </c>
      <c r="IL68">
        <f t="shared" si="180"/>
        <v>1.1852240652414931E-2</v>
      </c>
      <c r="IM68">
        <f t="shared" si="181"/>
        <v>13.974314117004321</v>
      </c>
      <c r="IN68">
        <f t="shared" si="260"/>
        <v>2.4840101055571245E-6</v>
      </c>
      <c r="IO68">
        <f t="shared" si="235"/>
        <v>2.0774910887972484E-2</v>
      </c>
      <c r="IP68">
        <f t="shared" si="182"/>
        <v>2400.2183810638635</v>
      </c>
      <c r="IQ68">
        <f t="shared" si="236"/>
        <v>1.927065336989233E-6</v>
      </c>
      <c r="IR68">
        <f t="shared" si="183"/>
        <v>6.0477179073865905E-4</v>
      </c>
      <c r="IS68">
        <f t="shared" si="184"/>
        <v>0.20646300736108084</v>
      </c>
      <c r="IU68">
        <f t="shared" si="185"/>
        <v>34.803703131683484</v>
      </c>
      <c r="IV68">
        <f t="shared" si="186"/>
        <v>0.27200000000000002</v>
      </c>
      <c r="IW68">
        <f t="shared" si="39"/>
        <v>115534.47300000001</v>
      </c>
      <c r="IX68">
        <f t="shared" si="40"/>
        <v>5.088868284988445E-3</v>
      </c>
      <c r="IY68">
        <f t="shared" si="266"/>
        <v>4.1942613513886373E-3</v>
      </c>
      <c r="IZ68">
        <f t="shared" si="188"/>
        <v>1.1852240652414931E-2</v>
      </c>
      <c r="JA68">
        <f t="shared" si="189"/>
        <v>13.974314117004321</v>
      </c>
      <c r="JB68">
        <f t="shared" si="261"/>
        <v>2.4229766567318377E-6</v>
      </c>
      <c r="JC68">
        <f t="shared" si="237"/>
        <v>2.0029480613328987E-2</v>
      </c>
      <c r="JD68">
        <f t="shared" si="190"/>
        <v>2314.0954871246818</v>
      </c>
      <c r="JE68">
        <f t="shared" si="238"/>
        <v>1.892176736328732E-6</v>
      </c>
      <c r="JF68">
        <f t="shared" si="191"/>
        <v>5.7638178236517996E-4</v>
      </c>
      <c r="JG68">
        <f t="shared" si="192"/>
        <v>0.20139010151182662</v>
      </c>
      <c r="JI68">
        <f t="shared" si="193"/>
        <v>36.701396868416502</v>
      </c>
      <c r="JJ68">
        <f t="shared" si="194"/>
        <v>0.27200000000000002</v>
      </c>
      <c r="JK68">
        <f t="shared" si="41"/>
        <v>115534.47300000001</v>
      </c>
      <c r="JL68">
        <f t="shared" si="42"/>
        <v>5.088868284988445E-3</v>
      </c>
      <c r="JM68">
        <f t="shared" si="267"/>
        <v>4.1942613513886373E-3</v>
      </c>
      <c r="JN68">
        <f t="shared" si="196"/>
        <v>1.1852240652414931E-2</v>
      </c>
      <c r="JO68">
        <f t="shared" si="197"/>
        <v>13.974314117004321</v>
      </c>
      <c r="JP68">
        <f t="shared" si="262"/>
        <v>2.3645411784213752E-6</v>
      </c>
      <c r="JQ68">
        <f t="shared" si="239"/>
        <v>1.9321020311230799E-2</v>
      </c>
      <c r="JR68">
        <f t="shared" si="198"/>
        <v>2232.2438994803465</v>
      </c>
      <c r="JS68">
        <f t="shared" si="240"/>
        <v>1.858411496176297E-6</v>
      </c>
      <c r="JT68">
        <f t="shared" si="199"/>
        <v>5.4959301451815634E-4</v>
      </c>
      <c r="JU68">
        <f t="shared" si="200"/>
        <v>0.19653313069614012</v>
      </c>
    </row>
    <row r="69" spans="2:281">
      <c r="B69">
        <v>0.35</v>
      </c>
      <c r="C69">
        <f t="shared" si="43"/>
        <v>0.66419280785655499</v>
      </c>
      <c r="D69">
        <f t="shared" si="44"/>
        <v>0.27999999999999997</v>
      </c>
      <c r="E69">
        <f t="shared" si="268"/>
        <v>115350.04500000001</v>
      </c>
      <c r="F69">
        <f t="shared" si="269"/>
        <v>5.0915789617314421E-3</v>
      </c>
      <c r="G69">
        <f t="shared" si="45"/>
        <v>4.1931447232861248E-3</v>
      </c>
      <c r="H69">
        <f t="shared" si="46"/>
        <v>1.1871190667033855E-2</v>
      </c>
      <c r="I69">
        <f t="shared" si="47"/>
        <v>13.989205418898509</v>
      </c>
      <c r="J69">
        <f t="shared" si="241"/>
        <v>4.1285233123662234E-6</v>
      </c>
      <c r="K69">
        <f t="shared" si="201"/>
        <v>4.3280614279410386E-2</v>
      </c>
      <c r="L69">
        <f t="shared" si="298"/>
        <v>4992.4208047576312</v>
      </c>
      <c r="M69">
        <f t="shared" si="202"/>
        <v>2.7792438489689119E-6</v>
      </c>
      <c r="N69">
        <f t="shared" si="203"/>
        <v>1.4663181712276838E-3</v>
      </c>
      <c r="O69">
        <f t="shared" si="49"/>
        <v>0.34314970664754374</v>
      </c>
      <c r="Q69">
        <f t="shared" si="50"/>
        <v>2.5618865445895698</v>
      </c>
      <c r="R69">
        <f t="shared" si="51"/>
        <v>0.27999999999999997</v>
      </c>
      <c r="S69">
        <f t="shared" si="270"/>
        <v>115350.04500000001</v>
      </c>
      <c r="T69">
        <f t="shared" si="271"/>
        <v>5.0915789617314421E-3</v>
      </c>
      <c r="U69">
        <f t="shared" si="52"/>
        <v>4.1931447232861248E-3</v>
      </c>
      <c r="V69">
        <f t="shared" si="53"/>
        <v>1.1871190667033855E-2</v>
      </c>
      <c r="W69">
        <f t="shared" si="54"/>
        <v>13.989205418898509</v>
      </c>
      <c r="X69">
        <f t="shared" si="242"/>
        <v>3.986038974665472E-6</v>
      </c>
      <c r="Y69">
        <f t="shared" si="204"/>
        <v>4.1258816393713975E-2</v>
      </c>
      <c r="Z69">
        <f t="shared" si="299"/>
        <v>4759.2063276616454</v>
      </c>
      <c r="AA69">
        <f t="shared" si="205"/>
        <v>2.713553119907437E-6</v>
      </c>
      <c r="AB69">
        <f t="shared" si="56"/>
        <v>1.3828633593546886E-3</v>
      </c>
      <c r="AC69">
        <f t="shared" si="57"/>
        <v>0.33130686237016466</v>
      </c>
      <c r="AE69">
        <f t="shared" si="58"/>
        <v>4.4595802813225838</v>
      </c>
      <c r="AF69">
        <f t="shared" si="59"/>
        <v>0.27999999999999997</v>
      </c>
      <c r="AG69">
        <f t="shared" si="272"/>
        <v>115350.04500000001</v>
      </c>
      <c r="AH69">
        <f t="shared" si="273"/>
        <v>5.0915789617314421E-3</v>
      </c>
      <c r="AI69">
        <f t="shared" si="60"/>
        <v>4.1931447232861248E-3</v>
      </c>
      <c r="AJ69">
        <f t="shared" si="61"/>
        <v>1.1871190667033855E-2</v>
      </c>
      <c r="AK69">
        <f t="shared" si="62"/>
        <v>13.989205418898509</v>
      </c>
      <c r="AL69">
        <f t="shared" si="243"/>
        <v>3.8513330869394136E-6</v>
      </c>
      <c r="AM69">
        <f t="shared" si="206"/>
        <v>3.9361876157336592E-2</v>
      </c>
      <c r="AN69">
        <f t="shared" si="300"/>
        <v>4540.3941860332034</v>
      </c>
      <c r="AO69">
        <f t="shared" si="207"/>
        <v>2.6504391651403455E-6</v>
      </c>
      <c r="AP69">
        <f t="shared" si="64"/>
        <v>1.3050614250195067E-3</v>
      </c>
      <c r="AQ69">
        <f t="shared" si="65"/>
        <v>0.32011053807706025</v>
      </c>
      <c r="AS69">
        <f t="shared" si="66"/>
        <v>6.3572740180555982</v>
      </c>
      <c r="AT69">
        <f t="shared" si="67"/>
        <v>0.27999999999999997</v>
      </c>
      <c r="AU69">
        <f t="shared" si="274"/>
        <v>115350.04500000001</v>
      </c>
      <c r="AV69">
        <f t="shared" si="275"/>
        <v>5.0915789617314421E-3</v>
      </c>
      <c r="AW69">
        <f t="shared" si="68"/>
        <v>4.1931447232861248E-3</v>
      </c>
      <c r="AX69">
        <f t="shared" si="69"/>
        <v>1.1871190667033855E-2</v>
      </c>
      <c r="AY69">
        <f t="shared" si="70"/>
        <v>13.989205418898509</v>
      </c>
      <c r="AZ69">
        <f t="shared" si="244"/>
        <v>3.7238741793698761E-6</v>
      </c>
      <c r="BA69">
        <f t="shared" si="208"/>
        <v>3.7580605132438327E-2</v>
      </c>
      <c r="BB69">
        <f t="shared" si="301"/>
        <v>4334.9244931539924</v>
      </c>
      <c r="BC69">
        <f t="shared" si="209"/>
        <v>2.5897737801437406E-6</v>
      </c>
      <c r="BD69">
        <f t="shared" si="72"/>
        <v>1.2324741230365685E-3</v>
      </c>
      <c r="BE69">
        <f t="shared" si="73"/>
        <v>0.309516559689898</v>
      </c>
      <c r="BG69">
        <f t="shared" si="74"/>
        <v>8.2549677547886127</v>
      </c>
      <c r="BH69">
        <f t="shared" si="75"/>
        <v>0.27999999999999997</v>
      </c>
      <c r="BI69">
        <f t="shared" si="276"/>
        <v>115350.04500000001</v>
      </c>
      <c r="BJ69">
        <f t="shared" si="277"/>
        <v>5.0915789617314421E-3</v>
      </c>
      <c r="BK69">
        <f t="shared" si="76"/>
        <v>4.1931447232861248E-3</v>
      </c>
      <c r="BL69">
        <f t="shared" si="77"/>
        <v>1.1871190667033855E-2</v>
      </c>
      <c r="BM69">
        <f t="shared" si="78"/>
        <v>13.989205418898509</v>
      </c>
      <c r="BN69">
        <f t="shared" si="245"/>
        <v>3.603172563428083E-6</v>
      </c>
      <c r="BO69">
        <f t="shared" si="210"/>
        <v>3.5906576482125689E-2</v>
      </c>
      <c r="BP69">
        <f t="shared" si="302"/>
        <v>4141.8252130091405</v>
      </c>
      <c r="BQ69">
        <f t="shared" si="211"/>
        <v>2.5314359577280667E-6</v>
      </c>
      <c r="BR69">
        <f t="shared" si="80"/>
        <v>1.1647007920441935E-3</v>
      </c>
      <c r="BS69">
        <f t="shared" si="81"/>
        <v>0.2994842258580292</v>
      </c>
      <c r="BU69">
        <f t="shared" si="82"/>
        <v>10.152661491521627</v>
      </c>
      <c r="BV69">
        <f t="shared" si="83"/>
        <v>0.27999999999999997</v>
      </c>
      <c r="BW69">
        <f t="shared" si="278"/>
        <v>115350.04500000001</v>
      </c>
      <c r="BX69">
        <f t="shared" si="279"/>
        <v>5.0915789617314421E-3</v>
      </c>
      <c r="BY69">
        <f t="shared" si="84"/>
        <v>4.1931447232861248E-3</v>
      </c>
      <c r="BZ69">
        <f t="shared" si="85"/>
        <v>1.1871190667033855E-2</v>
      </c>
      <c r="CA69">
        <f t="shared" si="86"/>
        <v>13.989205418898509</v>
      </c>
      <c r="CB69">
        <f t="shared" si="246"/>
        <v>3.488776710135183E-6</v>
      </c>
      <c r="CC69">
        <f t="shared" si="247"/>
        <v>3.4332056260155751E-2</v>
      </c>
      <c r="CD69">
        <f t="shared" si="303"/>
        <v>3960.2042345514978</v>
      </c>
      <c r="CE69">
        <f t="shared" si="248"/>
        <v>2.4753114622104124E-6</v>
      </c>
      <c r="CF69">
        <f t="shared" si="212"/>
        <v>1.1013748813742019E-3</v>
      </c>
      <c r="CG69">
        <f t="shared" si="88"/>
        <v>0.28997600693104064</v>
      </c>
      <c r="CI69">
        <f t="shared" si="89"/>
        <v>12.050355228254642</v>
      </c>
      <c r="CJ69">
        <f t="shared" si="90"/>
        <v>0.27999999999999997</v>
      </c>
      <c r="CK69">
        <f t="shared" si="280"/>
        <v>115350.04500000001</v>
      </c>
      <c r="CL69">
        <f t="shared" si="281"/>
        <v>5.0915789617314421E-3</v>
      </c>
      <c r="CM69">
        <f t="shared" si="91"/>
        <v>4.1931447232861248E-3</v>
      </c>
      <c r="CN69">
        <f t="shared" si="92"/>
        <v>1.1871190667033855E-2</v>
      </c>
      <c r="CO69">
        <f t="shared" si="93"/>
        <v>13.989205418898509</v>
      </c>
      <c r="CP69">
        <f t="shared" si="249"/>
        <v>3.3802699654537927E-6</v>
      </c>
      <c r="CQ69">
        <f t="shared" si="213"/>
        <v>3.2849941294030509E-2</v>
      </c>
      <c r="CR69">
        <f t="shared" si="304"/>
        <v>3789.242206513778</v>
      </c>
      <c r="CS69">
        <f t="shared" si="214"/>
        <v>2.421292428705642E-6</v>
      </c>
      <c r="CT69">
        <f t="shared" si="95"/>
        <v>1.0421608169981572E-3</v>
      </c>
      <c r="CU69">
        <f t="shared" si="96"/>
        <v>0.28095727195256265</v>
      </c>
      <c r="CW69">
        <f t="shared" si="97"/>
        <v>13.948048964987656</v>
      </c>
      <c r="CX69">
        <f t="shared" si="98"/>
        <v>0.27999999999999997</v>
      </c>
      <c r="CY69">
        <f t="shared" si="282"/>
        <v>115350.04500000001</v>
      </c>
      <c r="CZ69">
        <f t="shared" si="283"/>
        <v>5.0915789617314421E-3</v>
      </c>
      <c r="DA69">
        <f t="shared" si="99"/>
        <v>4.1931447232861248E-3</v>
      </c>
      <c r="DB69">
        <f t="shared" si="100"/>
        <v>1.1871190667033855E-2</v>
      </c>
      <c r="DC69">
        <f t="shared" si="101"/>
        <v>13.989205418898509</v>
      </c>
      <c r="DD69">
        <f t="shared" si="250"/>
        <v>3.2772675697402817E-6</v>
      </c>
      <c r="DE69">
        <f t="shared" si="215"/>
        <v>3.1453702999978163E-2</v>
      </c>
      <c r="DF69">
        <f t="shared" si="305"/>
        <v>3628.1860564641165</v>
      </c>
      <c r="DG69">
        <f t="shared" si="216"/>
        <v>2.3692769861526638E-6</v>
      </c>
      <c r="DH69">
        <f t="shared" si="103"/>
        <v>9.8675117211511698E-4</v>
      </c>
      <c r="DI69">
        <f t="shared" si="104"/>
        <v>0.27239604092663738</v>
      </c>
      <c r="DK69">
        <f t="shared" si="105"/>
        <v>15.84574270172067</v>
      </c>
      <c r="DL69">
        <f t="shared" si="106"/>
        <v>0.27999999999999997</v>
      </c>
      <c r="DM69">
        <f t="shared" si="284"/>
        <v>115350.04500000001</v>
      </c>
      <c r="DN69">
        <f t="shared" si="285"/>
        <v>5.0915789617314421E-3</v>
      </c>
      <c r="DO69">
        <f t="shared" si="107"/>
        <v>4.1931447232861248E-3</v>
      </c>
      <c r="DP69">
        <f t="shared" si="108"/>
        <v>1.1871190667033855E-2</v>
      </c>
      <c r="DQ69">
        <f t="shared" si="109"/>
        <v>13.989205418898509</v>
      </c>
      <c r="DR69">
        <f t="shared" si="251"/>
        <v>3.1794139515559817E-6</v>
      </c>
      <c r="DS69">
        <f t="shared" si="217"/>
        <v>3.0137336536753975E-2</v>
      </c>
      <c r="DT69">
        <f t="shared" si="306"/>
        <v>3476.3431256947156</v>
      </c>
      <c r="DU69">
        <f t="shared" si="218"/>
        <v>2.3191689027559644E-6</v>
      </c>
      <c r="DV69">
        <f t="shared" si="111"/>
        <v>9.3486411153704684E-4</v>
      </c>
      <c r="DW69">
        <f t="shared" si="112"/>
        <v>0.26426275988792669</v>
      </c>
      <c r="DY69">
        <f t="shared" si="113"/>
        <v>17.743436438453685</v>
      </c>
      <c r="DZ69">
        <f t="shared" si="114"/>
        <v>0.27999999999999997</v>
      </c>
      <c r="EA69">
        <f t="shared" si="286"/>
        <v>115350.04500000001</v>
      </c>
      <c r="EB69">
        <f t="shared" si="287"/>
        <v>5.0915789617314421E-3</v>
      </c>
      <c r="EC69">
        <f t="shared" si="115"/>
        <v>4.1931447232861248E-3</v>
      </c>
      <c r="ED69">
        <f t="shared" si="116"/>
        <v>1.1871190667033855E-2</v>
      </c>
      <c r="EE69">
        <f t="shared" si="117"/>
        <v>13.989205418898509</v>
      </c>
      <c r="EF69">
        <f t="shared" si="252"/>
        <v>3.0863802691519718E-6</v>
      </c>
      <c r="EG69">
        <f t="shared" si="219"/>
        <v>2.889531476641425E-2</v>
      </c>
      <c r="EH69">
        <f t="shared" si="307"/>
        <v>3333.0758585950484</v>
      </c>
      <c r="EI69">
        <f t="shared" si="220"/>
        <v>2.2708772525844017E-6</v>
      </c>
      <c r="EJ69">
        <f t="shared" si="119"/>
        <v>8.8624108223894684E-4</v>
      </c>
      <c r="EK69">
        <f t="shared" si="120"/>
        <v>0.25653009655775899</v>
      </c>
      <c r="EM69">
        <f t="shared" si="121"/>
        <v>19.641130175186699</v>
      </c>
      <c r="EN69">
        <f t="shared" si="122"/>
        <v>0.27999999999999997</v>
      </c>
      <c r="EO69">
        <f t="shared" si="288"/>
        <v>115350.04500000001</v>
      </c>
      <c r="EP69">
        <f t="shared" si="289"/>
        <v>5.0915789617314421E-3</v>
      </c>
      <c r="EQ69">
        <f t="shared" si="123"/>
        <v>4.1931447232861248E-3</v>
      </c>
      <c r="ER69">
        <f t="shared" si="124"/>
        <v>1.1871190667033855E-2</v>
      </c>
      <c r="ES69">
        <f t="shared" si="125"/>
        <v>13.989205418898509</v>
      </c>
      <c r="ET69">
        <f t="shared" si="253"/>
        <v>2.9978621756440659E-6</v>
      </c>
      <c r="EU69">
        <f t="shared" si="221"/>
        <v>2.7722546544990342E-2</v>
      </c>
      <c r="EV69">
        <f t="shared" si="308"/>
        <v>3197.7969914792307</v>
      </c>
      <c r="EW69">
        <f t="shared" si="222"/>
        <v>2.2243161021293248E-6</v>
      </c>
      <c r="EX69">
        <f t="shared" si="127"/>
        <v>8.4064472531180355E-4</v>
      </c>
      <c r="EY69">
        <f t="shared" si="128"/>
        <v>0.24917275459259308</v>
      </c>
      <c r="FA69">
        <f t="shared" si="129"/>
        <v>21.538823911919714</v>
      </c>
      <c r="FB69">
        <f t="shared" si="130"/>
        <v>0.27999999999999997</v>
      </c>
      <c r="FC69">
        <f t="shared" si="290"/>
        <v>115350.04500000001</v>
      </c>
      <c r="FD69">
        <f t="shared" si="291"/>
        <v>5.0915789617314421E-3</v>
      </c>
      <c r="FE69">
        <f t="shared" si="131"/>
        <v>4.1931447232861248E-3</v>
      </c>
      <c r="FF69">
        <f t="shared" si="132"/>
        <v>1.1871190667033855E-2</v>
      </c>
      <c r="FG69">
        <f t="shared" si="133"/>
        <v>13.989205418898509</v>
      </c>
      <c r="FH69">
        <f t="shared" si="254"/>
        <v>2.9135777863151662E-6</v>
      </c>
      <c r="FI69">
        <f t="shared" si="223"/>
        <v>2.6614338914998682E-2</v>
      </c>
      <c r="FJ69">
        <f t="shared" si="309"/>
        <v>3069.9651914903493</v>
      </c>
      <c r="FK69">
        <f t="shared" si="224"/>
        <v>2.1794042156821974E-6</v>
      </c>
      <c r="FL69">
        <f t="shared" si="135"/>
        <v>7.9785698712382745E-4</v>
      </c>
      <c r="FM69">
        <f t="shared" si="136"/>
        <v>0.2421673046326647</v>
      </c>
      <c r="FO69">
        <f t="shared" si="137"/>
        <v>23.436517648652728</v>
      </c>
      <c r="FP69">
        <f t="shared" si="138"/>
        <v>0.27999999999999997</v>
      </c>
      <c r="FQ69">
        <f t="shared" si="292"/>
        <v>115350.04500000001</v>
      </c>
      <c r="FR69">
        <f t="shared" si="293"/>
        <v>5.0915789617314421E-3</v>
      </c>
      <c r="FS69">
        <f t="shared" si="139"/>
        <v>4.1931447232861248E-3</v>
      </c>
      <c r="FT69">
        <f t="shared" si="140"/>
        <v>1.1871190667033855E-2</v>
      </c>
      <c r="FU69">
        <f t="shared" si="141"/>
        <v>13.989205418898509</v>
      </c>
      <c r="FV69">
        <f t="shared" si="255"/>
        <v>2.8332658286514977E-6</v>
      </c>
      <c r="FW69">
        <f t="shared" si="225"/>
        <v>2.5566362815585376E-2</v>
      </c>
      <c r="FX69">
        <f t="shared" si="310"/>
        <v>2949.0811012641002</v>
      </c>
      <c r="FY69">
        <f t="shared" si="226"/>
        <v>2.1360647784482902E-6</v>
      </c>
      <c r="FZ69">
        <f t="shared" si="143"/>
        <v>7.5767740979168366E-4</v>
      </c>
      <c r="GA69">
        <f t="shared" si="144"/>
        <v>0.23549203053889131</v>
      </c>
      <c r="GC69">
        <f t="shared" si="145"/>
        <v>25.334211385385743</v>
      </c>
      <c r="GD69">
        <f t="shared" si="146"/>
        <v>0.27999999999999997</v>
      </c>
      <c r="GE69">
        <f t="shared" si="294"/>
        <v>115350.04500000001</v>
      </c>
      <c r="GF69">
        <f t="shared" si="295"/>
        <v>5.0915789617314421E-3</v>
      </c>
      <c r="GG69">
        <f t="shared" si="147"/>
        <v>4.1931447232861248E-3</v>
      </c>
      <c r="GH69">
        <f t="shared" si="148"/>
        <v>1.1871190667033855E-2</v>
      </c>
      <c r="GI69">
        <f t="shared" si="149"/>
        <v>13.989205418898509</v>
      </c>
      <c r="GJ69">
        <f t="shared" si="256"/>
        <v>2.7566839576633644E-6</v>
      </c>
      <c r="GK69">
        <f t="shared" si="227"/>
        <v>2.4574621965361285E-2</v>
      </c>
      <c r="GL69">
        <f t="shared" si="311"/>
        <v>2834.6837495624131</v>
      </c>
      <c r="GM69">
        <f t="shared" si="228"/>
        <v>2.0942251363673805E-6</v>
      </c>
      <c r="GN69">
        <f t="shared" si="151"/>
        <v>7.199215831170928E-4</v>
      </c>
      <c r="GO69">
        <f t="shared" si="152"/>
        <v>0.22912678936769967</v>
      </c>
      <c r="GQ69">
        <f t="shared" si="153"/>
        <v>27.231905122118757</v>
      </c>
      <c r="GR69">
        <f t="shared" si="154"/>
        <v>0.27999999999999997</v>
      </c>
      <c r="GS69">
        <f t="shared" si="296"/>
        <v>115350.04500000001</v>
      </c>
      <c r="GT69">
        <f t="shared" si="297"/>
        <v>5.0915789617314421E-3</v>
      </c>
      <c r="GU69">
        <f t="shared" si="155"/>
        <v>4.1931447232861248E-3</v>
      </c>
      <c r="GV69">
        <f t="shared" si="156"/>
        <v>1.1871190667033855E-2</v>
      </c>
      <c r="GW69">
        <f t="shared" si="157"/>
        <v>13.989205418898509</v>
      </c>
      <c r="GX69">
        <f t="shared" si="257"/>
        <v>2.6836072207843647E-6</v>
      </c>
      <c r="GY69">
        <f t="shared" si="229"/>
        <v>2.3635424608131027E-2</v>
      </c>
      <c r="GZ69">
        <f t="shared" si="312"/>
        <v>2726.3472921420216</v>
      </c>
      <c r="HA69">
        <f t="shared" si="230"/>
        <v>2.0538165516650421E-6</v>
      </c>
      <c r="HB69">
        <f t="shared" si="159"/>
        <v>6.8441974198148495E-4</v>
      </c>
      <c r="HC69">
        <f t="shared" si="160"/>
        <v>0.22305288377833865</v>
      </c>
      <c r="HE69">
        <f t="shared" si="161"/>
        <v>29.129598858851772</v>
      </c>
      <c r="HF69">
        <f t="shared" si="162"/>
        <v>0.27999999999999997</v>
      </c>
      <c r="HG69">
        <f t="shared" si="33"/>
        <v>115350.04500000001</v>
      </c>
      <c r="HH69">
        <f t="shared" si="34"/>
        <v>5.0915789617314421E-3</v>
      </c>
      <c r="HI69">
        <f t="shared" si="263"/>
        <v>4.1931447232861248E-3</v>
      </c>
      <c r="HJ69">
        <f t="shared" si="164"/>
        <v>1.1871190667033855E-2</v>
      </c>
      <c r="HK69">
        <f t="shared" si="165"/>
        <v>13.989205418898509</v>
      </c>
      <c r="HL69">
        <f t="shared" si="258"/>
        <v>2.6138266582062273E-6</v>
      </c>
      <c r="HM69">
        <f t="shared" si="231"/>
        <v>2.2745357843188731E-2</v>
      </c>
      <c r="HN69">
        <f t="shared" si="166"/>
        <v>2623.6780507529234</v>
      </c>
      <c r="HO69">
        <f t="shared" si="232"/>
        <v>2.0147739732087514E-6</v>
      </c>
      <c r="HP69">
        <f t="shared" si="167"/>
        <v>6.5101549483516949E-4</v>
      </c>
      <c r="HQ69">
        <f t="shared" si="168"/>
        <v>0.21725294569716927</v>
      </c>
      <c r="HS69">
        <f t="shared" si="169"/>
        <v>31.02729259558479</v>
      </c>
      <c r="HT69">
        <f t="shared" si="170"/>
        <v>0.27999999999999997</v>
      </c>
      <c r="HU69">
        <f t="shared" si="35"/>
        <v>115350.04500000001</v>
      </c>
      <c r="HV69">
        <f t="shared" si="36"/>
        <v>5.0915789617314421E-3</v>
      </c>
      <c r="HW69">
        <f t="shared" si="264"/>
        <v>4.1931447232861248E-3</v>
      </c>
      <c r="HX69">
        <f t="shared" si="172"/>
        <v>1.1871190667033855E-2</v>
      </c>
      <c r="HY69">
        <f t="shared" si="173"/>
        <v>13.989205418898509</v>
      </c>
      <c r="HZ69">
        <f t="shared" si="259"/>
        <v>2.5471480259087899E-6</v>
      </c>
      <c r="IA69">
        <f t="shared" si="233"/>
        <v>2.1901264290038407E-2</v>
      </c>
      <c r="IB69">
        <f t="shared" si="174"/>
        <v>2526.3118214128235</v>
      </c>
      <c r="IC69">
        <f t="shared" si="234"/>
        <v>1.9770358207918701E-6</v>
      </c>
      <c r="ID69">
        <f t="shared" si="175"/>
        <v>6.1956467038842323E-4</v>
      </c>
      <c r="IE69">
        <f t="shared" si="176"/>
        <v>0.21171083017998421</v>
      </c>
      <c r="IG69">
        <f t="shared" si="177"/>
        <v>32.9249863323178</v>
      </c>
      <c r="IH69">
        <f t="shared" si="178"/>
        <v>0.27999999999999997</v>
      </c>
      <c r="II69">
        <f t="shared" si="37"/>
        <v>115350.04500000001</v>
      </c>
      <c r="IJ69">
        <f t="shared" si="38"/>
        <v>5.0915789617314421E-3</v>
      </c>
      <c r="IK69">
        <f t="shared" si="265"/>
        <v>4.1931447232861248E-3</v>
      </c>
      <c r="IL69">
        <f t="shared" si="180"/>
        <v>1.1871190667033855E-2</v>
      </c>
      <c r="IM69">
        <f t="shared" si="181"/>
        <v>13.989205418898509</v>
      </c>
      <c r="IN69">
        <f t="shared" si="260"/>
        <v>2.4833906299030312E-6</v>
      </c>
      <c r="IO69">
        <f t="shared" si="235"/>
        <v>2.1100220862644625E-2</v>
      </c>
      <c r="IP69">
        <f t="shared" si="182"/>
        <v>2433.9114260159968</v>
      </c>
      <c r="IQ69">
        <f t="shared" si="236"/>
        <v>1.9405437825154861E-6</v>
      </c>
      <c r="IR69">
        <f t="shared" si="183"/>
        <v>5.8993427092844653E-4</v>
      </c>
      <c r="IS69">
        <f t="shared" si="184"/>
        <v>0.20641151851800207</v>
      </c>
      <c r="IU69">
        <f t="shared" si="185"/>
        <v>34.822680069050818</v>
      </c>
      <c r="IV69">
        <f t="shared" si="186"/>
        <v>0.27999999999999997</v>
      </c>
      <c r="IW69">
        <f t="shared" si="39"/>
        <v>115350.04500000001</v>
      </c>
      <c r="IX69">
        <f t="shared" si="40"/>
        <v>5.0915789617314421E-3</v>
      </c>
      <c r="IY69">
        <f t="shared" si="266"/>
        <v>4.1931447232861248E-3</v>
      </c>
      <c r="IZ69">
        <f t="shared" si="188"/>
        <v>1.1871190667033855E-2</v>
      </c>
      <c r="JA69">
        <f t="shared" si="189"/>
        <v>13.989205418898509</v>
      </c>
      <c r="JB69">
        <f t="shared" si="261"/>
        <v>2.4223862613345885E-6</v>
      </c>
      <c r="JC69">
        <f t="shared" si="237"/>
        <v>2.0339519450943682E-2</v>
      </c>
      <c r="JD69">
        <f t="shared" si="190"/>
        <v>2346.1644839447295</v>
      </c>
      <c r="JE69">
        <f t="shared" si="238"/>
        <v>1.9052426244832097E-6</v>
      </c>
      <c r="JF69">
        <f t="shared" si="191"/>
        <v>5.6200152186460547E-4</v>
      </c>
      <c r="JG69">
        <f t="shared" si="192"/>
        <v>0.20134102972706394</v>
      </c>
      <c r="JI69">
        <f t="shared" si="193"/>
        <v>36.720373805783829</v>
      </c>
      <c r="JJ69">
        <f t="shared" si="194"/>
        <v>0.27999999999999997</v>
      </c>
      <c r="JK69">
        <f t="shared" si="41"/>
        <v>115350.04500000001</v>
      </c>
      <c r="JL69">
        <f t="shared" si="42"/>
        <v>5.0915789617314421E-3</v>
      </c>
      <c r="JM69">
        <f t="shared" si="267"/>
        <v>4.1931447232861248E-3</v>
      </c>
      <c r="JN69">
        <f t="shared" si="196"/>
        <v>1.1871190667033855E-2</v>
      </c>
      <c r="JO69">
        <f t="shared" si="197"/>
        <v>13.989205418898509</v>
      </c>
      <c r="JP69">
        <f t="shared" si="262"/>
        <v>2.3639782231093592E-6</v>
      </c>
      <c r="JQ69">
        <f t="shared" si="239"/>
        <v>1.9616649327614845E-2</v>
      </c>
      <c r="JR69">
        <f t="shared" si="198"/>
        <v>2262.7813826895922</v>
      </c>
      <c r="JS69">
        <f t="shared" si="240"/>
        <v>1.8710800120669627E-6</v>
      </c>
      <c r="JT69">
        <f t="shared" si="199"/>
        <v>5.3565300815985417E-4</v>
      </c>
      <c r="JU69">
        <f t="shared" si="200"/>
        <v>0.19648633964385387</v>
      </c>
    </row>
    <row r="70" spans="2:281">
      <c r="B70">
        <v>0.36</v>
      </c>
      <c r="C70">
        <f t="shared" si="43"/>
        <v>0.68316974522388518</v>
      </c>
      <c r="D70">
        <f t="shared" si="44"/>
        <v>0.28799999999999998</v>
      </c>
      <c r="E70">
        <f t="shared" si="268"/>
        <v>115165.617</v>
      </c>
      <c r="F70">
        <f t="shared" si="269"/>
        <v>5.0942954232812724E-3</v>
      </c>
      <c r="G70">
        <f t="shared" si="45"/>
        <v>4.1920266064190831E-3</v>
      </c>
      <c r="H70">
        <f t="shared" si="46"/>
        <v>1.1890201375345693E-2</v>
      </c>
      <c r="I70">
        <f t="shared" si="47"/>
        <v>14.004136455463506</v>
      </c>
      <c r="J70">
        <f t="shared" si="241"/>
        <v>4.1270213434878127E-6</v>
      </c>
      <c r="K70">
        <f t="shared" si="201"/>
        <v>4.4069354651313057E-2</v>
      </c>
      <c r="L70">
        <f t="shared" si="298"/>
        <v>5075.2744192102882</v>
      </c>
      <c r="M70">
        <f t="shared" si="202"/>
        <v>2.8022109493788421E-6</v>
      </c>
      <c r="N70">
        <f t="shared" si="203"/>
        <v>1.4408789539160486E-3</v>
      </c>
      <c r="O70">
        <f t="shared" si="49"/>
        <v>0.34302486777877034</v>
      </c>
      <c r="Q70">
        <f t="shared" si="50"/>
        <v>2.5808634819568996</v>
      </c>
      <c r="R70">
        <f t="shared" si="51"/>
        <v>0.28799999999999998</v>
      </c>
      <c r="S70">
        <f t="shared" si="270"/>
        <v>115165.617</v>
      </c>
      <c r="T70">
        <f t="shared" si="271"/>
        <v>5.0942954232812724E-3</v>
      </c>
      <c r="U70">
        <f t="shared" si="52"/>
        <v>4.1920266064190831E-3</v>
      </c>
      <c r="V70">
        <f t="shared" si="53"/>
        <v>1.1890201375345693E-2</v>
      </c>
      <c r="W70">
        <f t="shared" si="54"/>
        <v>14.004136455463506</v>
      </c>
      <c r="X70">
        <f t="shared" si="242"/>
        <v>3.9846224896422344E-6</v>
      </c>
      <c r="Y70">
        <f t="shared" si="204"/>
        <v>4.2002665976805999E-2</v>
      </c>
      <c r="Z70">
        <f t="shared" si="299"/>
        <v>4837.2629428637701</v>
      </c>
      <c r="AA70">
        <f t="shared" si="205"/>
        <v>2.735715358765478E-6</v>
      </c>
      <c r="AB70">
        <f t="shared" si="56"/>
        <v>1.3583256957206337E-3</v>
      </c>
      <c r="AC70">
        <f t="shared" si="57"/>
        <v>0.3311891286471314</v>
      </c>
      <c r="AE70">
        <f t="shared" si="58"/>
        <v>4.4785572186899136</v>
      </c>
      <c r="AF70">
        <f t="shared" si="59"/>
        <v>0.28799999999999998</v>
      </c>
      <c r="AG70">
        <f t="shared" si="272"/>
        <v>115165.617</v>
      </c>
      <c r="AH70">
        <f t="shared" si="273"/>
        <v>5.0942954232812724E-3</v>
      </c>
      <c r="AI70">
        <f t="shared" si="60"/>
        <v>4.1920266064190831E-3</v>
      </c>
      <c r="AJ70">
        <f t="shared" si="61"/>
        <v>1.1890201375345693E-2</v>
      </c>
      <c r="AK70">
        <f t="shared" si="62"/>
        <v>14.004136455463506</v>
      </c>
      <c r="AL70">
        <f t="shared" si="243"/>
        <v>3.8499962954549619E-6</v>
      </c>
      <c r="AM70">
        <f t="shared" si="206"/>
        <v>4.0063875664622155E-2</v>
      </c>
      <c r="AN70">
        <f t="shared" si="300"/>
        <v>4613.9809603274953</v>
      </c>
      <c r="AO70">
        <f t="shared" si="207"/>
        <v>2.6718308496067208E-6</v>
      </c>
      <c r="AP70">
        <f t="shared" si="64"/>
        <v>1.2813862290804274E-3</v>
      </c>
      <c r="AQ70">
        <f t="shared" si="65"/>
        <v>0.31999942822711352</v>
      </c>
      <c r="AS70">
        <f t="shared" si="66"/>
        <v>6.3762509554229281</v>
      </c>
      <c r="AT70">
        <f t="shared" si="67"/>
        <v>0.28799999999999998</v>
      </c>
      <c r="AU70">
        <f t="shared" si="274"/>
        <v>115165.617</v>
      </c>
      <c r="AV70">
        <f t="shared" si="275"/>
        <v>5.0942954232812724E-3</v>
      </c>
      <c r="AW70">
        <f t="shared" si="68"/>
        <v>4.1920266064190831E-3</v>
      </c>
      <c r="AX70">
        <f t="shared" si="69"/>
        <v>1.1890201375345693E-2</v>
      </c>
      <c r="AY70">
        <f t="shared" si="70"/>
        <v>14.004136455463506</v>
      </c>
      <c r="AZ70">
        <f t="shared" si="244"/>
        <v>3.7226117400080984E-6</v>
      </c>
      <c r="BA70">
        <f t="shared" si="208"/>
        <v>3.8243559542496794E-2</v>
      </c>
      <c r="BB70">
        <f t="shared" si="301"/>
        <v>4404.3431309878806</v>
      </c>
      <c r="BC70">
        <f t="shared" si="209"/>
        <v>2.6104274892738543E-6</v>
      </c>
      <c r="BD70">
        <f t="shared" si="72"/>
        <v>1.2096243257795941E-3</v>
      </c>
      <c r="BE70">
        <f t="shared" si="73"/>
        <v>0.30941162975154529</v>
      </c>
      <c r="BG70">
        <f t="shared" si="74"/>
        <v>8.2739446921559434</v>
      </c>
      <c r="BH70">
        <f t="shared" si="75"/>
        <v>0.28799999999999998</v>
      </c>
      <c r="BI70">
        <f t="shared" si="276"/>
        <v>115165.617</v>
      </c>
      <c r="BJ70">
        <f t="shared" si="277"/>
        <v>5.0942954232812724E-3</v>
      </c>
      <c r="BK70">
        <f t="shared" si="76"/>
        <v>4.1920266064190831E-3</v>
      </c>
      <c r="BL70">
        <f t="shared" si="77"/>
        <v>1.1890201375345693E-2</v>
      </c>
      <c r="BM70">
        <f t="shared" si="78"/>
        <v>14.004136455463506</v>
      </c>
      <c r="BN70">
        <f t="shared" si="245"/>
        <v>3.6019795451755398E-6</v>
      </c>
      <c r="BO70">
        <f t="shared" si="210"/>
        <v>3.6533075255651193E-2</v>
      </c>
      <c r="BP70">
        <f t="shared" si="302"/>
        <v>4207.3541527245025</v>
      </c>
      <c r="BQ70">
        <f t="shared" si="211"/>
        <v>2.5513826392084265E-6</v>
      </c>
      <c r="BR70">
        <f t="shared" si="80"/>
        <v>1.142641224426276E-3</v>
      </c>
      <c r="BS70">
        <f t="shared" si="81"/>
        <v>0.29938506598114073</v>
      </c>
      <c r="BU70">
        <f t="shared" si="82"/>
        <v>10.171638428888958</v>
      </c>
      <c r="BV70">
        <f t="shared" si="83"/>
        <v>0.28799999999999998</v>
      </c>
      <c r="BW70">
        <f t="shared" si="278"/>
        <v>115165.617</v>
      </c>
      <c r="BX70">
        <f t="shared" si="279"/>
        <v>5.0942954232812724E-3</v>
      </c>
      <c r="BY70">
        <f t="shared" si="84"/>
        <v>4.1920266064190831E-3</v>
      </c>
      <c r="BZ70">
        <f t="shared" si="85"/>
        <v>1.1890201375345693E-2</v>
      </c>
      <c r="CA70">
        <f t="shared" si="86"/>
        <v>14.004136455463506</v>
      </c>
      <c r="CB70">
        <f t="shared" si="246"/>
        <v>3.4876485574410769E-6</v>
      </c>
      <c r="CC70">
        <f t="shared" si="247"/>
        <v>3.4924491688281184E-2</v>
      </c>
      <c r="CD70">
        <f t="shared" si="303"/>
        <v>4022.1006336922742</v>
      </c>
      <c r="CE70">
        <f t="shared" si="248"/>
        <v>2.494580523423826E-6</v>
      </c>
      <c r="CF70">
        <f t="shared" si="212"/>
        <v>1.0800721645791581E-3</v>
      </c>
      <c r="CG70">
        <f t="shared" si="88"/>
        <v>0.28988223847274547</v>
      </c>
      <c r="CI70">
        <f t="shared" si="89"/>
        <v>12.069332165621972</v>
      </c>
      <c r="CJ70">
        <f t="shared" si="90"/>
        <v>0.28799999999999998</v>
      </c>
      <c r="CK70">
        <f t="shared" si="280"/>
        <v>115165.617</v>
      </c>
      <c r="CL70">
        <f t="shared" si="281"/>
        <v>5.0942954232812724E-3</v>
      </c>
      <c r="CM70">
        <f t="shared" si="91"/>
        <v>4.1920266064190831E-3</v>
      </c>
      <c r="CN70">
        <f t="shared" si="92"/>
        <v>1.1890201375345693E-2</v>
      </c>
      <c r="CO70">
        <f t="shared" si="93"/>
        <v>14.004136455463506</v>
      </c>
      <c r="CP70">
        <f t="shared" si="249"/>
        <v>3.3792024665001925E-6</v>
      </c>
      <c r="CQ70">
        <f t="shared" si="213"/>
        <v>3.3410525160827521E-2</v>
      </c>
      <c r="CR70">
        <f t="shared" si="304"/>
        <v>3847.7437444407255</v>
      </c>
      <c r="CS70">
        <f t="shared" si="214"/>
        <v>2.4399118224556241E-6</v>
      </c>
      <c r="CT70">
        <f t="shared" si="95"/>
        <v>1.0215832594854678E-3</v>
      </c>
      <c r="CU70">
        <f t="shared" si="96"/>
        <v>0.28086854483997076</v>
      </c>
      <c r="CW70">
        <f t="shared" si="97"/>
        <v>13.967025902354987</v>
      </c>
      <c r="CX70">
        <f t="shared" si="98"/>
        <v>0.28799999999999998</v>
      </c>
      <c r="CY70">
        <f t="shared" si="282"/>
        <v>115165.617</v>
      </c>
      <c r="CZ70">
        <f t="shared" si="283"/>
        <v>5.0942954232812724E-3</v>
      </c>
      <c r="DA70">
        <f t="shared" si="99"/>
        <v>4.1920266064190831E-3</v>
      </c>
      <c r="DB70">
        <f t="shared" si="100"/>
        <v>1.1890201375345693E-2</v>
      </c>
      <c r="DC70">
        <f t="shared" si="101"/>
        <v>14.004136455463506</v>
      </c>
      <c r="DD70">
        <f t="shared" si="250"/>
        <v>3.276256827610549E-6</v>
      </c>
      <c r="DE70">
        <f t="shared" si="215"/>
        <v>3.1984481723001057E-2</v>
      </c>
      <c r="DF70">
        <f t="shared" si="305"/>
        <v>3683.5125720546398</v>
      </c>
      <c r="DG70">
        <f t="shared" si="216"/>
        <v>2.3872732913591007E-6</v>
      </c>
      <c r="DH70">
        <f t="shared" si="103"/>
        <v>9.6686867302553511E-4</v>
      </c>
      <c r="DI70">
        <f t="shared" si="104"/>
        <v>0.27231203126045112</v>
      </c>
      <c r="DK70">
        <f t="shared" si="105"/>
        <v>15.864719639087999</v>
      </c>
      <c r="DL70">
        <f t="shared" si="106"/>
        <v>0.28799999999999998</v>
      </c>
      <c r="DM70">
        <f t="shared" si="284"/>
        <v>115165.617</v>
      </c>
      <c r="DN70">
        <f t="shared" si="285"/>
        <v>5.0942954232812724E-3</v>
      </c>
      <c r="DO70">
        <f t="shared" si="107"/>
        <v>4.1920266064190831E-3</v>
      </c>
      <c r="DP70">
        <f t="shared" si="108"/>
        <v>1.1890201375345693E-2</v>
      </c>
      <c r="DQ70">
        <f t="shared" si="109"/>
        <v>14.004136455463506</v>
      </c>
      <c r="DR70">
        <f t="shared" si="251"/>
        <v>3.1784563580209471E-6</v>
      </c>
      <c r="DS70">
        <f t="shared" si="217"/>
        <v>3.0640204932904844E-2</v>
      </c>
      <c r="DT70">
        <f t="shared" si="306"/>
        <v>3528.6981061044298</v>
      </c>
      <c r="DU70">
        <f t="shared" si="218"/>
        <v>2.3365674004169711E-6</v>
      </c>
      <c r="DV70">
        <f t="shared" si="111"/>
        <v>9.1564807004836264E-4</v>
      </c>
      <c r="DW70">
        <f t="shared" si="112"/>
        <v>0.26418316776363115</v>
      </c>
      <c r="DY70">
        <f t="shared" si="113"/>
        <v>17.762413375821016</v>
      </c>
      <c r="DZ70">
        <f t="shared" si="114"/>
        <v>0.28799999999999998</v>
      </c>
      <c r="EA70">
        <f t="shared" si="286"/>
        <v>115165.617</v>
      </c>
      <c r="EB70">
        <f t="shared" si="287"/>
        <v>5.0942954232812724E-3</v>
      </c>
      <c r="EC70">
        <f t="shared" si="115"/>
        <v>4.1920266064190831E-3</v>
      </c>
      <c r="ED70">
        <f t="shared" si="116"/>
        <v>1.1890201375345693E-2</v>
      </c>
      <c r="EE70">
        <f t="shared" si="117"/>
        <v>14.004136455463506</v>
      </c>
      <c r="EF70">
        <f t="shared" si="252"/>
        <v>3.0854724808217097E-6</v>
      </c>
      <c r="EG70">
        <f t="shared" si="219"/>
        <v>2.9372028575542958E-2</v>
      </c>
      <c r="EH70">
        <f t="shared" si="307"/>
        <v>3382.6477934440359</v>
      </c>
      <c r="EI70">
        <f t="shared" si="220"/>
        <v>2.287701997283045E-6</v>
      </c>
      <c r="EJ70">
        <f t="shared" si="119"/>
        <v>8.676643124916044E-4</v>
      </c>
      <c r="EK70">
        <f t="shared" si="120"/>
        <v>0.25645464408343371</v>
      </c>
      <c r="EM70">
        <f t="shared" si="121"/>
        <v>19.66010711255403</v>
      </c>
      <c r="EN70">
        <f t="shared" si="122"/>
        <v>0.28799999999999998</v>
      </c>
      <c r="EO70">
        <f t="shared" si="288"/>
        <v>115165.617</v>
      </c>
      <c r="EP70">
        <f t="shared" si="289"/>
        <v>5.0942954232812724E-3</v>
      </c>
      <c r="EQ70">
        <f t="shared" si="123"/>
        <v>4.1920266064190831E-3</v>
      </c>
      <c r="ER70">
        <f t="shared" si="124"/>
        <v>1.1890201375345693E-2</v>
      </c>
      <c r="ES70">
        <f t="shared" si="125"/>
        <v>14.004136455463506</v>
      </c>
      <c r="ET70">
        <f t="shared" si="253"/>
        <v>2.9970010922584857E-6</v>
      </c>
      <c r="EU70">
        <f t="shared" si="221"/>
        <v>2.817473383032237E-2</v>
      </c>
      <c r="EV70">
        <f t="shared" si="308"/>
        <v>3244.760605379849</v>
      </c>
      <c r="EW70">
        <f t="shared" si="222"/>
        <v>2.2405899893483137E-6</v>
      </c>
      <c r="EX70">
        <f t="shared" si="127"/>
        <v>8.2268137654877514E-4</v>
      </c>
      <c r="EY70">
        <f t="shared" si="128"/>
        <v>0.24910118408449497</v>
      </c>
      <c r="FA70">
        <f t="shared" si="129"/>
        <v>21.557800849287045</v>
      </c>
      <c r="FB70">
        <f t="shared" si="130"/>
        <v>0.28799999999999998</v>
      </c>
      <c r="FC70">
        <f t="shared" si="290"/>
        <v>115165.617</v>
      </c>
      <c r="FD70">
        <f t="shared" si="291"/>
        <v>5.0942954232812724E-3</v>
      </c>
      <c r="FE70">
        <f t="shared" si="131"/>
        <v>4.1920266064190831E-3</v>
      </c>
      <c r="FF70">
        <f t="shared" si="132"/>
        <v>1.1890201375345693E-2</v>
      </c>
      <c r="FG70">
        <f t="shared" si="133"/>
        <v>14.004136455463506</v>
      </c>
      <c r="FH70">
        <f t="shared" si="254"/>
        <v>2.912760530969364E-6</v>
      </c>
      <c r="FI70">
        <f t="shared" si="223"/>
        <v>2.7043510447546985E-2</v>
      </c>
      <c r="FJ70">
        <f t="shared" si="309"/>
        <v>3114.4825665376948</v>
      </c>
      <c r="FK70">
        <f t="shared" si="224"/>
        <v>2.1951490451749465E-6</v>
      </c>
      <c r="FL70">
        <f t="shared" si="135"/>
        <v>7.804824687120866E-4</v>
      </c>
      <c r="FM70">
        <f t="shared" si="136"/>
        <v>0.24209937697162229</v>
      </c>
      <c r="FO70">
        <f t="shared" si="137"/>
        <v>23.455494586020059</v>
      </c>
      <c r="FP70">
        <f t="shared" si="138"/>
        <v>0.28799999999999998</v>
      </c>
      <c r="FQ70">
        <f t="shared" si="292"/>
        <v>115165.617</v>
      </c>
      <c r="FR70">
        <f t="shared" si="293"/>
        <v>5.0942954232812724E-3</v>
      </c>
      <c r="FS70">
        <f t="shared" si="139"/>
        <v>4.1920266064190831E-3</v>
      </c>
      <c r="FT70">
        <f t="shared" si="140"/>
        <v>1.1890201375345693E-2</v>
      </c>
      <c r="FU70">
        <f t="shared" si="141"/>
        <v>14.004136455463506</v>
      </c>
      <c r="FV70">
        <f t="shared" si="255"/>
        <v>2.8324897297722013E-6</v>
      </c>
      <c r="FW70">
        <f t="shared" si="225"/>
        <v>2.5973921538997368E-2</v>
      </c>
      <c r="FX70">
        <f t="shared" si="310"/>
        <v>2991.3026999482213</v>
      </c>
      <c r="FY70">
        <f t="shared" si="226"/>
        <v>2.1513013139006311E-6</v>
      </c>
      <c r="FZ70">
        <f t="shared" si="143"/>
        <v>7.4086832081423531E-4</v>
      </c>
      <c r="GA70">
        <f t="shared" si="144"/>
        <v>0.23542752367224426</v>
      </c>
      <c r="GC70">
        <f t="shared" si="145"/>
        <v>25.353188322753073</v>
      </c>
      <c r="GD70">
        <f t="shared" si="146"/>
        <v>0.28799999999999998</v>
      </c>
      <c r="GE70">
        <f t="shared" si="294"/>
        <v>115165.617</v>
      </c>
      <c r="GF70">
        <f t="shared" si="295"/>
        <v>5.0942954232812724E-3</v>
      </c>
      <c r="GG70">
        <f t="shared" si="147"/>
        <v>4.1920266064190831E-3</v>
      </c>
      <c r="GH70">
        <f t="shared" si="148"/>
        <v>1.1890201375345693E-2</v>
      </c>
      <c r="GI70">
        <f t="shared" si="149"/>
        <v>14.004136455463506</v>
      </c>
      <c r="GJ70">
        <f t="shared" si="256"/>
        <v>2.7559465325710785E-6</v>
      </c>
      <c r="GK70">
        <f t="shared" si="227"/>
        <v>2.4961871628054296E-2</v>
      </c>
      <c r="GL70">
        <f t="shared" si="311"/>
        <v>2874.7493475196675</v>
      </c>
      <c r="GM70">
        <f t="shared" si="228"/>
        <v>2.1089731615708981E-6</v>
      </c>
      <c r="GN70">
        <f t="shared" si="151"/>
        <v>7.0365564624457638E-4</v>
      </c>
      <c r="GO70">
        <f t="shared" si="152"/>
        <v>0.22906549694303671</v>
      </c>
      <c r="GQ70">
        <f t="shared" si="153"/>
        <v>27.250882059486088</v>
      </c>
      <c r="GR70">
        <f t="shared" si="154"/>
        <v>0.28799999999999998</v>
      </c>
      <c r="GS70">
        <f t="shared" si="296"/>
        <v>115165.617</v>
      </c>
      <c r="GT70">
        <f t="shared" si="297"/>
        <v>5.0942954232812724E-3</v>
      </c>
      <c r="GU70">
        <f t="shared" si="155"/>
        <v>4.1920266064190831E-3</v>
      </c>
      <c r="GV70">
        <f t="shared" si="156"/>
        <v>1.1890201375345693E-2</v>
      </c>
      <c r="GW70">
        <f t="shared" si="157"/>
        <v>14.004136455463506</v>
      </c>
      <c r="GX70">
        <f t="shared" si="257"/>
        <v>2.6829061606922259E-6</v>
      </c>
      <c r="GY70">
        <f t="shared" si="229"/>
        <v>2.4003577640958854E-2</v>
      </c>
      <c r="GZ70">
        <f t="shared" si="312"/>
        <v>2764.386829228431</v>
      </c>
      <c r="HA70">
        <f t="shared" si="230"/>
        <v>2.0680949234102859E-6</v>
      </c>
      <c r="HB70">
        <f t="shared" si="159"/>
        <v>6.6867574135123168E-4</v>
      </c>
      <c r="HC70">
        <f t="shared" si="160"/>
        <v>0.22299461389665015</v>
      </c>
      <c r="HE70">
        <f t="shared" si="161"/>
        <v>29.148575796219102</v>
      </c>
      <c r="HF70">
        <f t="shared" si="162"/>
        <v>0.28799999999999998</v>
      </c>
      <c r="HG70">
        <f t="shared" si="33"/>
        <v>115165.617</v>
      </c>
      <c r="HH70">
        <f t="shared" si="34"/>
        <v>5.0942954232812724E-3</v>
      </c>
      <c r="HI70">
        <f t="shared" si="263"/>
        <v>4.1920266064190831E-3</v>
      </c>
      <c r="HJ70">
        <f t="shared" si="164"/>
        <v>1.1890201375345693E-2</v>
      </c>
      <c r="HK70">
        <f t="shared" si="165"/>
        <v>14.004136455463506</v>
      </c>
      <c r="HL70">
        <f t="shared" si="258"/>
        <v>2.613159814521281E-6</v>
      </c>
      <c r="HM70">
        <f t="shared" si="231"/>
        <v>2.309554255315573E-2</v>
      </c>
      <c r="HN70">
        <f t="shared" si="166"/>
        <v>2659.8124080839348</v>
      </c>
      <c r="HO70">
        <f t="shared" si="232"/>
        <v>2.0286006710945602E-6</v>
      </c>
      <c r="HP70">
        <f t="shared" si="167"/>
        <v>6.3577321768315954E-4</v>
      </c>
      <c r="HQ70">
        <f t="shared" si="168"/>
        <v>0.21719751977425303</v>
      </c>
      <c r="HS70">
        <f t="shared" si="169"/>
        <v>31.046269532952117</v>
      </c>
      <c r="HT70">
        <f t="shared" si="170"/>
        <v>0.28799999999999998</v>
      </c>
      <c r="HU70">
        <f t="shared" si="35"/>
        <v>115165.617</v>
      </c>
      <c r="HV70">
        <f t="shared" si="36"/>
        <v>5.0942954232812724E-3</v>
      </c>
      <c r="HW70">
        <f t="shared" si="264"/>
        <v>4.1920266064190831E-3</v>
      </c>
      <c r="HX70">
        <f t="shared" si="172"/>
        <v>1.1890201375345693E-2</v>
      </c>
      <c r="HY70">
        <f t="shared" si="173"/>
        <v>14.004136455463506</v>
      </c>
      <c r="HZ70">
        <f t="shared" si="259"/>
        <v>2.5465133977146191E-6</v>
      </c>
      <c r="IA70">
        <f t="shared" si="233"/>
        <v>2.2234531433642509E-2</v>
      </c>
      <c r="IB70">
        <f t="shared" si="174"/>
        <v>2560.6535312613341</v>
      </c>
      <c r="IC70">
        <f t="shared" si="234"/>
        <v>1.9904279941356144E-6</v>
      </c>
      <c r="ID70">
        <f t="shared" si="175"/>
        <v>6.0480485219607523E-4</v>
      </c>
      <c r="IE70">
        <f t="shared" si="176"/>
        <v>0.21165808190604141</v>
      </c>
      <c r="IG70">
        <f t="shared" si="177"/>
        <v>32.943963269685128</v>
      </c>
      <c r="IH70">
        <f t="shared" si="178"/>
        <v>0.28799999999999998</v>
      </c>
      <c r="II70">
        <f t="shared" si="37"/>
        <v>115165.617</v>
      </c>
      <c r="IJ70">
        <f t="shared" si="38"/>
        <v>5.0942954232812724E-3</v>
      </c>
      <c r="IK70">
        <f t="shared" si="265"/>
        <v>4.1920266064190831E-3</v>
      </c>
      <c r="IL70">
        <f t="shared" si="180"/>
        <v>1.1890201375345693E-2</v>
      </c>
      <c r="IM70">
        <f t="shared" si="181"/>
        <v>14.004136455463506</v>
      </c>
      <c r="IN70">
        <f t="shared" si="260"/>
        <v>2.4827863525145156E-6</v>
      </c>
      <c r="IO70">
        <f t="shared" si="235"/>
        <v>2.14175496562042E-2</v>
      </c>
      <c r="IP70">
        <f t="shared" si="182"/>
        <v>2466.5653207848945</v>
      </c>
      <c r="IQ70">
        <f t="shared" si="236"/>
        <v>1.9535177945382301E-6</v>
      </c>
      <c r="IR70">
        <f t="shared" si="183"/>
        <v>5.7563854386154375E-4</v>
      </c>
      <c r="IS70">
        <f t="shared" si="184"/>
        <v>0.20636129290634531</v>
      </c>
      <c r="IU70">
        <f t="shared" si="185"/>
        <v>34.841657006418146</v>
      </c>
      <c r="IV70">
        <f t="shared" si="186"/>
        <v>0.28799999999999998</v>
      </c>
      <c r="IW70">
        <f t="shared" si="39"/>
        <v>115165.617</v>
      </c>
      <c r="IX70">
        <f t="shared" si="40"/>
        <v>5.0942954232812724E-3</v>
      </c>
      <c r="IY70">
        <f t="shared" si="266"/>
        <v>4.1920266064190831E-3</v>
      </c>
      <c r="IZ70">
        <f t="shared" si="188"/>
        <v>1.1890201375345693E-2</v>
      </c>
      <c r="JA70">
        <f t="shared" si="189"/>
        <v>14.004136455463506</v>
      </c>
      <c r="JB70">
        <f t="shared" si="261"/>
        <v>2.4218105958262267E-6</v>
      </c>
      <c r="JC70">
        <f t="shared" si="237"/>
        <v>2.0641823069669319E-2</v>
      </c>
      <c r="JD70">
        <f t="shared" si="190"/>
        <v>2377.2282898233011</v>
      </c>
      <c r="JE70">
        <f t="shared" si="238"/>
        <v>1.9178140939335136E-6</v>
      </c>
      <c r="JF70">
        <f t="shared" si="191"/>
        <v>5.4815236629611453E-4</v>
      </c>
      <c r="JG70">
        <f t="shared" si="192"/>
        <v>0.20129318224374473</v>
      </c>
      <c r="JI70">
        <f t="shared" si="193"/>
        <v>36.739350743151157</v>
      </c>
      <c r="JJ70">
        <f t="shared" si="194"/>
        <v>0.28799999999999998</v>
      </c>
      <c r="JK70">
        <f t="shared" si="41"/>
        <v>115165.617</v>
      </c>
      <c r="JL70">
        <f t="shared" si="42"/>
        <v>5.0942954232812724E-3</v>
      </c>
      <c r="JM70">
        <f t="shared" si="267"/>
        <v>4.1920266064190831E-3</v>
      </c>
      <c r="JN70">
        <f t="shared" si="196"/>
        <v>1.1890201375345693E-2</v>
      </c>
      <c r="JO70">
        <f t="shared" si="197"/>
        <v>14.004136455463506</v>
      </c>
      <c r="JP70">
        <f t="shared" si="262"/>
        <v>2.3634295467281552E-6</v>
      </c>
      <c r="JQ70">
        <f t="shared" si="239"/>
        <v>1.9904779940163271E-2</v>
      </c>
      <c r="JR70">
        <f t="shared" si="198"/>
        <v>2292.3462630581262</v>
      </c>
      <c r="JS70">
        <f t="shared" si="240"/>
        <v>1.883263852437405E-6</v>
      </c>
      <c r="JT70">
        <f t="shared" si="199"/>
        <v>5.2223370708180086E-4</v>
      </c>
      <c r="JU70">
        <f t="shared" si="200"/>
        <v>0.19644073541081231</v>
      </c>
    </row>
    <row r="71" spans="2:281">
      <c r="B71">
        <v>0.37</v>
      </c>
      <c r="C71">
        <f t="shared" si="43"/>
        <v>0.70214668259121538</v>
      </c>
      <c r="D71">
        <f t="shared" si="44"/>
        <v>0.29600000000000004</v>
      </c>
      <c r="E71">
        <f t="shared" si="268"/>
        <v>114981.18900000001</v>
      </c>
      <c r="F71">
        <f t="shared" si="269"/>
        <v>5.0970176912767656E-3</v>
      </c>
      <c r="G71">
        <f t="shared" si="45"/>
        <v>4.1909069964136854E-3</v>
      </c>
      <c r="H71">
        <f t="shared" si="46"/>
        <v>1.1909273069405597E-2</v>
      </c>
      <c r="I71">
        <f t="shared" si="47"/>
        <v>14.019107396610679</v>
      </c>
      <c r="J71">
        <f t="shared" si="241"/>
        <v>4.1255454323323734E-6</v>
      </c>
      <c r="K71">
        <f t="shared" si="201"/>
        <v>4.4844411132422442E-2</v>
      </c>
      <c r="L71">
        <f t="shared" si="298"/>
        <v>5156.2637120107693</v>
      </c>
      <c r="M71">
        <f t="shared" si="202"/>
        <v>2.8244807643062392E-6</v>
      </c>
      <c r="N71">
        <f t="shared" si="203"/>
        <v>1.4161872367526201E-3</v>
      </c>
      <c r="O71">
        <f t="shared" si="49"/>
        <v>0.34290219474492556</v>
      </c>
      <c r="Q71">
        <f t="shared" si="50"/>
        <v>2.5998404193242299</v>
      </c>
      <c r="R71">
        <f t="shared" si="51"/>
        <v>0.29600000000000004</v>
      </c>
      <c r="S71">
        <f t="shared" si="270"/>
        <v>114981.18900000001</v>
      </c>
      <c r="T71">
        <f t="shared" si="271"/>
        <v>5.0970176912767656E-3</v>
      </c>
      <c r="U71">
        <f t="shared" si="52"/>
        <v>4.1909069964136854E-3</v>
      </c>
      <c r="V71">
        <f t="shared" si="53"/>
        <v>1.1909273069405597E-2</v>
      </c>
      <c r="W71">
        <f t="shared" si="54"/>
        <v>14.019107396610679</v>
      </c>
      <c r="X71">
        <f t="shared" si="242"/>
        <v>3.9832311388687461E-6</v>
      </c>
      <c r="Y71">
        <f t="shared" si="204"/>
        <v>4.2733316619640659E-2</v>
      </c>
      <c r="Z71">
        <f t="shared" si="299"/>
        <v>4913.527554839744</v>
      </c>
      <c r="AA71">
        <f t="shared" si="205"/>
        <v>2.7571967565071171E-6</v>
      </c>
      <c r="AB71">
        <f t="shared" si="56"/>
        <v>1.334518019580518E-3</v>
      </c>
      <c r="AC71">
        <f t="shared" si="57"/>
        <v>0.33107348400287412</v>
      </c>
      <c r="AE71">
        <f t="shared" si="58"/>
        <v>4.4975341560572444</v>
      </c>
      <c r="AF71">
        <f t="shared" si="59"/>
        <v>0.29600000000000004</v>
      </c>
      <c r="AG71">
        <f t="shared" si="272"/>
        <v>114981.18900000001</v>
      </c>
      <c r="AH71">
        <f t="shared" si="273"/>
        <v>5.0970176912767656E-3</v>
      </c>
      <c r="AI71">
        <f t="shared" si="60"/>
        <v>4.1909069964136854E-3</v>
      </c>
      <c r="AJ71">
        <f t="shared" si="61"/>
        <v>1.1909273069405597E-2</v>
      </c>
      <c r="AK71">
        <f t="shared" si="62"/>
        <v>14.019107396610679</v>
      </c>
      <c r="AL71">
        <f t="shared" si="243"/>
        <v>3.8486837547833211E-6</v>
      </c>
      <c r="AM71">
        <f t="shared" si="206"/>
        <v>4.0753140157627578E-2</v>
      </c>
      <c r="AN71">
        <f t="shared" si="300"/>
        <v>4685.8445108076667</v>
      </c>
      <c r="AO71">
        <f t="shared" si="207"/>
        <v>2.69255756938208E-6</v>
      </c>
      <c r="AP71">
        <f t="shared" si="64"/>
        <v>1.2584241107128757E-3</v>
      </c>
      <c r="AQ71">
        <f t="shared" si="65"/>
        <v>0.31989033402747868</v>
      </c>
      <c r="AS71">
        <f t="shared" si="66"/>
        <v>6.3952278927902588</v>
      </c>
      <c r="AT71">
        <f t="shared" si="67"/>
        <v>0.29600000000000004</v>
      </c>
      <c r="AU71">
        <f t="shared" si="274"/>
        <v>114981.18900000001</v>
      </c>
      <c r="AV71">
        <f t="shared" si="275"/>
        <v>5.0970176912767656E-3</v>
      </c>
      <c r="AW71">
        <f t="shared" si="68"/>
        <v>4.1909069964136854E-3</v>
      </c>
      <c r="AX71">
        <f t="shared" si="69"/>
        <v>1.1909273069405597E-2</v>
      </c>
      <c r="AY71">
        <f t="shared" si="70"/>
        <v>14.019107396610679</v>
      </c>
      <c r="AZ71">
        <f t="shared" si="244"/>
        <v>3.7213727059924673E-6</v>
      </c>
      <c r="BA71">
        <f t="shared" si="208"/>
        <v>3.8894222924632425E-2</v>
      </c>
      <c r="BB71">
        <f t="shared" si="301"/>
        <v>4472.1039971052942</v>
      </c>
      <c r="BC71">
        <f t="shared" si="209"/>
        <v>2.6304315696087104E-6</v>
      </c>
      <c r="BD71">
        <f t="shared" si="72"/>
        <v>1.1874712697709214E-3</v>
      </c>
      <c r="BE71">
        <f t="shared" si="73"/>
        <v>0.30930864519100848</v>
      </c>
      <c r="BG71">
        <f t="shared" si="74"/>
        <v>8.2929216295232742</v>
      </c>
      <c r="BH71">
        <f t="shared" si="75"/>
        <v>0.29600000000000004</v>
      </c>
      <c r="BI71">
        <f t="shared" si="276"/>
        <v>114981.18900000001</v>
      </c>
      <c r="BJ71">
        <f t="shared" si="277"/>
        <v>5.0970176912767656E-3</v>
      </c>
      <c r="BK71">
        <f t="shared" si="76"/>
        <v>4.1909069964136854E-3</v>
      </c>
      <c r="BL71">
        <f t="shared" si="77"/>
        <v>1.1909273069405597E-2</v>
      </c>
      <c r="BM71">
        <f t="shared" si="78"/>
        <v>14.019107396610679</v>
      </c>
      <c r="BN71">
        <f t="shared" si="245"/>
        <v>3.6008091228265891E-6</v>
      </c>
      <c r="BO71">
        <f t="shared" si="210"/>
        <v>3.7147708069995129E-2</v>
      </c>
      <c r="BP71">
        <f t="shared" si="302"/>
        <v>4271.2876425129352</v>
      </c>
      <c r="BQ71">
        <f t="shared" si="211"/>
        <v>2.5706945131113917E-6</v>
      </c>
      <c r="BR71">
        <f t="shared" si="80"/>
        <v>1.1212626078642893E-3</v>
      </c>
      <c r="BS71">
        <f t="shared" si="81"/>
        <v>0.29928778420378149</v>
      </c>
      <c r="BU71">
        <f t="shared" si="82"/>
        <v>10.190615366256289</v>
      </c>
      <c r="BV71">
        <f t="shared" si="83"/>
        <v>0.29600000000000004</v>
      </c>
      <c r="BW71">
        <f t="shared" si="278"/>
        <v>114981.18900000001</v>
      </c>
      <c r="BX71">
        <f t="shared" si="279"/>
        <v>5.0970176912767656E-3</v>
      </c>
      <c r="BY71">
        <f t="shared" si="84"/>
        <v>4.1909069964136854E-3</v>
      </c>
      <c r="BZ71">
        <f t="shared" si="85"/>
        <v>1.1909273069405597E-2</v>
      </c>
      <c r="CA71">
        <f t="shared" si="86"/>
        <v>14.019107396610679</v>
      </c>
      <c r="CB71">
        <f t="shared" si="246"/>
        <v>3.4865422253983678E-6</v>
      </c>
      <c r="CC71">
        <f t="shared" si="247"/>
        <v>3.5505468271322949E-2</v>
      </c>
      <c r="CD71">
        <f t="shared" si="303"/>
        <v>4082.4609578384875</v>
      </c>
      <c r="CE71">
        <f t="shared" si="248"/>
        <v>2.5132291079864734E-6</v>
      </c>
      <c r="CF71">
        <f t="shared" si="212"/>
        <v>1.0594351288731958E-3</v>
      </c>
      <c r="CG71">
        <f t="shared" si="88"/>
        <v>0.28979028367748655</v>
      </c>
      <c r="CI71">
        <f t="shared" si="89"/>
        <v>12.088309102989303</v>
      </c>
      <c r="CJ71">
        <f t="shared" si="90"/>
        <v>0.29600000000000004</v>
      </c>
      <c r="CK71">
        <f t="shared" si="280"/>
        <v>114981.18900000001</v>
      </c>
      <c r="CL71">
        <f t="shared" si="281"/>
        <v>5.0970176912767656E-3</v>
      </c>
      <c r="CM71">
        <f t="shared" si="91"/>
        <v>4.1909069964136854E-3</v>
      </c>
      <c r="CN71">
        <f t="shared" si="92"/>
        <v>1.1909273069405597E-2</v>
      </c>
      <c r="CO71">
        <f t="shared" si="93"/>
        <v>14.019107396610679</v>
      </c>
      <c r="CP71">
        <f t="shared" si="249"/>
        <v>3.3781560454078534E-6</v>
      </c>
      <c r="CQ71">
        <f t="shared" si="213"/>
        <v>3.3960040249589943E-2</v>
      </c>
      <c r="CR71">
        <f t="shared" si="304"/>
        <v>3904.7658063857089</v>
      </c>
      <c r="CS71">
        <f t="shared" si="214"/>
        <v>2.4579246032004688E-6</v>
      </c>
      <c r="CT71">
        <f t="shared" si="95"/>
        <v>1.0016566088830081E-3</v>
      </c>
      <c r="CU71">
        <f t="shared" si="96"/>
        <v>0.28078156965206513</v>
      </c>
      <c r="CW71">
        <f t="shared" si="97"/>
        <v>13.986002839722318</v>
      </c>
      <c r="CX71">
        <f t="shared" si="98"/>
        <v>0.29600000000000004</v>
      </c>
      <c r="CY71">
        <f t="shared" si="282"/>
        <v>114981.18900000001</v>
      </c>
      <c r="CZ71">
        <f t="shared" si="283"/>
        <v>5.0970176912767656E-3</v>
      </c>
      <c r="DA71">
        <f t="shared" si="99"/>
        <v>4.1909069964136854E-3</v>
      </c>
      <c r="DB71">
        <f t="shared" si="100"/>
        <v>1.1909273069405597E-2</v>
      </c>
      <c r="DC71">
        <f t="shared" si="101"/>
        <v>14.019107396610679</v>
      </c>
      <c r="DD71">
        <f t="shared" si="250"/>
        <v>3.2752664513846455E-6</v>
      </c>
      <c r="DE71">
        <f t="shared" si="215"/>
        <v>3.250456554362556E-2</v>
      </c>
      <c r="DF71">
        <f t="shared" si="305"/>
        <v>3737.4135941344989</v>
      </c>
      <c r="DG71">
        <f t="shared" si="216"/>
        <v>2.4046764016420852E-6</v>
      </c>
      <c r="DH71">
        <f t="shared" si="103"/>
        <v>9.4762277939629453E-4</v>
      </c>
      <c r="DI71">
        <f t="shared" si="104"/>
        <v>0.27222971434331722</v>
      </c>
      <c r="DK71">
        <f t="shared" si="105"/>
        <v>15.88369657645533</v>
      </c>
      <c r="DL71">
        <f t="shared" si="106"/>
        <v>0.29600000000000004</v>
      </c>
      <c r="DM71">
        <f t="shared" si="284"/>
        <v>114981.18900000001</v>
      </c>
      <c r="DN71">
        <f t="shared" si="285"/>
        <v>5.0970176912767656E-3</v>
      </c>
      <c r="DO71">
        <f t="shared" si="107"/>
        <v>4.1909069964136854E-3</v>
      </c>
      <c r="DP71">
        <f t="shared" si="108"/>
        <v>1.1909273069405597E-2</v>
      </c>
      <c r="DQ71">
        <f t="shared" si="109"/>
        <v>14.019107396610679</v>
      </c>
      <c r="DR71">
        <f t="shared" si="251"/>
        <v>3.1775184477285048E-6</v>
      </c>
      <c r="DS71">
        <f t="shared" si="217"/>
        <v>3.113273691775862E-2</v>
      </c>
      <c r="DT71">
        <f t="shared" si="306"/>
        <v>3579.679107628082</v>
      </c>
      <c r="DU71">
        <f t="shared" si="218"/>
        <v>2.3533856961743316E-6</v>
      </c>
      <c r="DV71">
        <f t="shared" si="111"/>
        <v>8.9705478353470608E-4</v>
      </c>
      <c r="DW71">
        <f t="shared" si="112"/>
        <v>0.26410521164776057</v>
      </c>
      <c r="DY71">
        <f t="shared" si="113"/>
        <v>17.781390313188343</v>
      </c>
      <c r="DZ71">
        <f t="shared" si="114"/>
        <v>0.29600000000000004</v>
      </c>
      <c r="EA71">
        <f t="shared" si="286"/>
        <v>114981.18900000001</v>
      </c>
      <c r="EB71">
        <f t="shared" si="287"/>
        <v>5.0970176912767656E-3</v>
      </c>
      <c r="EC71">
        <f t="shared" si="115"/>
        <v>4.1909069964136854E-3</v>
      </c>
      <c r="ED71">
        <f t="shared" si="116"/>
        <v>1.1909273069405597E-2</v>
      </c>
      <c r="EE71">
        <f t="shared" si="117"/>
        <v>14.019107396610679</v>
      </c>
      <c r="EF71">
        <f t="shared" si="252"/>
        <v>3.0845837209196354E-6</v>
      </c>
      <c r="EG71">
        <f t="shared" si="219"/>
        <v>2.9838749841056712E-2</v>
      </c>
      <c r="EH71">
        <f t="shared" si="307"/>
        <v>3430.8949349982622</v>
      </c>
      <c r="EI71">
        <f t="shared" si="220"/>
        <v>2.3039591273964224E-6</v>
      </c>
      <c r="EJ71">
        <f t="shared" si="119"/>
        <v>8.4969687765018163E-4</v>
      </c>
      <c r="EK71">
        <f t="shared" si="120"/>
        <v>0.25638077319144592</v>
      </c>
      <c r="EM71">
        <f t="shared" si="121"/>
        <v>19.679084049921357</v>
      </c>
      <c r="EN71">
        <f t="shared" si="122"/>
        <v>0.29600000000000004</v>
      </c>
      <c r="EO71">
        <f t="shared" si="288"/>
        <v>114981.18900000001</v>
      </c>
      <c r="EP71">
        <f t="shared" si="289"/>
        <v>5.0970176912767656E-3</v>
      </c>
      <c r="EQ71">
        <f t="shared" si="123"/>
        <v>4.1909069964136854E-3</v>
      </c>
      <c r="ER71">
        <f t="shared" si="124"/>
        <v>1.1909273069405597E-2</v>
      </c>
      <c r="ES71">
        <f t="shared" si="125"/>
        <v>14.019107396610679</v>
      </c>
      <c r="ET71">
        <f t="shared" si="253"/>
        <v>2.9961584089659573E-6</v>
      </c>
      <c r="EU71">
        <f t="shared" si="221"/>
        <v>2.8617258534461513E-2</v>
      </c>
      <c r="EV71">
        <f t="shared" si="308"/>
        <v>3290.4464122127824</v>
      </c>
      <c r="EW71">
        <f t="shared" si="222"/>
        <v>2.2563084618867592E-6</v>
      </c>
      <c r="EX71">
        <f t="shared" si="127"/>
        <v>8.0531435363258633E-4</v>
      </c>
      <c r="EY71">
        <f t="shared" si="128"/>
        <v>0.24903114293351933</v>
      </c>
      <c r="FA71">
        <f t="shared" si="129"/>
        <v>21.576777786654372</v>
      </c>
      <c r="FB71">
        <f t="shared" si="130"/>
        <v>0.29600000000000004</v>
      </c>
      <c r="FC71">
        <f t="shared" si="290"/>
        <v>114981.18900000001</v>
      </c>
      <c r="FD71">
        <f t="shared" si="291"/>
        <v>5.0970176912767656E-3</v>
      </c>
      <c r="FE71">
        <f t="shared" si="131"/>
        <v>4.1909069964136854E-3</v>
      </c>
      <c r="FF71">
        <f t="shared" si="132"/>
        <v>1.1909273069405597E-2</v>
      </c>
      <c r="FG71">
        <f t="shared" si="133"/>
        <v>14.019107396610679</v>
      </c>
      <c r="FH71">
        <f t="shared" si="254"/>
        <v>2.9119610725699846E-6</v>
      </c>
      <c r="FI71">
        <f t="shared" si="223"/>
        <v>2.7463336133891698E-2</v>
      </c>
      <c r="FJ71">
        <f t="shared" si="309"/>
        <v>3157.7670425815309</v>
      </c>
      <c r="FK71">
        <f t="shared" si="224"/>
        <v>2.2103502897579014E-6</v>
      </c>
      <c r="FL71">
        <f t="shared" si="135"/>
        <v>7.6369165976500743E-4</v>
      </c>
      <c r="FM71">
        <f t="shared" si="136"/>
        <v>0.2420329285360758</v>
      </c>
      <c r="FO71">
        <f t="shared" si="137"/>
        <v>23.474471523387386</v>
      </c>
      <c r="FP71">
        <f t="shared" si="138"/>
        <v>0.29600000000000004</v>
      </c>
      <c r="FQ71">
        <f t="shared" si="292"/>
        <v>114981.18900000001</v>
      </c>
      <c r="FR71">
        <f t="shared" si="293"/>
        <v>5.0970176912767656E-3</v>
      </c>
      <c r="FS71">
        <f t="shared" si="139"/>
        <v>4.1909069964136854E-3</v>
      </c>
      <c r="FT71">
        <f t="shared" si="140"/>
        <v>1.1909273069405597E-2</v>
      </c>
      <c r="FU71">
        <f t="shared" si="141"/>
        <v>14.019107396610679</v>
      </c>
      <c r="FV71">
        <f t="shared" si="255"/>
        <v>2.8317308486625636E-6</v>
      </c>
      <c r="FW71">
        <f t="shared" si="225"/>
        <v>2.6372438563716894E-2</v>
      </c>
      <c r="FX71">
        <f t="shared" si="310"/>
        <v>3032.334342885621</v>
      </c>
      <c r="FY71">
        <f t="shared" si="226"/>
        <v>2.1660057404122397E-6</v>
      </c>
      <c r="FZ71">
        <f t="shared" si="143"/>
        <v>7.2463070027117772E-4</v>
      </c>
      <c r="GA71">
        <f t="shared" si="144"/>
        <v>0.23536444789176542</v>
      </c>
      <c r="GC71">
        <f t="shared" si="145"/>
        <v>25.372165260120401</v>
      </c>
      <c r="GD71">
        <f t="shared" si="146"/>
        <v>0.29600000000000004</v>
      </c>
      <c r="GE71">
        <f t="shared" si="294"/>
        <v>114981.18900000001</v>
      </c>
      <c r="GF71">
        <f t="shared" si="295"/>
        <v>5.0970176912767656E-3</v>
      </c>
      <c r="GG71">
        <f t="shared" si="147"/>
        <v>4.1909069964136854E-3</v>
      </c>
      <c r="GH71">
        <f t="shared" si="148"/>
        <v>1.1909273069405597E-2</v>
      </c>
      <c r="GI71">
        <f t="shared" si="149"/>
        <v>14.019107396610679</v>
      </c>
      <c r="GJ71">
        <f t="shared" si="256"/>
        <v>2.7552257688906473E-6</v>
      </c>
      <c r="GK71">
        <f t="shared" si="227"/>
        <v>2.534037175647158E-2</v>
      </c>
      <c r="GL71">
        <f t="shared" si="311"/>
        <v>2913.6660742611211</v>
      </c>
      <c r="GM71">
        <f t="shared" si="228"/>
        <v>2.1232002154428253E-6</v>
      </c>
      <c r="GN71">
        <f t="shared" si="151"/>
        <v>6.8794929575040722E-4</v>
      </c>
      <c r="GO71">
        <f t="shared" si="152"/>
        <v>0.22900558936185356</v>
      </c>
      <c r="GQ71">
        <f t="shared" si="153"/>
        <v>27.269858996853415</v>
      </c>
      <c r="GR71">
        <f t="shared" si="154"/>
        <v>0.29600000000000004</v>
      </c>
      <c r="GS71">
        <f t="shared" si="296"/>
        <v>114981.18900000001</v>
      </c>
      <c r="GT71">
        <f t="shared" si="297"/>
        <v>5.0970176912767656E-3</v>
      </c>
      <c r="GU71">
        <f t="shared" si="155"/>
        <v>4.1909069964136854E-3</v>
      </c>
      <c r="GV71">
        <f t="shared" si="156"/>
        <v>1.1909273069405597E-2</v>
      </c>
      <c r="GW71">
        <f t="shared" si="157"/>
        <v>14.019107396610679</v>
      </c>
      <c r="GX71">
        <f t="shared" si="257"/>
        <v>2.682221227385823E-6</v>
      </c>
      <c r="GY71">
        <f t="shared" si="229"/>
        <v>2.4363261891801904E-2</v>
      </c>
      <c r="GZ71">
        <f t="shared" si="312"/>
        <v>2801.3168202377724</v>
      </c>
      <c r="HA71">
        <f t="shared" si="230"/>
        <v>2.0818631376777864E-6</v>
      </c>
      <c r="HB71">
        <f t="shared" si="159"/>
        <v>6.5347978853010232E-4</v>
      </c>
      <c r="HC71">
        <f t="shared" si="160"/>
        <v>0.22293768442202147</v>
      </c>
      <c r="HE71">
        <f t="shared" si="161"/>
        <v>29.16755273358643</v>
      </c>
      <c r="HF71">
        <f t="shared" si="162"/>
        <v>0.29600000000000004</v>
      </c>
      <c r="HG71">
        <f t="shared" si="33"/>
        <v>114981.18900000001</v>
      </c>
      <c r="HH71">
        <f t="shared" si="34"/>
        <v>5.0970176912767656E-3</v>
      </c>
      <c r="HI71">
        <f t="shared" si="263"/>
        <v>4.1909069964136854E-3</v>
      </c>
      <c r="HJ71">
        <f t="shared" si="164"/>
        <v>1.1909273069405597E-2</v>
      </c>
      <c r="HK71">
        <f t="shared" si="165"/>
        <v>14.019107396610679</v>
      </c>
      <c r="HL71">
        <f t="shared" si="258"/>
        <v>2.6125085837001505E-6</v>
      </c>
      <c r="HM71">
        <f t="shared" si="231"/>
        <v>2.3437528360875239E-2</v>
      </c>
      <c r="HN71">
        <f t="shared" si="166"/>
        <v>2694.8748781546565</v>
      </c>
      <c r="HO71">
        <f t="shared" si="232"/>
        <v>2.0419277154187093E-6</v>
      </c>
      <c r="HP71">
        <f t="shared" si="167"/>
        <v>6.2106777860727663E-4</v>
      </c>
      <c r="HQ71">
        <f t="shared" si="168"/>
        <v>0.21714339154284365</v>
      </c>
      <c r="HS71">
        <f t="shared" si="169"/>
        <v>31.065246470319448</v>
      </c>
      <c r="HT71">
        <f t="shared" si="170"/>
        <v>0.29600000000000004</v>
      </c>
      <c r="HU71">
        <f t="shared" si="35"/>
        <v>114981.18900000001</v>
      </c>
      <c r="HV71">
        <f t="shared" si="36"/>
        <v>5.0970176912767656E-3</v>
      </c>
      <c r="HW71">
        <f t="shared" si="264"/>
        <v>4.1909069964136854E-3</v>
      </c>
      <c r="HX71">
        <f t="shared" si="172"/>
        <v>1.1909273069405597E-2</v>
      </c>
      <c r="HY71">
        <f t="shared" si="173"/>
        <v>14.019107396610679</v>
      </c>
      <c r="HZ71">
        <f t="shared" si="259"/>
        <v>2.5458938881952427E-6</v>
      </c>
      <c r="IA71">
        <f t="shared" si="233"/>
        <v>2.2559859192249145E-2</v>
      </c>
      <c r="IB71">
        <f t="shared" si="174"/>
        <v>2593.9594335973866</v>
      </c>
      <c r="IC71">
        <f t="shared" si="234"/>
        <v>2.0033307209733963E-6</v>
      </c>
      <c r="ID71">
        <f t="shared" si="175"/>
        <v>5.9057097731918598E-4</v>
      </c>
      <c r="IE71">
        <f t="shared" si="176"/>
        <v>0.21160659024818818</v>
      </c>
      <c r="IG71">
        <f t="shared" si="177"/>
        <v>32.962940207052462</v>
      </c>
      <c r="IH71">
        <f t="shared" si="178"/>
        <v>0.29600000000000004</v>
      </c>
      <c r="II71">
        <f t="shared" si="37"/>
        <v>114981.18900000001</v>
      </c>
      <c r="IJ71">
        <f t="shared" si="38"/>
        <v>5.0970176912767656E-3</v>
      </c>
      <c r="IK71">
        <f t="shared" si="265"/>
        <v>4.1909069964136854E-3</v>
      </c>
      <c r="IL71">
        <f t="shared" si="180"/>
        <v>1.1909273069405597E-2</v>
      </c>
      <c r="IM71">
        <f t="shared" si="181"/>
        <v>14.019107396610679</v>
      </c>
      <c r="IN71">
        <f t="shared" si="260"/>
        <v>2.4821967184261854E-6</v>
      </c>
      <c r="IO71">
        <f t="shared" si="235"/>
        <v>2.1727188701860183E-2</v>
      </c>
      <c r="IP71">
        <f t="shared" si="182"/>
        <v>2498.2179905672506</v>
      </c>
      <c r="IQ71">
        <f t="shared" si="236"/>
        <v>1.9660122826315395E-6</v>
      </c>
      <c r="IR71">
        <f t="shared" si="183"/>
        <v>5.6185816719760931E-4</v>
      </c>
      <c r="IS71">
        <f t="shared" si="184"/>
        <v>0.20631228439915489</v>
      </c>
      <c r="IU71">
        <f t="shared" si="185"/>
        <v>34.86063394378548</v>
      </c>
      <c r="IV71">
        <f t="shared" si="186"/>
        <v>0.29600000000000004</v>
      </c>
      <c r="IW71">
        <f t="shared" si="39"/>
        <v>114981.18900000001</v>
      </c>
      <c r="IX71">
        <f t="shared" si="40"/>
        <v>5.0970176912767656E-3</v>
      </c>
      <c r="IY71">
        <f t="shared" si="266"/>
        <v>4.1909069964136854E-3</v>
      </c>
      <c r="IZ71">
        <f t="shared" si="188"/>
        <v>1.1909273069405597E-2</v>
      </c>
      <c r="JA71">
        <f t="shared" si="189"/>
        <v>14.019107396610679</v>
      </c>
      <c r="JB71">
        <f t="shared" si="261"/>
        <v>2.4212491161890244E-6</v>
      </c>
      <c r="JC71">
        <f t="shared" si="237"/>
        <v>2.0936677153684271E-2</v>
      </c>
      <c r="JD71">
        <f t="shared" si="190"/>
        <v>2407.3240328397533</v>
      </c>
      <c r="JE71">
        <f t="shared" si="238"/>
        <v>1.9299156892780919E-6</v>
      </c>
      <c r="JF71">
        <f t="shared" si="191"/>
        <v>5.3480825763782254E-4</v>
      </c>
      <c r="JG71">
        <f t="shared" si="192"/>
        <v>0.20124651384484835</v>
      </c>
      <c r="JI71">
        <f t="shared" si="193"/>
        <v>36.758327680518491</v>
      </c>
      <c r="JJ71">
        <f t="shared" si="194"/>
        <v>0.29600000000000004</v>
      </c>
      <c r="JK71">
        <f t="shared" si="41"/>
        <v>114981.18900000001</v>
      </c>
      <c r="JL71">
        <f t="shared" si="42"/>
        <v>5.0970176912767656E-3</v>
      </c>
      <c r="JM71">
        <f t="shared" si="267"/>
        <v>4.1909069964136854E-3</v>
      </c>
      <c r="JN71">
        <f t="shared" si="196"/>
        <v>1.1909273069405597E-2</v>
      </c>
      <c r="JO71">
        <f t="shared" si="197"/>
        <v>14.019107396610679</v>
      </c>
      <c r="JP71">
        <f t="shared" si="262"/>
        <v>2.3628946159125348E-6</v>
      </c>
      <c r="JQ71">
        <f t="shared" si="239"/>
        <v>2.0185692239026096E-2</v>
      </c>
      <c r="JR71">
        <f t="shared" si="198"/>
        <v>2320.9748944312928</v>
      </c>
      <c r="JS71">
        <f t="shared" si="240"/>
        <v>1.8949872068831879E-6</v>
      </c>
      <c r="JT71">
        <f t="shared" si="199"/>
        <v>5.0930942706687828E-4</v>
      </c>
      <c r="JU71">
        <f t="shared" si="200"/>
        <v>0.19639627366539669</v>
      </c>
    </row>
    <row r="72" spans="2:281">
      <c r="B72">
        <v>0.38</v>
      </c>
      <c r="C72">
        <f t="shared" si="43"/>
        <v>0.72112361995854546</v>
      </c>
      <c r="D72">
        <f t="shared" si="44"/>
        <v>0.30399999999999999</v>
      </c>
      <c r="E72">
        <f t="shared" si="268"/>
        <v>114796.76100000001</v>
      </c>
      <c r="F72">
        <f t="shared" si="269"/>
        <v>5.0997457874725691E-3</v>
      </c>
      <c r="G72">
        <f t="shared" si="45"/>
        <v>4.1897858888762128E-3</v>
      </c>
      <c r="H72">
        <f t="shared" si="46"/>
        <v>1.1928406043145549E-2</v>
      </c>
      <c r="I72">
        <f t="shared" si="47"/>
        <v>14.034118413252038</v>
      </c>
      <c r="J72">
        <f t="shared" si="241"/>
        <v>4.1240948132257273E-6</v>
      </c>
      <c r="K72">
        <f t="shared" si="201"/>
        <v>4.5606185807058608E-2</v>
      </c>
      <c r="L72">
        <f t="shared" si="298"/>
        <v>5235.4424122145001</v>
      </c>
      <c r="M72">
        <f t="shared" si="202"/>
        <v>2.8460842661713696E-6</v>
      </c>
      <c r="N72">
        <f t="shared" si="203"/>
        <v>1.3922101993846115E-3</v>
      </c>
      <c r="O72">
        <f t="shared" si="49"/>
        <v>0.34278162390561073</v>
      </c>
      <c r="Q72">
        <f t="shared" si="50"/>
        <v>2.6188173566915598</v>
      </c>
      <c r="R72">
        <f t="shared" si="51"/>
        <v>0.30399999999999999</v>
      </c>
      <c r="S72">
        <f t="shared" si="270"/>
        <v>114796.76100000001</v>
      </c>
      <c r="T72">
        <f t="shared" si="271"/>
        <v>5.0997457874725691E-3</v>
      </c>
      <c r="U72">
        <f t="shared" si="52"/>
        <v>4.1897858888762128E-3</v>
      </c>
      <c r="V72">
        <f t="shared" si="53"/>
        <v>1.1928406043145549E-2</v>
      </c>
      <c r="W72">
        <f t="shared" si="54"/>
        <v>14.034118413252038</v>
      </c>
      <c r="X72">
        <f t="shared" si="242"/>
        <v>3.9818641746092706E-6</v>
      </c>
      <c r="Y72">
        <f t="shared" si="204"/>
        <v>4.345116098638778E-2</v>
      </c>
      <c r="Z72">
        <f t="shared" si="299"/>
        <v>4988.0525429268828</v>
      </c>
      <c r="AA72">
        <f t="shared" si="205"/>
        <v>2.7780276933078451E-6</v>
      </c>
      <c r="AB72">
        <f t="shared" si="56"/>
        <v>1.3114081347153715E-3</v>
      </c>
      <c r="AC72">
        <f t="shared" si="57"/>
        <v>0.33095986628798035</v>
      </c>
      <c r="AE72">
        <f t="shared" si="58"/>
        <v>4.5165110934245742</v>
      </c>
      <c r="AF72">
        <f t="shared" si="59"/>
        <v>0.30399999999999999</v>
      </c>
      <c r="AG72">
        <f t="shared" si="272"/>
        <v>114796.76100000001</v>
      </c>
      <c r="AH72">
        <f t="shared" si="273"/>
        <v>5.0997457874725691E-3</v>
      </c>
      <c r="AI72">
        <f t="shared" si="60"/>
        <v>4.1897858888762128E-3</v>
      </c>
      <c r="AJ72">
        <f t="shared" si="61"/>
        <v>1.1928406043145549E-2</v>
      </c>
      <c r="AK72">
        <f t="shared" si="62"/>
        <v>14.034118413252038</v>
      </c>
      <c r="AL72">
        <f t="shared" si="243"/>
        <v>3.8473947345098083E-6</v>
      </c>
      <c r="AM72">
        <f t="shared" si="206"/>
        <v>4.1430053204585121E-2</v>
      </c>
      <c r="AN72">
        <f t="shared" si="300"/>
        <v>4756.0359159440432</v>
      </c>
      <c r="AO72">
        <f t="shared" si="207"/>
        <v>2.7126491336901696E-6</v>
      </c>
      <c r="AP72">
        <f t="shared" si="64"/>
        <v>1.236143475348585E-3</v>
      </c>
      <c r="AQ72">
        <f t="shared" si="65"/>
        <v>0.31978319476841388</v>
      </c>
      <c r="AS72">
        <f t="shared" si="66"/>
        <v>6.4142048301575887</v>
      </c>
      <c r="AT72">
        <f t="shared" si="67"/>
        <v>0.30399999999999999</v>
      </c>
      <c r="AU72">
        <f t="shared" si="274"/>
        <v>114796.76100000001</v>
      </c>
      <c r="AV72">
        <f t="shared" si="275"/>
        <v>5.0997457874725691E-3</v>
      </c>
      <c r="AW72">
        <f t="shared" si="68"/>
        <v>4.1897858888762128E-3</v>
      </c>
      <c r="AX72">
        <f t="shared" si="69"/>
        <v>1.1928406043145549E-2</v>
      </c>
      <c r="AY72">
        <f t="shared" si="70"/>
        <v>14.034118413252038</v>
      </c>
      <c r="AZ72">
        <f t="shared" si="244"/>
        <v>3.7201563636418098E-6</v>
      </c>
      <c r="BA72">
        <f t="shared" si="208"/>
        <v>3.9532970059682017E-2</v>
      </c>
      <c r="BB72">
        <f t="shared" si="301"/>
        <v>4538.2569155614729</v>
      </c>
      <c r="BC72">
        <f t="shared" si="209"/>
        <v>2.64981527964526E-6</v>
      </c>
      <c r="BD72">
        <f t="shared" si="72"/>
        <v>1.1659839407389472E-3</v>
      </c>
      <c r="BE72">
        <f t="shared" si="73"/>
        <v>0.30920754668938177</v>
      </c>
      <c r="BG72">
        <f t="shared" si="74"/>
        <v>8.3118985668906031</v>
      </c>
      <c r="BH72">
        <f t="shared" si="75"/>
        <v>0.30399999999999999</v>
      </c>
      <c r="BI72">
        <f t="shared" si="276"/>
        <v>114796.76100000001</v>
      </c>
      <c r="BJ72">
        <f t="shared" si="277"/>
        <v>5.0997457874725691E-3</v>
      </c>
      <c r="BK72">
        <f t="shared" si="76"/>
        <v>4.1897858888762128E-3</v>
      </c>
      <c r="BL72">
        <f t="shared" si="77"/>
        <v>1.1928406043145549E-2</v>
      </c>
      <c r="BM72">
        <f t="shared" si="78"/>
        <v>14.034118413252038</v>
      </c>
      <c r="BN72">
        <f t="shared" si="245"/>
        <v>3.5996605988741596E-6</v>
      </c>
      <c r="BO72">
        <f t="shared" si="210"/>
        <v>3.7750841212365535E-2</v>
      </c>
      <c r="BP72">
        <f t="shared" si="302"/>
        <v>4333.6742962048775</v>
      </c>
      <c r="BQ72">
        <f t="shared" si="211"/>
        <v>2.5894003064236526E-6</v>
      </c>
      <c r="BR72">
        <f t="shared" si="80"/>
        <v>1.1005344880953114E-3</v>
      </c>
      <c r="BS72">
        <f t="shared" si="81"/>
        <v>0.2991923225513855</v>
      </c>
      <c r="BU72">
        <f t="shared" si="82"/>
        <v>10.209592303623618</v>
      </c>
      <c r="BV72">
        <f t="shared" si="83"/>
        <v>0.30399999999999999</v>
      </c>
      <c r="BW72">
        <f t="shared" si="278"/>
        <v>114796.76100000001</v>
      </c>
      <c r="BX72">
        <f t="shared" si="279"/>
        <v>5.0997457874725691E-3</v>
      </c>
      <c r="BY72">
        <f t="shared" si="84"/>
        <v>4.1897858888762128E-3</v>
      </c>
      <c r="BZ72">
        <f t="shared" si="85"/>
        <v>1.1928406043145549E-2</v>
      </c>
      <c r="CA72">
        <f t="shared" si="86"/>
        <v>14.034118413252038</v>
      </c>
      <c r="CB72">
        <f t="shared" si="246"/>
        <v>3.4854570321412113E-6</v>
      </c>
      <c r="CC72">
        <f t="shared" si="247"/>
        <v>3.6075344082692397E-2</v>
      </c>
      <c r="CD72">
        <f t="shared" si="303"/>
        <v>4141.3326526536039</v>
      </c>
      <c r="CE72">
        <f t="shared" si="248"/>
        <v>2.53128542963907E-6</v>
      </c>
      <c r="CF72">
        <f t="shared" si="212"/>
        <v>1.0394338607208216E-3</v>
      </c>
      <c r="CG72">
        <f t="shared" si="88"/>
        <v>0.28970008587074686</v>
      </c>
      <c r="CI72">
        <f t="shared" si="89"/>
        <v>12.107286040356632</v>
      </c>
      <c r="CJ72">
        <f t="shared" si="90"/>
        <v>0.30399999999999999</v>
      </c>
      <c r="CK72">
        <f t="shared" si="280"/>
        <v>114796.76100000001</v>
      </c>
      <c r="CL72">
        <f t="shared" si="281"/>
        <v>5.0997457874725691E-3</v>
      </c>
      <c r="CM72">
        <f t="shared" si="91"/>
        <v>4.1897858888762128E-3</v>
      </c>
      <c r="CN72">
        <f t="shared" si="92"/>
        <v>1.1928406043145549E-2</v>
      </c>
      <c r="CO72">
        <f t="shared" si="93"/>
        <v>14.034118413252038</v>
      </c>
      <c r="CP72">
        <f t="shared" si="249"/>
        <v>3.3771300354443154E-6</v>
      </c>
      <c r="CQ72">
        <f t="shared" si="213"/>
        <v>3.4498836686619454E-2</v>
      </c>
      <c r="CR72">
        <f t="shared" si="304"/>
        <v>3960.3547098918857</v>
      </c>
      <c r="CS72">
        <f t="shared" si="214"/>
        <v>2.4753584887997802E-6</v>
      </c>
      <c r="CT72">
        <f t="shared" si="95"/>
        <v>9.8235147405239653E-4</v>
      </c>
      <c r="CU72">
        <f t="shared" si="96"/>
        <v>0.28069629097216742</v>
      </c>
      <c r="CW72">
        <f t="shared" si="97"/>
        <v>14.004979777089646</v>
      </c>
      <c r="CX72">
        <f t="shared" si="98"/>
        <v>0.30399999999999999</v>
      </c>
      <c r="CY72">
        <f t="shared" si="282"/>
        <v>114796.76100000001</v>
      </c>
      <c r="CZ72">
        <f t="shared" si="283"/>
        <v>5.0997457874725691E-3</v>
      </c>
      <c r="DA72">
        <f t="shared" si="99"/>
        <v>4.1897858888762128E-3</v>
      </c>
      <c r="DB72">
        <f t="shared" si="100"/>
        <v>1.1928406043145549E-2</v>
      </c>
      <c r="DC72">
        <f t="shared" si="101"/>
        <v>14.034118413252038</v>
      </c>
      <c r="DD72">
        <f t="shared" si="250"/>
        <v>3.2742957889792723E-6</v>
      </c>
      <c r="DE72">
        <f t="shared" si="215"/>
        <v>3.301429689532711E-2</v>
      </c>
      <c r="DF72">
        <f t="shared" si="305"/>
        <v>3789.9343502759089</v>
      </c>
      <c r="DG72">
        <f t="shared" si="216"/>
        <v>2.4215135554952773E-6</v>
      </c>
      <c r="DH72">
        <f t="shared" si="103"/>
        <v>9.2898460505420975E-4</v>
      </c>
      <c r="DI72">
        <f t="shared" si="104"/>
        <v>0.27214903597614898</v>
      </c>
      <c r="DK72">
        <f t="shared" si="105"/>
        <v>15.902673513822663</v>
      </c>
      <c r="DL72">
        <f t="shared" si="106"/>
        <v>0.30399999999999999</v>
      </c>
      <c r="DM72">
        <f t="shared" si="284"/>
        <v>114796.76100000001</v>
      </c>
      <c r="DN72">
        <f t="shared" si="285"/>
        <v>5.0997457874725691E-3</v>
      </c>
      <c r="DO72">
        <f t="shared" si="107"/>
        <v>4.1897858888762128E-3</v>
      </c>
      <c r="DP72">
        <f t="shared" si="108"/>
        <v>1.1928406043145549E-2</v>
      </c>
      <c r="DQ72">
        <f t="shared" si="109"/>
        <v>14.034118413252038</v>
      </c>
      <c r="DR72">
        <f t="shared" si="251"/>
        <v>3.1765995827825904E-6</v>
      </c>
      <c r="DS72">
        <f t="shared" si="217"/>
        <v>3.1615267474540798E-2</v>
      </c>
      <c r="DT72">
        <f t="shared" si="306"/>
        <v>3629.330304225934</v>
      </c>
      <c r="DU72">
        <f t="shared" si="218"/>
        <v>2.3696505648680175E-6</v>
      </c>
      <c r="DV72">
        <f t="shared" si="111"/>
        <v>8.7905585420515356E-4</v>
      </c>
      <c r="DW72">
        <f t="shared" si="112"/>
        <v>0.26402883852042597</v>
      </c>
      <c r="DY72">
        <f t="shared" si="113"/>
        <v>17.800367250555677</v>
      </c>
      <c r="DZ72">
        <f t="shared" si="114"/>
        <v>0.30399999999999999</v>
      </c>
      <c r="EA72">
        <f t="shared" si="286"/>
        <v>114796.76100000001</v>
      </c>
      <c r="EB72">
        <f t="shared" si="287"/>
        <v>5.0997457874725691E-3</v>
      </c>
      <c r="EC72">
        <f t="shared" si="115"/>
        <v>4.1897858888762128E-3</v>
      </c>
      <c r="ED72">
        <f t="shared" si="116"/>
        <v>1.1928406043145549E-2</v>
      </c>
      <c r="EE72">
        <f t="shared" si="117"/>
        <v>14.034118413252038</v>
      </c>
      <c r="EF72">
        <f t="shared" si="252"/>
        <v>3.0837133652960362E-6</v>
      </c>
      <c r="EG72">
        <f t="shared" si="219"/>
        <v>3.0295806327454454E-2</v>
      </c>
      <c r="EH72">
        <f t="shared" si="307"/>
        <v>3477.8604382750773</v>
      </c>
      <c r="EI72">
        <f t="shared" si="220"/>
        <v>2.3196749690642099E-6</v>
      </c>
      <c r="EJ72">
        <f t="shared" si="119"/>
        <v>8.3231085252551303E-4</v>
      </c>
      <c r="EK72">
        <f t="shared" si="120"/>
        <v>0.25630843200445969</v>
      </c>
      <c r="EM72">
        <f t="shared" si="121"/>
        <v>19.698060987288692</v>
      </c>
      <c r="EN72">
        <f t="shared" si="122"/>
        <v>0.30399999999999999</v>
      </c>
      <c r="EO72">
        <f t="shared" si="288"/>
        <v>114796.76100000001</v>
      </c>
      <c r="EP72">
        <f t="shared" si="289"/>
        <v>5.0997457874725691E-3</v>
      </c>
      <c r="EQ72">
        <f t="shared" si="123"/>
        <v>4.1897858888762128E-3</v>
      </c>
      <c r="ER72">
        <f t="shared" si="124"/>
        <v>1.1928406043145549E-2</v>
      </c>
      <c r="ES72">
        <f t="shared" si="125"/>
        <v>14.034118413252038</v>
      </c>
      <c r="ET72">
        <f t="shared" si="253"/>
        <v>2.9953335149421172E-6</v>
      </c>
      <c r="EU72">
        <f t="shared" si="221"/>
        <v>2.905044142426438E-2</v>
      </c>
      <c r="EV72">
        <f t="shared" si="308"/>
        <v>3334.8965811257781</v>
      </c>
      <c r="EW72">
        <f t="shared" si="222"/>
        <v>2.2714974114199918E-6</v>
      </c>
      <c r="EX72">
        <f t="shared" si="127"/>
        <v>7.8851618895399986E-4</v>
      </c>
      <c r="EY72">
        <f t="shared" si="128"/>
        <v>0.24896258036989077</v>
      </c>
      <c r="FA72">
        <f t="shared" si="129"/>
        <v>21.595754724021706</v>
      </c>
      <c r="FB72">
        <f t="shared" si="130"/>
        <v>0.30399999999999999</v>
      </c>
      <c r="FC72">
        <f t="shared" si="290"/>
        <v>114796.76100000001</v>
      </c>
      <c r="FD72">
        <f t="shared" si="291"/>
        <v>5.0997457874725691E-3</v>
      </c>
      <c r="FE72">
        <f t="shared" si="131"/>
        <v>4.1897858888762128E-3</v>
      </c>
      <c r="FF72">
        <f t="shared" si="132"/>
        <v>1.1928406043145549E-2</v>
      </c>
      <c r="FG72">
        <f t="shared" si="133"/>
        <v>14.034118413252038</v>
      </c>
      <c r="FH72">
        <f t="shared" si="254"/>
        <v>2.9111788132157896E-6</v>
      </c>
      <c r="FI72">
        <f t="shared" si="223"/>
        <v>2.7874129954470094E-2</v>
      </c>
      <c r="FJ72">
        <f t="shared" si="309"/>
        <v>3199.8598344662446</v>
      </c>
      <c r="FK72">
        <f t="shared" si="224"/>
        <v>2.2250334201996101E-6</v>
      </c>
      <c r="FL72">
        <f t="shared" si="135"/>
        <v>7.4745753594884681E-4</v>
      </c>
      <c r="FM72">
        <f t="shared" si="136"/>
        <v>0.24196790963037887</v>
      </c>
      <c r="FO72">
        <f t="shared" si="137"/>
        <v>23.49344846075472</v>
      </c>
      <c r="FP72">
        <f t="shared" si="138"/>
        <v>0.30399999999999999</v>
      </c>
      <c r="FQ72">
        <f t="shared" si="292"/>
        <v>114796.76100000001</v>
      </c>
      <c r="FR72">
        <f t="shared" si="293"/>
        <v>5.0997457874725691E-3</v>
      </c>
      <c r="FS72">
        <f t="shared" si="139"/>
        <v>4.1897858888762128E-3</v>
      </c>
      <c r="FT72">
        <f t="shared" si="140"/>
        <v>1.1928406043145549E-2</v>
      </c>
      <c r="FU72">
        <f t="shared" si="141"/>
        <v>14.034118413252038</v>
      </c>
      <c r="FV72">
        <f t="shared" si="255"/>
        <v>2.8309885999599936E-6</v>
      </c>
      <c r="FW72">
        <f t="shared" si="225"/>
        <v>2.6762221285665688E-2</v>
      </c>
      <c r="FX72">
        <f t="shared" si="310"/>
        <v>3072.2163207596773</v>
      </c>
      <c r="FY72">
        <f t="shared" si="226"/>
        <v>2.1802031207607789E-6</v>
      </c>
      <c r="FZ72">
        <f t="shared" si="143"/>
        <v>7.0893795347841708E-4</v>
      </c>
      <c r="GA72">
        <f t="shared" si="144"/>
        <v>0.23530275454398089</v>
      </c>
      <c r="GC72">
        <f t="shared" si="145"/>
        <v>25.391142197487735</v>
      </c>
      <c r="GD72">
        <f t="shared" si="146"/>
        <v>0.30399999999999999</v>
      </c>
      <c r="GE72">
        <f t="shared" si="294"/>
        <v>114796.76100000001</v>
      </c>
      <c r="GF72">
        <f t="shared" si="295"/>
        <v>5.0997457874725691E-3</v>
      </c>
      <c r="GG72">
        <f t="shared" si="147"/>
        <v>4.1897858888762128E-3</v>
      </c>
      <c r="GH72">
        <f t="shared" si="148"/>
        <v>1.1928406043145549E-2</v>
      </c>
      <c r="GI72">
        <f t="shared" si="149"/>
        <v>14.034118413252038</v>
      </c>
      <c r="GJ72">
        <f t="shared" si="256"/>
        <v>2.7545210934304251E-6</v>
      </c>
      <c r="GK72">
        <f t="shared" si="227"/>
        <v>2.5710423355113483E-2</v>
      </c>
      <c r="GL72">
        <f t="shared" si="311"/>
        <v>2951.473325105781</v>
      </c>
      <c r="GM72">
        <f t="shared" si="228"/>
        <v>2.1369309650787722E-6</v>
      </c>
      <c r="GN72">
        <f t="shared" si="151"/>
        <v>6.7277635361631487E-4</v>
      </c>
      <c r="GO72">
        <f t="shared" si="152"/>
        <v>0.22894701898228642</v>
      </c>
      <c r="GQ72">
        <f t="shared" si="153"/>
        <v>27.288835934220749</v>
      </c>
      <c r="GR72">
        <f t="shared" si="154"/>
        <v>0.30399999999999999</v>
      </c>
      <c r="GS72">
        <f t="shared" si="296"/>
        <v>114796.76100000001</v>
      </c>
      <c r="GT72">
        <f t="shared" si="297"/>
        <v>5.0997457874725691E-3</v>
      </c>
      <c r="GU72">
        <f t="shared" si="155"/>
        <v>4.1897858888762128E-3</v>
      </c>
      <c r="GV72">
        <f t="shared" si="156"/>
        <v>1.1928406043145549E-2</v>
      </c>
      <c r="GW72">
        <f t="shared" si="157"/>
        <v>14.034118413252038</v>
      </c>
      <c r="GX72">
        <f t="shared" si="257"/>
        <v>2.6815518594926181E-6</v>
      </c>
      <c r="GY72">
        <f t="shared" si="229"/>
        <v>2.4714772158502533E-2</v>
      </c>
      <c r="GZ72">
        <f t="shared" si="312"/>
        <v>2837.17579264907</v>
      </c>
      <c r="HA72">
        <f t="shared" si="230"/>
        <v>2.0951454776154467E-6</v>
      </c>
      <c r="HB72">
        <f t="shared" si="159"/>
        <v>6.3880610978940652E-4</v>
      </c>
      <c r="HC72">
        <f t="shared" si="160"/>
        <v>0.22288204869495545</v>
      </c>
      <c r="HE72">
        <f t="shared" si="161"/>
        <v>29.186529670953764</v>
      </c>
      <c r="HF72">
        <f t="shared" si="162"/>
        <v>0.30399999999999999</v>
      </c>
      <c r="HG72">
        <f t="shared" si="33"/>
        <v>114796.76100000001</v>
      </c>
      <c r="HH72">
        <f t="shared" si="34"/>
        <v>5.0997457874725691E-3</v>
      </c>
      <c r="HI72">
        <f t="shared" si="263"/>
        <v>4.1897858888762128E-3</v>
      </c>
      <c r="HJ72">
        <f t="shared" si="164"/>
        <v>1.1928406043145549E-2</v>
      </c>
      <c r="HK72">
        <f t="shared" si="165"/>
        <v>14.034118413252038</v>
      </c>
      <c r="HL72">
        <f t="shared" si="258"/>
        <v>2.6118724158525742E-6</v>
      </c>
      <c r="HM72">
        <f t="shared" si="231"/>
        <v>2.3771604034414383E-2</v>
      </c>
      <c r="HN72">
        <f t="shared" si="166"/>
        <v>2728.9031469253041</v>
      </c>
      <c r="HO72">
        <f t="shared" si="232"/>
        <v>2.054779016571942E-6</v>
      </c>
      <c r="HP72">
        <f t="shared" si="167"/>
        <v>6.0687379636730941E-4</v>
      </c>
      <c r="HQ72">
        <f t="shared" si="168"/>
        <v>0.2170905152978142</v>
      </c>
      <c r="HS72">
        <f t="shared" si="169"/>
        <v>31.084223407686775</v>
      </c>
      <c r="HT72">
        <f t="shared" si="170"/>
        <v>0.30399999999999999</v>
      </c>
      <c r="HU72">
        <f t="shared" si="35"/>
        <v>114796.76100000001</v>
      </c>
      <c r="HV72">
        <f t="shared" si="36"/>
        <v>5.0997457874725691E-3</v>
      </c>
      <c r="HW72">
        <f t="shared" si="264"/>
        <v>4.1897858888762128E-3</v>
      </c>
      <c r="HX72">
        <f t="shared" si="172"/>
        <v>1.1928406043145549E-2</v>
      </c>
      <c r="HY72">
        <f t="shared" si="173"/>
        <v>14.034118413252038</v>
      </c>
      <c r="HZ72">
        <f t="shared" si="259"/>
        <v>2.5452889586200446E-6</v>
      </c>
      <c r="IA72">
        <f t="shared" si="233"/>
        <v>2.2877530473575207E-2</v>
      </c>
      <c r="IB72">
        <f t="shared" si="174"/>
        <v>2626.2663980452303</v>
      </c>
      <c r="IC72">
        <f t="shared" si="234"/>
        <v>2.015767549614448E-6</v>
      </c>
      <c r="ID72">
        <f t="shared" si="175"/>
        <v>5.7683804574951321E-4</v>
      </c>
      <c r="IE72">
        <f t="shared" si="176"/>
        <v>0.21155631042885184</v>
      </c>
      <c r="IG72">
        <f t="shared" si="177"/>
        <v>32.981917144419789</v>
      </c>
      <c r="IH72">
        <f t="shared" si="178"/>
        <v>0.30399999999999999</v>
      </c>
      <c r="II72">
        <f t="shared" si="37"/>
        <v>114796.76100000001</v>
      </c>
      <c r="IJ72">
        <f t="shared" si="38"/>
        <v>5.0997457874725691E-3</v>
      </c>
      <c r="IK72">
        <f t="shared" si="265"/>
        <v>4.1897858888762128E-3</v>
      </c>
      <c r="IL72">
        <f t="shared" si="180"/>
        <v>1.1928406043145549E-2</v>
      </c>
      <c r="IM72">
        <f t="shared" si="181"/>
        <v>14.034118413252038</v>
      </c>
      <c r="IN72">
        <f t="shared" si="260"/>
        <v>2.4816211997578836E-6</v>
      </c>
      <c r="IO72">
        <f t="shared" si="235"/>
        <v>2.2029415209345177E-2</v>
      </c>
      <c r="IP72">
        <f t="shared" si="182"/>
        <v>2528.9055127569636</v>
      </c>
      <c r="IQ72">
        <f t="shared" si="236"/>
        <v>1.9780504432111717E-6</v>
      </c>
      <c r="IR72">
        <f t="shared" si="183"/>
        <v>5.4856851141959974E-4</v>
      </c>
      <c r="IS72">
        <f t="shared" si="184"/>
        <v>0.20626444912071371</v>
      </c>
      <c r="IU72">
        <f t="shared" si="185"/>
        <v>34.879610881152807</v>
      </c>
      <c r="IV72">
        <f t="shared" si="186"/>
        <v>0.30399999999999999</v>
      </c>
      <c r="IW72">
        <f t="shared" si="39"/>
        <v>114796.76100000001</v>
      </c>
      <c r="IX72">
        <f t="shared" si="40"/>
        <v>5.0997457874725691E-3</v>
      </c>
      <c r="IY72">
        <f t="shared" si="266"/>
        <v>4.1897858888762128E-3</v>
      </c>
      <c r="IZ72">
        <f t="shared" si="188"/>
        <v>1.1928406043145549E-2</v>
      </c>
      <c r="JA72">
        <f t="shared" si="189"/>
        <v>14.034118413252038</v>
      </c>
      <c r="JB72">
        <f t="shared" si="261"/>
        <v>2.4207013050968272E-6</v>
      </c>
      <c r="JC72">
        <f t="shared" si="237"/>
        <v>2.1224353370417393E-2</v>
      </c>
      <c r="JD72">
        <f t="shared" si="190"/>
        <v>2436.4870212433502</v>
      </c>
      <c r="JE72">
        <f t="shared" si="238"/>
        <v>1.9415702647653009E-6</v>
      </c>
      <c r="JF72">
        <f t="shared" si="191"/>
        <v>5.2194492661173546E-4</v>
      </c>
      <c r="JG72">
        <f t="shared" si="192"/>
        <v>0.20120098153187274</v>
      </c>
      <c r="JI72">
        <f t="shared" si="193"/>
        <v>36.777304617885818</v>
      </c>
      <c r="JJ72">
        <f t="shared" si="194"/>
        <v>0.30399999999999999</v>
      </c>
      <c r="JK72">
        <f t="shared" si="41"/>
        <v>114796.76100000001</v>
      </c>
      <c r="JL72">
        <f t="shared" si="42"/>
        <v>5.0997457874725691E-3</v>
      </c>
      <c r="JM72">
        <f t="shared" si="267"/>
        <v>4.1897858888762128E-3</v>
      </c>
      <c r="JN72">
        <f t="shared" si="196"/>
        <v>1.1928406043145549E-2</v>
      </c>
      <c r="JO72">
        <f t="shared" si="197"/>
        <v>14.034118413252038</v>
      </c>
      <c r="JP72">
        <f t="shared" si="262"/>
        <v>2.3623729236059498E-6</v>
      </c>
      <c r="JQ72">
        <f t="shared" si="239"/>
        <v>2.0459652498675519E-2</v>
      </c>
      <c r="JR72">
        <f t="shared" si="198"/>
        <v>2348.7018380335066</v>
      </c>
      <c r="JS72">
        <f t="shared" si="240"/>
        <v>1.9062725967735846E-6</v>
      </c>
      <c r="JT72">
        <f t="shared" si="199"/>
        <v>4.9685624928701437E-4</v>
      </c>
      <c r="JU72">
        <f t="shared" si="200"/>
        <v>0.19635291226268189</v>
      </c>
    </row>
    <row r="73" spans="2:281">
      <c r="B73">
        <v>0.39</v>
      </c>
      <c r="C73">
        <f t="shared" si="43"/>
        <v>0.74010055732587565</v>
      </c>
      <c r="D73">
        <f t="shared" si="44"/>
        <v>0.312</v>
      </c>
      <c r="E73">
        <f t="shared" si="268"/>
        <v>114612.33300000001</v>
      </c>
      <c r="F73">
        <f t="shared" si="269"/>
        <v>5.1024797337399595E-3</v>
      </c>
      <c r="G73">
        <f t="shared" si="45"/>
        <v>4.1886632793929337E-3</v>
      </c>
      <c r="H73">
        <f t="shared" si="46"/>
        <v>1.1947600592389435E-2</v>
      </c>
      <c r="I73">
        <f t="shared" si="47"/>
        <v>14.049169677307722</v>
      </c>
      <c r="J73">
        <f t="shared" si="241"/>
        <v>4.1226687541120145E-6</v>
      </c>
      <c r="K73">
        <f t="shared" si="201"/>
        <v>4.6355063105298681E-2</v>
      </c>
      <c r="L73">
        <f t="shared" si="298"/>
        <v>5312.8619288605069</v>
      </c>
      <c r="M73">
        <f t="shared" si="202"/>
        <v>2.8670503885922099E-6</v>
      </c>
      <c r="N73">
        <f t="shared" si="203"/>
        <v>1.3689171780459218E-3</v>
      </c>
      <c r="O73">
        <f t="shared" si="49"/>
        <v>0.34266309441467463</v>
      </c>
      <c r="Q73">
        <f t="shared" si="50"/>
        <v>2.6377942940588901</v>
      </c>
      <c r="R73">
        <f t="shared" si="51"/>
        <v>0.312</v>
      </c>
      <c r="S73">
        <f t="shared" si="270"/>
        <v>114612.33300000001</v>
      </c>
      <c r="T73">
        <f t="shared" si="271"/>
        <v>5.1024797337399595E-3</v>
      </c>
      <c r="U73">
        <f t="shared" si="52"/>
        <v>4.1886632793929337E-3</v>
      </c>
      <c r="V73">
        <f t="shared" si="53"/>
        <v>1.1947600592389435E-2</v>
      </c>
      <c r="W73">
        <f t="shared" si="54"/>
        <v>14.049169677307722</v>
      </c>
      <c r="X73">
        <f t="shared" si="242"/>
        <v>3.9805208821070789E-6</v>
      </c>
      <c r="Y73">
        <f t="shared" si="204"/>
        <v>4.4156574422699199E-2</v>
      </c>
      <c r="Z73">
        <f t="shared" si="299"/>
        <v>5060.8880118736843</v>
      </c>
      <c r="AA73">
        <f t="shared" si="205"/>
        <v>2.7982365478197647E-6</v>
      </c>
      <c r="AB73">
        <f t="shared" si="56"/>
        <v>1.2889659620982695E-3</v>
      </c>
      <c r="AC73">
        <f t="shared" si="57"/>
        <v>0.33084821609414755</v>
      </c>
      <c r="AE73">
        <f t="shared" si="58"/>
        <v>4.535488030791905</v>
      </c>
      <c r="AF73">
        <f t="shared" si="59"/>
        <v>0.312</v>
      </c>
      <c r="AG73">
        <f t="shared" si="272"/>
        <v>114612.33300000001</v>
      </c>
      <c r="AH73">
        <f t="shared" si="273"/>
        <v>5.1024797337399595E-3</v>
      </c>
      <c r="AI73">
        <f t="shared" si="60"/>
        <v>4.1886632793929337E-3</v>
      </c>
      <c r="AJ73">
        <f t="shared" si="61"/>
        <v>1.1947600592389435E-2</v>
      </c>
      <c r="AK73">
        <f t="shared" si="62"/>
        <v>14.049169677307722</v>
      </c>
      <c r="AL73">
        <f t="shared" si="243"/>
        <v>3.846128536582472E-6</v>
      </c>
      <c r="AM73">
        <f t="shared" si="206"/>
        <v>4.209498137884024E-2</v>
      </c>
      <c r="AN73">
        <f t="shared" si="300"/>
        <v>4824.6040234204374</v>
      </c>
      <c r="AO73">
        <f t="shared" si="207"/>
        <v>2.7321333861127835E-6</v>
      </c>
      <c r="AP73">
        <f t="shared" si="64"/>
        <v>1.2145148076951693E-3</v>
      </c>
      <c r="AQ73">
        <f t="shared" si="65"/>
        <v>0.31967795243006453</v>
      </c>
      <c r="AS73">
        <f t="shared" si="66"/>
        <v>6.4331817675249194</v>
      </c>
      <c r="AT73">
        <f t="shared" si="67"/>
        <v>0.312</v>
      </c>
      <c r="AU73">
        <f t="shared" si="274"/>
        <v>114612.33300000001</v>
      </c>
      <c r="AV73">
        <f t="shared" si="275"/>
        <v>5.1024797337399595E-3</v>
      </c>
      <c r="AW73">
        <f t="shared" si="68"/>
        <v>4.1886632793929337E-3</v>
      </c>
      <c r="AX73">
        <f t="shared" si="69"/>
        <v>1.1947600592389435E-2</v>
      </c>
      <c r="AY73">
        <f t="shared" si="70"/>
        <v>14.049169677307722</v>
      </c>
      <c r="AZ73">
        <f t="shared" si="244"/>
        <v>3.7189620310432782E-6</v>
      </c>
      <c r="BA73">
        <f t="shared" si="208"/>
        <v>4.0160159045740218E-2</v>
      </c>
      <c r="BB73">
        <f t="shared" si="301"/>
        <v>4602.8495218833405</v>
      </c>
      <c r="BC73">
        <f t="shared" si="209"/>
        <v>2.6686059467913676E-6</v>
      </c>
      <c r="BD73">
        <f t="shared" si="72"/>
        <v>1.1451333671774102E-3</v>
      </c>
      <c r="BE73">
        <f t="shared" si="73"/>
        <v>0.3091082775682415</v>
      </c>
      <c r="BG73">
        <f t="shared" si="74"/>
        <v>8.3308755042579321</v>
      </c>
      <c r="BH73">
        <f t="shared" si="75"/>
        <v>0.312</v>
      </c>
      <c r="BI73">
        <f t="shared" si="276"/>
        <v>114612.33300000001</v>
      </c>
      <c r="BJ73">
        <f t="shared" si="277"/>
        <v>5.1024797337399595E-3</v>
      </c>
      <c r="BK73">
        <f t="shared" si="76"/>
        <v>4.1886632793929337E-3</v>
      </c>
      <c r="BL73">
        <f t="shared" si="77"/>
        <v>1.1947600592389435E-2</v>
      </c>
      <c r="BM73">
        <f t="shared" si="78"/>
        <v>14.049169677307722</v>
      </c>
      <c r="BN73">
        <f t="shared" si="245"/>
        <v>3.5985333070058794E-6</v>
      </c>
      <c r="BO73">
        <f t="shared" si="210"/>
        <v>3.8342824588459952E-2</v>
      </c>
      <c r="BP73">
        <f t="shared" si="302"/>
        <v>4394.5605798931601</v>
      </c>
      <c r="BQ73">
        <f t="shared" si="211"/>
        <v>2.6075268483321678E-6</v>
      </c>
      <c r="BR73">
        <f t="shared" si="80"/>
        <v>1.0804284184480594E-3</v>
      </c>
      <c r="BS73">
        <f t="shared" si="81"/>
        <v>0.29909862564219092</v>
      </c>
      <c r="BU73">
        <f t="shared" si="82"/>
        <v>10.228569240990947</v>
      </c>
      <c r="BV73">
        <f t="shared" si="83"/>
        <v>0.312</v>
      </c>
      <c r="BW73">
        <f t="shared" si="278"/>
        <v>114612.33300000001</v>
      </c>
      <c r="BX73">
        <f t="shared" si="279"/>
        <v>5.1024797337399595E-3</v>
      </c>
      <c r="BY73">
        <f t="shared" si="84"/>
        <v>4.1886632793929337E-3</v>
      </c>
      <c r="BZ73">
        <f t="shared" si="85"/>
        <v>1.1947600592389435E-2</v>
      </c>
      <c r="CA73">
        <f t="shared" si="86"/>
        <v>14.049169677307722</v>
      </c>
      <c r="CB73">
        <f t="shared" si="246"/>
        <v>3.4843923264445876E-6</v>
      </c>
      <c r="CC73">
        <f t="shared" si="247"/>
        <v>3.6634461105150555E-2</v>
      </c>
      <c r="CD73">
        <f t="shared" si="303"/>
        <v>4198.7610554590638</v>
      </c>
      <c r="CE73">
        <f t="shared" si="248"/>
        <v>2.5487758364098607E-6</v>
      </c>
      <c r="CF73">
        <f t="shared" si="212"/>
        <v>1.0200404202763849E-3</v>
      </c>
      <c r="CG73">
        <f t="shared" si="88"/>
        <v>0.28961159092477717</v>
      </c>
      <c r="CI73">
        <f t="shared" si="89"/>
        <v>12.126262977723961</v>
      </c>
      <c r="CJ73">
        <f t="shared" si="90"/>
        <v>0.312</v>
      </c>
      <c r="CK73">
        <f t="shared" si="280"/>
        <v>114612.33300000001</v>
      </c>
      <c r="CL73">
        <f t="shared" si="281"/>
        <v>5.1024797337399595E-3</v>
      </c>
      <c r="CM73">
        <f t="shared" si="91"/>
        <v>4.1886632793929337E-3</v>
      </c>
      <c r="CN73">
        <f t="shared" si="92"/>
        <v>1.1947600592389435E-2</v>
      </c>
      <c r="CO73">
        <f t="shared" si="93"/>
        <v>14.049169677307722</v>
      </c>
      <c r="CP73">
        <f t="shared" si="249"/>
        <v>3.3761237999828451E-6</v>
      </c>
      <c r="CQ73">
        <f t="shared" si="213"/>
        <v>3.5027248788567597E-2</v>
      </c>
      <c r="CR73">
        <f t="shared" si="304"/>
        <v>4014.5547022291566</v>
      </c>
      <c r="CS73">
        <f t="shared" si="214"/>
        <v>2.4922393623438876E-6</v>
      </c>
      <c r="CT73">
        <f t="shared" si="95"/>
        <v>9.6364040485384563E-4</v>
      </c>
      <c r="CU73">
        <f t="shared" si="96"/>
        <v>0.28061265588589152</v>
      </c>
      <c r="CW73">
        <f t="shared" si="97"/>
        <v>14.023956714456975</v>
      </c>
      <c r="CX73">
        <f t="shared" si="98"/>
        <v>0.312</v>
      </c>
      <c r="CY73">
        <f t="shared" si="282"/>
        <v>114612.33300000001</v>
      </c>
      <c r="CZ73">
        <f t="shared" si="283"/>
        <v>5.1024797337399595E-3</v>
      </c>
      <c r="DA73">
        <f t="shared" si="99"/>
        <v>4.1886632793929337E-3</v>
      </c>
      <c r="DB73">
        <f t="shared" si="100"/>
        <v>1.1947600592389435E-2</v>
      </c>
      <c r="DC73">
        <f t="shared" si="101"/>
        <v>14.049169677307722</v>
      </c>
      <c r="DD73">
        <f t="shared" si="250"/>
        <v>3.2733442178996166E-6</v>
      </c>
      <c r="DE73">
        <f t="shared" si="215"/>
        <v>3.3514002673554484E-2</v>
      </c>
      <c r="DF73">
        <f t="shared" si="305"/>
        <v>3841.1180345843172</v>
      </c>
      <c r="DG73">
        <f t="shared" si="216"/>
        <v>2.4378101864970085E-6</v>
      </c>
      <c r="DH73">
        <f t="shared" si="103"/>
        <v>9.1092717328603815E-4</v>
      </c>
      <c r="DI73">
        <f t="shared" si="104"/>
        <v>0.27206994441916055</v>
      </c>
      <c r="DK73">
        <f t="shared" si="105"/>
        <v>15.921650451189992</v>
      </c>
      <c r="DL73">
        <f t="shared" si="106"/>
        <v>0.312</v>
      </c>
      <c r="DM73">
        <f t="shared" si="284"/>
        <v>114612.33300000001</v>
      </c>
      <c r="DN73">
        <f t="shared" si="285"/>
        <v>5.1024797337399595E-3</v>
      </c>
      <c r="DO73">
        <f t="shared" si="107"/>
        <v>4.1886632793929337E-3</v>
      </c>
      <c r="DP73">
        <f t="shared" si="108"/>
        <v>1.1947600592389435E-2</v>
      </c>
      <c r="DQ73">
        <f t="shared" si="109"/>
        <v>14.049169677307722</v>
      </c>
      <c r="DR73">
        <f t="shared" si="251"/>
        <v>3.1756991543753674E-6</v>
      </c>
      <c r="DS73">
        <f t="shared" si="217"/>
        <v>3.2088116311153415E-2</v>
      </c>
      <c r="DT73">
        <f t="shared" si="306"/>
        <v>3677.6938719966474</v>
      </c>
      <c r="DU73">
        <f t="shared" si="218"/>
        <v>2.3853870052391841E-6</v>
      </c>
      <c r="DV73">
        <f t="shared" si="111"/>
        <v>8.6162476328787623E-4</v>
      </c>
      <c r="DW73">
        <f t="shared" si="112"/>
        <v>0.26395399777945927</v>
      </c>
      <c r="DY73">
        <f t="shared" si="113"/>
        <v>17.819344187923008</v>
      </c>
      <c r="DZ73">
        <f t="shared" si="114"/>
        <v>0.312</v>
      </c>
      <c r="EA73">
        <f t="shared" si="286"/>
        <v>114612.33300000001</v>
      </c>
      <c r="EB73">
        <f t="shared" si="287"/>
        <v>5.1024797337399595E-3</v>
      </c>
      <c r="EC73">
        <f t="shared" si="115"/>
        <v>4.1886632793929337E-3</v>
      </c>
      <c r="ED73">
        <f t="shared" si="116"/>
        <v>1.1947600592389435E-2</v>
      </c>
      <c r="EE73">
        <f t="shared" si="117"/>
        <v>14.049169677307722</v>
      </c>
      <c r="EF73">
        <f t="shared" si="252"/>
        <v>3.0828608184053363E-6</v>
      </c>
      <c r="EG73">
        <f t="shared" si="219"/>
        <v>3.0743510778126291E-2</v>
      </c>
      <c r="EH73">
        <f t="shared" si="307"/>
        <v>3523.5854948916999</v>
      </c>
      <c r="EI73">
        <f t="shared" si="220"/>
        <v>2.3348741001553288E-6</v>
      </c>
      <c r="EJ73">
        <f t="shared" si="119"/>
        <v>8.1548016155270236E-4</v>
      </c>
      <c r="EK73">
        <f t="shared" si="120"/>
        <v>0.25623757102262368</v>
      </c>
      <c r="EM73">
        <f t="shared" si="121"/>
        <v>19.717037924656022</v>
      </c>
      <c r="EN73">
        <f t="shared" si="122"/>
        <v>0.312</v>
      </c>
      <c r="EO73">
        <f t="shared" si="288"/>
        <v>114612.33300000001</v>
      </c>
      <c r="EP73">
        <f t="shared" si="289"/>
        <v>5.1024797337399595E-3</v>
      </c>
      <c r="EQ73">
        <f t="shared" si="123"/>
        <v>4.1886632793929337E-3</v>
      </c>
      <c r="ER73">
        <f t="shared" si="124"/>
        <v>1.1947600592389435E-2</v>
      </c>
      <c r="ES73">
        <f t="shared" si="125"/>
        <v>14.049169677307722</v>
      </c>
      <c r="ET73">
        <f t="shared" si="253"/>
        <v>2.9945258274980338E-6</v>
      </c>
      <c r="EU73">
        <f t="shared" si="221"/>
        <v>2.9474588491613451E-2</v>
      </c>
      <c r="EV73">
        <f t="shared" si="308"/>
        <v>3378.1513512387687</v>
      </c>
      <c r="EW73">
        <f t="shared" si="222"/>
        <v>2.2861810082385477E-6</v>
      </c>
      <c r="EX73">
        <f t="shared" si="127"/>
        <v>7.7226123613023093E-4</v>
      </c>
      <c r="EY73">
        <f t="shared" si="128"/>
        <v>0.24889544796236146</v>
      </c>
      <c r="FA73">
        <f t="shared" si="129"/>
        <v>21.614731661389037</v>
      </c>
      <c r="FB73">
        <f t="shared" si="130"/>
        <v>0.312</v>
      </c>
      <c r="FC73">
        <f t="shared" si="290"/>
        <v>114612.33300000001</v>
      </c>
      <c r="FD73">
        <f t="shared" si="291"/>
        <v>5.1024797337399595E-3</v>
      </c>
      <c r="FE73">
        <f t="shared" si="131"/>
        <v>4.1886632793929337E-3</v>
      </c>
      <c r="FF73">
        <f t="shared" si="132"/>
        <v>1.1947600592389435E-2</v>
      </c>
      <c r="FG73">
        <f t="shared" si="133"/>
        <v>14.049169677307722</v>
      </c>
      <c r="FH73">
        <f t="shared" si="254"/>
        <v>2.9104131826869194E-6</v>
      </c>
      <c r="FI73">
        <f t="shared" si="223"/>
        <v>2.8276191353185598E-2</v>
      </c>
      <c r="FJ73">
        <f t="shared" si="309"/>
        <v>3240.8002593430288</v>
      </c>
      <c r="FK73">
        <f t="shared" si="224"/>
        <v>2.2392222118714901E-6</v>
      </c>
      <c r="FL73">
        <f t="shared" si="135"/>
        <v>7.3175486670919382E-4</v>
      </c>
      <c r="FM73">
        <f t="shared" si="136"/>
        <v>0.24190427285967317</v>
      </c>
      <c r="FO73">
        <f t="shared" si="137"/>
        <v>23.512425398122051</v>
      </c>
      <c r="FP73">
        <f t="shared" si="138"/>
        <v>0.312</v>
      </c>
      <c r="FQ73">
        <f t="shared" si="292"/>
        <v>114612.33300000001</v>
      </c>
      <c r="FR73">
        <f t="shared" si="293"/>
        <v>5.1024797337399595E-3</v>
      </c>
      <c r="FS73">
        <f t="shared" si="139"/>
        <v>4.1886632793929337E-3</v>
      </c>
      <c r="FT73">
        <f t="shared" si="140"/>
        <v>1.1947600592389435E-2</v>
      </c>
      <c r="FU73">
        <f t="shared" si="141"/>
        <v>14.049169677307722</v>
      </c>
      <c r="FV73">
        <f t="shared" si="255"/>
        <v>2.8302624255431838E-6</v>
      </c>
      <c r="FW73">
        <f t="shared" si="225"/>
        <v>2.7143562795342496E-2</v>
      </c>
      <c r="FX73">
        <f t="shared" si="310"/>
        <v>3110.9870579062053</v>
      </c>
      <c r="FY73">
        <f t="shared" si="226"/>
        <v>2.1939168474576177E-6</v>
      </c>
      <c r="FZ73">
        <f t="shared" si="143"/>
        <v>6.9376525299092101E-4</v>
      </c>
      <c r="GA73">
        <f t="shared" si="144"/>
        <v>0.23524239723962539</v>
      </c>
      <c r="GC73">
        <f t="shared" si="145"/>
        <v>25.410119134855066</v>
      </c>
      <c r="GD73">
        <f t="shared" si="146"/>
        <v>0.312</v>
      </c>
      <c r="GE73">
        <f t="shared" si="294"/>
        <v>114612.33300000001</v>
      </c>
      <c r="GF73">
        <f t="shared" si="295"/>
        <v>5.1024797337399595E-3</v>
      </c>
      <c r="GG73">
        <f t="shared" si="147"/>
        <v>4.1886632793929337E-3</v>
      </c>
      <c r="GH73">
        <f t="shared" si="148"/>
        <v>1.1947600592389435E-2</v>
      </c>
      <c r="GI73">
        <f t="shared" si="149"/>
        <v>14.049169677307722</v>
      </c>
      <c r="GJ73">
        <f t="shared" si="256"/>
        <v>2.7538319598132535E-6</v>
      </c>
      <c r="GK73">
        <f t="shared" si="227"/>
        <v>2.6072313347184156E-2</v>
      </c>
      <c r="GL73">
        <f t="shared" si="311"/>
        <v>2988.2086594278153</v>
      </c>
      <c r="GM73">
        <f t="shared" si="228"/>
        <v>2.1501884316213176E-6</v>
      </c>
      <c r="GN73">
        <f t="shared" si="151"/>
        <v>6.5811238338816353E-4</v>
      </c>
      <c r="GO73">
        <f t="shared" si="152"/>
        <v>0.22888974039120641</v>
      </c>
      <c r="GQ73">
        <f t="shared" si="153"/>
        <v>27.30781287158808</v>
      </c>
      <c r="GR73">
        <f t="shared" si="154"/>
        <v>0.312</v>
      </c>
      <c r="GS73">
        <f t="shared" si="296"/>
        <v>114612.33300000001</v>
      </c>
      <c r="GT73">
        <f t="shared" si="297"/>
        <v>5.1024797337399595E-3</v>
      </c>
      <c r="GU73">
        <f t="shared" si="155"/>
        <v>4.1886632793929337E-3</v>
      </c>
      <c r="GV73">
        <f t="shared" si="156"/>
        <v>1.1947600592389435E-2</v>
      </c>
      <c r="GW73">
        <f t="shared" si="157"/>
        <v>14.049169677307722</v>
      </c>
      <c r="GX73">
        <f t="shared" si="257"/>
        <v>2.6808975220404409E-6</v>
      </c>
      <c r="GY73">
        <f t="shared" si="229"/>
        <v>2.5058389375076449E-2</v>
      </c>
      <c r="GZ73">
        <f t="shared" si="312"/>
        <v>2872.0004674999241</v>
      </c>
      <c r="HA73">
        <f t="shared" si="230"/>
        <v>2.1079646039509965E-6</v>
      </c>
      <c r="HB73">
        <f t="shared" si="159"/>
        <v>6.2463064811570481E-4</v>
      </c>
      <c r="HC73">
        <f t="shared" si="160"/>
        <v>0.2228276622502694</v>
      </c>
      <c r="HE73">
        <f t="shared" si="161"/>
        <v>29.205506608321095</v>
      </c>
      <c r="HF73">
        <f t="shared" si="162"/>
        <v>0.312</v>
      </c>
      <c r="HG73">
        <f t="shared" si="33"/>
        <v>114612.33300000001</v>
      </c>
      <c r="HH73">
        <f t="shared" si="34"/>
        <v>5.1024797337399595E-3</v>
      </c>
      <c r="HI73">
        <f t="shared" si="263"/>
        <v>4.1886632793929337E-3</v>
      </c>
      <c r="HJ73">
        <f t="shared" si="164"/>
        <v>1.1947600592389435E-2</v>
      </c>
      <c r="HK73">
        <f t="shared" si="165"/>
        <v>14.049169677307722</v>
      </c>
      <c r="HL73">
        <f t="shared" si="258"/>
        <v>2.6112507870866267E-6</v>
      </c>
      <c r="HM73">
        <f t="shared" si="231"/>
        <v>2.4098044689135307E-2</v>
      </c>
      <c r="HN73">
        <f t="shared" si="166"/>
        <v>2761.9331225600577</v>
      </c>
      <c r="HO73">
        <f t="shared" si="232"/>
        <v>2.0671768853124923E-6</v>
      </c>
      <c r="HP73">
        <f t="shared" si="167"/>
        <v>5.9316758237822607E-4</v>
      </c>
      <c r="HQ73">
        <f t="shared" si="168"/>
        <v>0.21703884749493671</v>
      </c>
      <c r="HS73">
        <f t="shared" si="169"/>
        <v>31.103200345054109</v>
      </c>
      <c r="HT73">
        <f t="shared" si="170"/>
        <v>0.312</v>
      </c>
      <c r="HU73">
        <f t="shared" si="35"/>
        <v>114612.33300000001</v>
      </c>
      <c r="HV73">
        <f t="shared" si="36"/>
        <v>5.1024797337399595E-3</v>
      </c>
      <c r="HW73">
        <f t="shared" si="264"/>
        <v>4.1886632793929337E-3</v>
      </c>
      <c r="HX73">
        <f t="shared" si="172"/>
        <v>1.1947600592389435E-2</v>
      </c>
      <c r="HY73">
        <f t="shared" si="173"/>
        <v>14.049169677307722</v>
      </c>
      <c r="HZ73">
        <f t="shared" si="259"/>
        <v>2.544698095866244E-6</v>
      </c>
      <c r="IA73">
        <f t="shared" si="233"/>
        <v>2.3187814737699989E-2</v>
      </c>
      <c r="IB73">
        <f t="shared" si="174"/>
        <v>2657.6095442595793</v>
      </c>
      <c r="IC73">
        <f t="shared" si="234"/>
        <v>2.0277604508113625E-6</v>
      </c>
      <c r="ID73">
        <f t="shared" si="175"/>
        <v>5.6358272682741463E-4</v>
      </c>
      <c r="IE73">
        <f t="shared" si="176"/>
        <v>0.21150719979890134</v>
      </c>
      <c r="IG73">
        <f t="shared" si="177"/>
        <v>33.000894081787123</v>
      </c>
      <c r="IH73">
        <f t="shared" si="178"/>
        <v>0.312</v>
      </c>
      <c r="II73">
        <f t="shared" si="37"/>
        <v>114612.33300000001</v>
      </c>
      <c r="IJ73">
        <f t="shared" si="38"/>
        <v>5.1024797337399595E-3</v>
      </c>
      <c r="IK73">
        <f t="shared" si="265"/>
        <v>4.1886632793929337E-3</v>
      </c>
      <c r="IL73">
        <f t="shared" si="180"/>
        <v>1.1947600592389435E-2</v>
      </c>
      <c r="IM73">
        <f t="shared" si="181"/>
        <v>14.049169677307722</v>
      </c>
      <c r="IN73">
        <f t="shared" si="260"/>
        <v>2.4810592938577893E-6</v>
      </c>
      <c r="IO73">
        <f t="shared" si="235"/>
        <v>2.2324493140043547E-2</v>
      </c>
      <c r="IP73">
        <f t="shared" si="182"/>
        <v>2558.6622418228872</v>
      </c>
      <c r="IQ73">
        <f t="shared" si="236"/>
        <v>1.9896539165318921E-6</v>
      </c>
      <c r="IR73">
        <f t="shared" si="183"/>
        <v>5.3574659377260316E-4</v>
      </c>
      <c r="IS73">
        <f t="shared" si="184"/>
        <v>0.20621774529220357</v>
      </c>
      <c r="IU73">
        <f t="shared" si="185"/>
        <v>34.898587818520134</v>
      </c>
      <c r="IV73">
        <f t="shared" si="186"/>
        <v>0.312</v>
      </c>
      <c r="IW73">
        <f t="shared" si="39"/>
        <v>114612.33300000001</v>
      </c>
      <c r="IX73">
        <f t="shared" si="40"/>
        <v>5.1024797337399595E-3</v>
      </c>
      <c r="IY73">
        <f t="shared" si="266"/>
        <v>4.1886632793929337E-3</v>
      </c>
      <c r="IZ73">
        <f t="shared" si="188"/>
        <v>1.1947600592389435E-2</v>
      </c>
      <c r="JA73">
        <f t="shared" si="189"/>
        <v>14.049169677307722</v>
      </c>
      <c r="JB73">
        <f t="shared" si="261"/>
        <v>2.4201666700828188E-6</v>
      </c>
      <c r="JC73">
        <f t="shared" si="237"/>
        <v>2.1505110332723676E-2</v>
      </c>
      <c r="JD73">
        <f t="shared" si="190"/>
        <v>2464.750866655867</v>
      </c>
      <c r="JE73">
        <f t="shared" si="238"/>
        <v>1.9527991392279388E-6</v>
      </c>
      <c r="JF73">
        <f t="shared" si="191"/>
        <v>5.0953972880389618E-4</v>
      </c>
      <c r="JG73">
        <f t="shared" si="192"/>
        <v>0.20115654437254485</v>
      </c>
      <c r="JI73">
        <f t="shared" si="193"/>
        <v>36.796281555253152</v>
      </c>
      <c r="JJ73">
        <f t="shared" si="194"/>
        <v>0.312</v>
      </c>
      <c r="JK73">
        <f t="shared" si="41"/>
        <v>114612.33300000001</v>
      </c>
      <c r="JL73">
        <f t="shared" si="42"/>
        <v>5.1024797337399595E-3</v>
      </c>
      <c r="JM73">
        <f t="shared" si="267"/>
        <v>4.1886632793929337E-3</v>
      </c>
      <c r="JN73">
        <f t="shared" si="196"/>
        <v>1.1947600592389435E-2</v>
      </c>
      <c r="JO73">
        <f t="shared" si="197"/>
        <v>14.049169677307722</v>
      </c>
      <c r="JP73">
        <f t="shared" si="262"/>
        <v>2.3618639872522194E-6</v>
      </c>
      <c r="JQ73">
        <f t="shared" si="239"/>
        <v>2.0726914127518856E-2</v>
      </c>
      <c r="JR73">
        <f t="shared" si="198"/>
        <v>2375.5599840455957</v>
      </c>
      <c r="JS73">
        <f t="shared" si="240"/>
        <v>1.9171410281860105E-6</v>
      </c>
      <c r="JT73">
        <f t="shared" si="199"/>
        <v>4.8485185853833738E-4</v>
      </c>
      <c r="JU73">
        <f t="shared" si="200"/>
        <v>0.19631061109413533</v>
      </c>
    </row>
    <row r="74" spans="2:281">
      <c r="B74">
        <v>0.4</v>
      </c>
      <c r="C74">
        <f t="shared" si="43"/>
        <v>0.75907749469320585</v>
      </c>
      <c r="D74">
        <f t="shared" si="44"/>
        <v>0.32000000000000006</v>
      </c>
      <c r="E74">
        <f t="shared" si="268"/>
        <v>114427.905</v>
      </c>
      <c r="F74">
        <f t="shared" si="269"/>
        <v>5.1052195520676479E-3</v>
      </c>
      <c r="G74">
        <f t="shared" si="45"/>
        <v>4.1875391635299792E-3</v>
      </c>
      <c r="H74">
        <f t="shared" si="46"/>
        <v>1.1966857014868318E-2</v>
      </c>
      <c r="I74">
        <f t="shared" si="47"/>
        <v>14.064261361713614</v>
      </c>
      <c r="J74">
        <f t="shared" si="241"/>
        <v>4.1212665543446715E-6</v>
      </c>
      <c r="K74">
        <f t="shared" si="201"/>
        <v>4.7091410963016285E-2</v>
      </c>
      <c r="L74">
        <f t="shared" si="298"/>
        <v>5388.5714999919855</v>
      </c>
      <c r="M74">
        <f t="shared" si="202"/>
        <v>2.8874062080025349E-6</v>
      </c>
      <c r="N74">
        <f t="shared" si="203"/>
        <v>1.3462794734656618E-3</v>
      </c>
      <c r="O74">
        <f t="shared" si="49"/>
        <v>0.34254654803660678</v>
      </c>
      <c r="Q74">
        <f t="shared" si="50"/>
        <v>2.65677123142622</v>
      </c>
      <c r="R74">
        <f t="shared" si="51"/>
        <v>0.32000000000000006</v>
      </c>
      <c r="S74">
        <f t="shared" si="270"/>
        <v>114427.905</v>
      </c>
      <c r="T74">
        <f t="shared" si="271"/>
        <v>5.1052195520676479E-3</v>
      </c>
      <c r="U74">
        <f t="shared" si="52"/>
        <v>4.1875391635299792E-3</v>
      </c>
      <c r="V74">
        <f t="shared" si="53"/>
        <v>1.1966857014868318E-2</v>
      </c>
      <c r="W74">
        <f t="shared" si="54"/>
        <v>14.064261361713614</v>
      </c>
      <c r="X74">
        <f t="shared" si="242"/>
        <v>3.9792005774157846E-6</v>
      </c>
      <c r="Y74">
        <f t="shared" si="204"/>
        <v>4.4849916094557532E-2</v>
      </c>
      <c r="Z74">
        <f t="shared" si="299"/>
        <v>5132.0819381259998</v>
      </c>
      <c r="AA74">
        <f t="shared" si="205"/>
        <v>2.8178498754930838E-6</v>
      </c>
      <c r="AB74">
        <f t="shared" si="56"/>
        <v>1.2671633512889692E-3</v>
      </c>
      <c r="AC74">
        <f t="shared" si="57"/>
        <v>0.33073847657393074</v>
      </c>
      <c r="AE74">
        <f t="shared" si="58"/>
        <v>4.5544649681592349</v>
      </c>
      <c r="AF74">
        <f t="shared" si="59"/>
        <v>0.32000000000000006</v>
      </c>
      <c r="AG74">
        <f t="shared" si="272"/>
        <v>114427.905</v>
      </c>
      <c r="AH74">
        <f t="shared" si="273"/>
        <v>5.1052195520676479E-3</v>
      </c>
      <c r="AI74">
        <f t="shared" si="60"/>
        <v>4.1875391635299792E-3</v>
      </c>
      <c r="AJ74">
        <f t="shared" si="61"/>
        <v>1.1966857014868318E-2</v>
      </c>
      <c r="AK74">
        <f t="shared" si="62"/>
        <v>14.064261361713614</v>
      </c>
      <c r="AL74">
        <f t="shared" si="243"/>
        <v>3.8448844931822601E-6</v>
      </c>
      <c r="AM74">
        <f t="shared" si="206"/>
        <v>4.2748275377304933E-2</v>
      </c>
      <c r="AN74">
        <f t="shared" si="300"/>
        <v>4891.5955937880881</v>
      </c>
      <c r="AO74">
        <f t="shared" si="207"/>
        <v>2.751036379738683E-6</v>
      </c>
      <c r="AP74">
        <f t="shared" si="64"/>
        <v>1.193510486485707E-3</v>
      </c>
      <c r="AQ74">
        <f t="shared" si="65"/>
        <v>0.31957455150543834</v>
      </c>
      <c r="AS74">
        <f t="shared" si="66"/>
        <v>6.4521587048922493</v>
      </c>
      <c r="AT74">
        <f t="shared" si="67"/>
        <v>0.32000000000000006</v>
      </c>
      <c r="AU74">
        <f t="shared" si="274"/>
        <v>114427.905</v>
      </c>
      <c r="AV74">
        <f t="shared" si="275"/>
        <v>5.1052195520676479E-3</v>
      </c>
      <c r="AW74">
        <f t="shared" si="68"/>
        <v>4.1875391635299792E-3</v>
      </c>
      <c r="AX74">
        <f t="shared" si="69"/>
        <v>1.1966857014868318E-2</v>
      </c>
      <c r="AY74">
        <f t="shared" si="70"/>
        <v>14.064261361713614</v>
      </c>
      <c r="AZ74">
        <f t="shared" si="244"/>
        <v>3.717789055959917E-6</v>
      </c>
      <c r="BA74">
        <f t="shared" si="208"/>
        <v>4.077613239697369E-2</v>
      </c>
      <c r="BB74">
        <f t="shared" si="301"/>
        <v>4665.9274041883273</v>
      </c>
      <c r="BC74">
        <f t="shared" si="209"/>
        <v>2.6868291394600661E-6</v>
      </c>
      <c r="BD74">
        <f t="shared" si="72"/>
        <v>1.1248924383252324E-3</v>
      </c>
      <c r="BE74">
        <f t="shared" si="73"/>
        <v>0.30901078361572959</v>
      </c>
      <c r="BG74">
        <f t="shared" si="74"/>
        <v>8.3498524416252646</v>
      </c>
      <c r="BH74">
        <f t="shared" si="75"/>
        <v>0.32000000000000006</v>
      </c>
      <c r="BI74">
        <f t="shared" si="276"/>
        <v>114427.905</v>
      </c>
      <c r="BJ74">
        <f t="shared" si="277"/>
        <v>5.1052195520676479E-3</v>
      </c>
      <c r="BK74">
        <f t="shared" si="76"/>
        <v>4.1875391635299792E-3</v>
      </c>
      <c r="BL74">
        <f t="shared" si="77"/>
        <v>1.1966857014868318E-2</v>
      </c>
      <c r="BM74">
        <f t="shared" si="78"/>
        <v>14.064261361713614</v>
      </c>
      <c r="BN74">
        <f t="shared" si="245"/>
        <v>3.5974266100476738E-6</v>
      </c>
      <c r="BO74">
        <f t="shared" si="210"/>
        <v>3.8923992802359635E-2</v>
      </c>
      <c r="BP74">
        <f t="shared" si="302"/>
        <v>4453.9909506090917</v>
      </c>
      <c r="BQ74">
        <f t="shared" si="211"/>
        <v>2.6250992393758869E-6</v>
      </c>
      <c r="BR74">
        <f t="shared" si="80"/>
        <v>1.060917780934412E-3</v>
      </c>
      <c r="BS74">
        <f t="shared" si="81"/>
        <v>0.29900664051631831</v>
      </c>
      <c r="BU74">
        <f t="shared" si="82"/>
        <v>10.247546178358279</v>
      </c>
      <c r="BV74">
        <f t="shared" si="83"/>
        <v>0.32000000000000006</v>
      </c>
      <c r="BW74">
        <f t="shared" si="278"/>
        <v>114427.905</v>
      </c>
      <c r="BX74">
        <f t="shared" si="279"/>
        <v>5.1052195520676479E-3</v>
      </c>
      <c r="BY74">
        <f t="shared" si="84"/>
        <v>4.1875391635299792E-3</v>
      </c>
      <c r="BZ74">
        <f t="shared" si="85"/>
        <v>1.1966857014868318E-2</v>
      </c>
      <c r="CA74">
        <f t="shared" si="86"/>
        <v>14.064261361713614</v>
      </c>
      <c r="CB74">
        <f t="shared" si="246"/>
        <v>3.4833474857026269E-6</v>
      </c>
      <c r="CC74">
        <f t="shared" si="247"/>
        <v>3.7183146292466371E-2</v>
      </c>
      <c r="CD74">
        <f t="shared" si="303"/>
        <v>4254.7895315554442</v>
      </c>
      <c r="CE74">
        <f t="shared" si="248"/>
        <v>2.5657249769305079E-6</v>
      </c>
      <c r="CF74">
        <f t="shared" si="212"/>
        <v>1.0012286654744402E-3</v>
      </c>
      <c r="CG74">
        <f t="shared" si="88"/>
        <v>0.28952474709056086</v>
      </c>
      <c r="CI74">
        <f t="shared" si="89"/>
        <v>12.145239915091294</v>
      </c>
      <c r="CJ74">
        <f t="shared" si="90"/>
        <v>0.32000000000000006</v>
      </c>
      <c r="CK74">
        <f t="shared" si="280"/>
        <v>114427.905</v>
      </c>
      <c r="CL74">
        <f t="shared" si="281"/>
        <v>5.1052195520676479E-3</v>
      </c>
      <c r="CM74">
        <f t="shared" si="91"/>
        <v>4.1875391635299792E-3</v>
      </c>
      <c r="CN74">
        <f t="shared" si="92"/>
        <v>1.1966857014868318E-2</v>
      </c>
      <c r="CO74">
        <f t="shared" si="93"/>
        <v>14.064261361713614</v>
      </c>
      <c r="CP74">
        <f t="shared" si="249"/>
        <v>3.375136730514247E-6</v>
      </c>
      <c r="CQ74">
        <f t="shared" si="213"/>
        <v>3.5545596106509231E-2</v>
      </c>
      <c r="CR74">
        <f t="shared" si="304"/>
        <v>4067.4080944440079</v>
      </c>
      <c r="CS74">
        <f t="shared" si="214"/>
        <v>2.5085914357354621E-6</v>
      </c>
      <c r="CT74">
        <f t="shared" si="95"/>
        <v>9.4549771912796335E-4</v>
      </c>
      <c r="CU74">
        <f t="shared" si="96"/>
        <v>0.28053061381589139</v>
      </c>
      <c r="CW74">
        <f t="shared" si="97"/>
        <v>14.042933651824308</v>
      </c>
      <c r="CX74">
        <f t="shared" si="98"/>
        <v>0.32000000000000006</v>
      </c>
      <c r="CY74">
        <f t="shared" si="282"/>
        <v>114427.905</v>
      </c>
      <c r="CZ74">
        <f t="shared" si="283"/>
        <v>5.1052195520676479E-3</v>
      </c>
      <c r="DA74">
        <f t="shared" si="99"/>
        <v>4.1875391635299792E-3</v>
      </c>
      <c r="DB74">
        <f t="shared" si="100"/>
        <v>1.1966857014868318E-2</v>
      </c>
      <c r="DC74">
        <f t="shared" si="101"/>
        <v>14.064261361713614</v>
      </c>
      <c r="DD74">
        <f t="shared" si="250"/>
        <v>3.2724111432834652E-6</v>
      </c>
      <c r="DE74">
        <f t="shared" si="215"/>
        <v>3.4003995262838441E-2</v>
      </c>
      <c r="DF74">
        <f t="shared" si="305"/>
        <v>3891.0059395565272</v>
      </c>
      <c r="DG74">
        <f t="shared" si="216"/>
        <v>2.4535900842543586E-6</v>
      </c>
      <c r="DH74">
        <f t="shared" si="103"/>
        <v>8.9342524660941452E-4</v>
      </c>
      <c r="DI74">
        <f t="shared" si="104"/>
        <v>0.27199239022929955</v>
      </c>
      <c r="DK74">
        <f t="shared" si="105"/>
        <v>15.940627388557322</v>
      </c>
      <c r="DL74">
        <f t="shared" si="106"/>
        <v>0.32000000000000006</v>
      </c>
      <c r="DM74">
        <f t="shared" si="284"/>
        <v>114427.905</v>
      </c>
      <c r="DN74">
        <f t="shared" si="285"/>
        <v>5.1052195520676479E-3</v>
      </c>
      <c r="DO74">
        <f t="shared" si="107"/>
        <v>4.1875391635299792E-3</v>
      </c>
      <c r="DP74">
        <f t="shared" si="108"/>
        <v>1.1966857014868318E-2</v>
      </c>
      <c r="DQ74">
        <f t="shared" si="109"/>
        <v>14.064261361713614</v>
      </c>
      <c r="DR74">
        <f t="shared" si="251"/>
        <v>3.174816580862524E-6</v>
      </c>
      <c r="DS74">
        <f t="shared" si="217"/>
        <v>3.2551588870909837E-2</v>
      </c>
      <c r="DT74">
        <f t="shared" si="306"/>
        <v>3724.8101189195281</v>
      </c>
      <c r="DU74">
        <f t="shared" si="218"/>
        <v>2.4006183983288571E-6</v>
      </c>
      <c r="DV74">
        <f t="shared" si="111"/>
        <v>8.447367034927646E-4</v>
      </c>
      <c r="DW74">
        <f t="shared" si="112"/>
        <v>0.26388064108043813</v>
      </c>
      <c r="DY74">
        <f t="shared" si="113"/>
        <v>17.838321125290335</v>
      </c>
      <c r="DZ74">
        <f t="shared" si="114"/>
        <v>0.32000000000000006</v>
      </c>
      <c r="EA74">
        <f t="shared" si="286"/>
        <v>114427.905</v>
      </c>
      <c r="EB74">
        <f t="shared" si="287"/>
        <v>5.1052195520676479E-3</v>
      </c>
      <c r="EC74">
        <f t="shared" si="115"/>
        <v>4.1875391635299792E-3</v>
      </c>
      <c r="ED74">
        <f t="shared" si="116"/>
        <v>1.1966857014868318E-2</v>
      </c>
      <c r="EE74">
        <f t="shared" si="117"/>
        <v>14.064261361713614</v>
      </c>
      <c r="EF74">
        <f t="shared" si="252"/>
        <v>3.0820255114115015E-6</v>
      </c>
      <c r="EG74">
        <f t="shared" si="219"/>
        <v>3.1182161910277031E-2</v>
      </c>
      <c r="EH74">
        <f t="shared" si="307"/>
        <v>3568.1094607637988</v>
      </c>
      <c r="EI74">
        <f t="shared" si="220"/>
        <v>2.3495795062090527E-6</v>
      </c>
      <c r="EJ74">
        <f t="shared" si="119"/>
        <v>7.9918041385256672E-4</v>
      </c>
      <c r="EK74">
        <f t="shared" si="120"/>
        <v>0.25616814296609886</v>
      </c>
      <c r="EM74">
        <f t="shared" si="121"/>
        <v>19.73601486202335</v>
      </c>
      <c r="EN74">
        <f t="shared" si="122"/>
        <v>0.32000000000000006</v>
      </c>
      <c r="EO74">
        <f t="shared" si="288"/>
        <v>114427.905</v>
      </c>
      <c r="EP74">
        <f t="shared" si="289"/>
        <v>5.1052195520676479E-3</v>
      </c>
      <c r="EQ74">
        <f t="shared" si="123"/>
        <v>4.1875391635299792E-3</v>
      </c>
      <c r="ER74">
        <f t="shared" si="124"/>
        <v>1.1966857014868318E-2</v>
      </c>
      <c r="ES74">
        <f t="shared" si="125"/>
        <v>14.064261361713614</v>
      </c>
      <c r="ET74">
        <f t="shared" si="253"/>
        <v>2.9937347902147004E-6</v>
      </c>
      <c r="EU74">
        <f t="shared" si="221"/>
        <v>2.9889991933065244E-2</v>
      </c>
      <c r="EV74">
        <f t="shared" si="308"/>
        <v>3420.2491573675561</v>
      </c>
      <c r="EW74">
        <f t="shared" si="222"/>
        <v>2.3003818548154035E-6</v>
      </c>
      <c r="EX74">
        <f t="shared" si="127"/>
        <v>7.5652550757669072E-4</v>
      </c>
      <c r="EY74">
        <f t="shared" si="128"/>
        <v>0.24882969946315592</v>
      </c>
      <c r="FA74">
        <f t="shared" si="129"/>
        <v>21.633708598756364</v>
      </c>
      <c r="FB74">
        <f t="shared" si="130"/>
        <v>0.32000000000000006</v>
      </c>
      <c r="FC74">
        <f t="shared" si="290"/>
        <v>114427.905</v>
      </c>
      <c r="FD74">
        <f t="shared" si="291"/>
        <v>5.1052195520676479E-3</v>
      </c>
      <c r="FE74">
        <f t="shared" si="131"/>
        <v>4.1875391635299792E-3</v>
      </c>
      <c r="FF74">
        <f t="shared" si="132"/>
        <v>1.1966857014868318E-2</v>
      </c>
      <c r="FG74">
        <f t="shared" si="133"/>
        <v>14.064261361713614</v>
      </c>
      <c r="FH74">
        <f t="shared" si="254"/>
        <v>2.9096636366075019E-6</v>
      </c>
      <c r="FI74">
        <f t="shared" si="223"/>
        <v>2.8669806202291963E-2</v>
      </c>
      <c r="FJ74">
        <f t="shared" si="309"/>
        <v>3280.6258604842756</v>
      </c>
      <c r="FK74">
        <f t="shared" si="224"/>
        <v>2.2529388960210451E-6</v>
      </c>
      <c r="FL74">
        <f t="shared" si="135"/>
        <v>7.1656005526856185E-4</v>
      </c>
      <c r="FM74">
        <f t="shared" si="136"/>
        <v>0.24184197297717025</v>
      </c>
      <c r="FO74">
        <f t="shared" si="137"/>
        <v>23.531402335489378</v>
      </c>
      <c r="FP74">
        <f t="shared" si="138"/>
        <v>0.32000000000000006</v>
      </c>
      <c r="FQ74">
        <f t="shared" si="292"/>
        <v>114427.905</v>
      </c>
      <c r="FR74">
        <f t="shared" si="293"/>
        <v>5.1052195520676479E-3</v>
      </c>
      <c r="FS74">
        <f t="shared" si="139"/>
        <v>4.1875391635299792E-3</v>
      </c>
      <c r="FT74">
        <f t="shared" si="140"/>
        <v>1.1966857014868318E-2</v>
      </c>
      <c r="FU74">
        <f t="shared" si="141"/>
        <v>14.064261361713614</v>
      </c>
      <c r="FV74">
        <f t="shared" si="255"/>
        <v>2.8295517927219029E-6</v>
      </c>
      <c r="FW74">
        <f t="shared" si="225"/>
        <v>2.7516742828431071E-2</v>
      </c>
      <c r="FX74">
        <f t="shared" si="310"/>
        <v>3148.6832342811417</v>
      </c>
      <c r="FY74">
        <f t="shared" si="226"/>
        <v>2.2071687918032352E-6</v>
      </c>
      <c r="FZ74">
        <f t="shared" si="143"/>
        <v>6.7908938094556536E-4</v>
      </c>
      <c r="GA74">
        <f t="shared" si="144"/>
        <v>0.23518333170318376</v>
      </c>
      <c r="GC74">
        <f t="shared" si="145"/>
        <v>25.429096072222393</v>
      </c>
      <c r="GD74">
        <f t="shared" si="146"/>
        <v>0.32000000000000006</v>
      </c>
      <c r="GE74">
        <f t="shared" si="294"/>
        <v>114427.905</v>
      </c>
      <c r="GF74">
        <f t="shared" si="295"/>
        <v>5.1052195520676479E-3</v>
      </c>
      <c r="GG74">
        <f t="shared" si="147"/>
        <v>4.1875391635299792E-3</v>
      </c>
      <c r="GH74">
        <f t="shared" si="148"/>
        <v>1.1966857014868318E-2</v>
      </c>
      <c r="GI74">
        <f t="shared" si="149"/>
        <v>14.064261361713614</v>
      </c>
      <c r="GJ74">
        <f t="shared" si="256"/>
        <v>2.7531578466925536E-6</v>
      </c>
      <c r="GK74">
        <f t="shared" si="227"/>
        <v>2.6426315511388836E-2</v>
      </c>
      <c r="GL74">
        <f t="shared" si="311"/>
        <v>3023.9079208372282</v>
      </c>
      <c r="GM74">
        <f t="shared" si="228"/>
        <v>2.1629941371703427E-6</v>
      </c>
      <c r="GN74">
        <f t="shared" si="151"/>
        <v>6.4393453478712428E-4</v>
      </c>
      <c r="GO74">
        <f t="shared" si="152"/>
        <v>0.22883371025594654</v>
      </c>
      <c r="GQ74">
        <f t="shared" si="153"/>
        <v>27.326789808955407</v>
      </c>
      <c r="GR74">
        <f t="shared" si="154"/>
        <v>0.32000000000000006</v>
      </c>
      <c r="GS74">
        <f t="shared" si="296"/>
        <v>114427.905</v>
      </c>
      <c r="GT74">
        <f t="shared" si="297"/>
        <v>5.1052195520676479E-3</v>
      </c>
      <c r="GU74">
        <f t="shared" si="155"/>
        <v>4.1875391635299792E-3</v>
      </c>
      <c r="GV74">
        <f t="shared" si="156"/>
        <v>1.1966857014868318E-2</v>
      </c>
      <c r="GW74">
        <f t="shared" si="157"/>
        <v>14.064261361713614</v>
      </c>
      <c r="GX74">
        <f t="shared" si="257"/>
        <v>2.6802577046990341E-6</v>
      </c>
      <c r="GY74">
        <f t="shared" si="229"/>
        <v>2.5394381535143604E-2</v>
      </c>
      <c r="GZ74">
        <f t="shared" si="312"/>
        <v>2905.8258778371664</v>
      </c>
      <c r="HA74">
        <f t="shared" si="230"/>
        <v>2.1203416998267309E-6</v>
      </c>
      <c r="HB74">
        <f t="shared" si="159"/>
        <v>6.1093091001682902E-4</v>
      </c>
      <c r="HC74">
        <f t="shared" si="160"/>
        <v>0.22277448267093794</v>
      </c>
      <c r="HE74">
        <f t="shared" si="161"/>
        <v>29.224483545688422</v>
      </c>
      <c r="HF74">
        <f t="shared" si="162"/>
        <v>0.32000000000000006</v>
      </c>
      <c r="HG74">
        <f t="shared" si="33"/>
        <v>114427.905</v>
      </c>
      <c r="HH74">
        <f t="shared" si="34"/>
        <v>5.1052195520676479E-3</v>
      </c>
      <c r="HI74">
        <f t="shared" si="263"/>
        <v>4.1875391635299792E-3</v>
      </c>
      <c r="HJ74">
        <f t="shared" si="164"/>
        <v>1.1966857014868318E-2</v>
      </c>
      <c r="HK74">
        <f t="shared" si="165"/>
        <v>14.064261361713614</v>
      </c>
      <c r="HL74">
        <f t="shared" si="258"/>
        <v>2.6106431977749097E-6</v>
      </c>
      <c r="HM74">
        <f t="shared" si="231"/>
        <v>2.4417112698183998E-2</v>
      </c>
      <c r="HN74">
        <f t="shared" si="166"/>
        <v>2793.9990522020921</v>
      </c>
      <c r="HO74">
        <f t="shared" si="232"/>
        <v>2.0791421755916109E-6</v>
      </c>
      <c r="HP74">
        <f t="shared" si="167"/>
        <v>5.7992698964083426E-4</v>
      </c>
      <c r="HQ74">
        <f t="shared" si="168"/>
        <v>0.21698834660677327</v>
      </c>
      <c r="HS74">
        <f t="shared" si="169"/>
        <v>31.122177282421433</v>
      </c>
      <c r="HT74">
        <f t="shared" si="170"/>
        <v>0.32000000000000006</v>
      </c>
      <c r="HU74">
        <f t="shared" si="35"/>
        <v>114427.905</v>
      </c>
      <c r="HV74">
        <f t="shared" si="36"/>
        <v>5.1052195520676479E-3</v>
      </c>
      <c r="HW74">
        <f t="shared" si="264"/>
        <v>4.1875391635299792E-3</v>
      </c>
      <c r="HX74">
        <f t="shared" si="172"/>
        <v>1.1966857014868318E-2</v>
      </c>
      <c r="HY74">
        <f t="shared" si="173"/>
        <v>14.064261361713614</v>
      </c>
      <c r="HZ74">
        <f t="shared" si="259"/>
        <v>2.5441208107089609E-6</v>
      </c>
      <c r="IA74">
        <f t="shared" si="233"/>
        <v>2.3490968895015958E-2</v>
      </c>
      <c r="IB74">
        <f t="shared" si="174"/>
        <v>2688.0223570768412</v>
      </c>
      <c r="IC74">
        <f t="shared" si="234"/>
        <v>2.0393299586397904E-6</v>
      </c>
      <c r="ID74">
        <f t="shared" si="175"/>
        <v>5.5078321023011663E-4</v>
      </c>
      <c r="IE74">
        <f t="shared" si="176"/>
        <v>0.21145921769552303</v>
      </c>
      <c r="IG74">
        <f t="shared" si="177"/>
        <v>33.019871019154451</v>
      </c>
      <c r="IH74">
        <f t="shared" si="178"/>
        <v>0.32000000000000006</v>
      </c>
      <c r="II74">
        <f t="shared" si="37"/>
        <v>114427.905</v>
      </c>
      <c r="IJ74">
        <f t="shared" si="38"/>
        <v>5.1052195520676479E-3</v>
      </c>
      <c r="IK74">
        <f t="shared" si="265"/>
        <v>4.1875391635299792E-3</v>
      </c>
      <c r="IL74">
        <f t="shared" si="180"/>
        <v>1.1966857014868318E-2</v>
      </c>
      <c r="IM74">
        <f t="shared" si="181"/>
        <v>14.064261361713614</v>
      </c>
      <c r="IN74">
        <f t="shared" si="260"/>
        <v>2.4805105216156182E-6</v>
      </c>
      <c r="IO74">
        <f t="shared" si="235"/>
        <v>2.2612674092792655E-2</v>
      </c>
      <c r="IP74">
        <f t="shared" si="182"/>
        <v>2587.520922886039</v>
      </c>
      <c r="IQ74">
        <f t="shared" si="236"/>
        <v>2.0008429256820722E-6</v>
      </c>
      <c r="IR74">
        <f t="shared" si="183"/>
        <v>5.2337093124547971E-4</v>
      </c>
      <c r="IS74">
        <f t="shared" si="184"/>
        <v>0.20617213309150378</v>
      </c>
      <c r="IU74">
        <f t="shared" si="185"/>
        <v>34.917564755887462</v>
      </c>
      <c r="IV74">
        <f t="shared" si="186"/>
        <v>0.32000000000000006</v>
      </c>
      <c r="IW74">
        <f t="shared" si="39"/>
        <v>114427.905</v>
      </c>
      <c r="IX74">
        <f t="shared" si="40"/>
        <v>5.1052195520676479E-3</v>
      </c>
      <c r="IY74">
        <f t="shared" si="266"/>
        <v>4.1875391635299792E-3</v>
      </c>
      <c r="IZ74">
        <f t="shared" si="188"/>
        <v>1.1966857014868318E-2</v>
      </c>
      <c r="JA74">
        <f t="shared" si="189"/>
        <v>14.064261361713614</v>
      </c>
      <c r="JB74">
        <f t="shared" si="261"/>
        <v>2.4196447418751528E-6</v>
      </c>
      <c r="JC74">
        <f t="shared" si="237"/>
        <v>2.1779194472906851E-2</v>
      </c>
      <c r="JD74">
        <f t="shared" si="190"/>
        <v>2492.14759612231</v>
      </c>
      <c r="JE74">
        <f t="shared" si="238"/>
        <v>1.9636222332508139E-6</v>
      </c>
      <c r="JF74">
        <f t="shared" si="191"/>
        <v>4.975714995779821E-4</v>
      </c>
      <c r="JG74">
        <f t="shared" si="192"/>
        <v>0.20111316336248364</v>
      </c>
      <c r="JI74">
        <f t="shared" si="193"/>
        <v>36.81525849262048</v>
      </c>
      <c r="JJ74">
        <f t="shared" si="194"/>
        <v>0.32000000000000006</v>
      </c>
      <c r="JK74">
        <f t="shared" si="41"/>
        <v>114427.905</v>
      </c>
      <c r="JL74">
        <f t="shared" si="42"/>
        <v>5.1052195520676479E-3</v>
      </c>
      <c r="JM74">
        <f t="shared" si="267"/>
        <v>4.1875391635299792E-3</v>
      </c>
      <c r="JN74">
        <f t="shared" si="196"/>
        <v>1.1966857014868318E-2</v>
      </c>
      <c r="JO74">
        <f t="shared" si="197"/>
        <v>14.064261361713614</v>
      </c>
      <c r="JP74">
        <f t="shared" si="262"/>
        <v>2.3613673471529193E-6</v>
      </c>
      <c r="JQ74">
        <f t="shared" si="239"/>
        <v>2.0987718530495723E-2</v>
      </c>
      <c r="JR74">
        <f t="shared" si="198"/>
        <v>2401.5806621743041</v>
      </c>
      <c r="JS74">
        <f t="shared" si="240"/>
        <v>1.9276121273020744E-6</v>
      </c>
      <c r="JT74">
        <f t="shared" si="199"/>
        <v>4.7327540002801332E-4</v>
      </c>
      <c r="JU74">
        <f t="shared" si="200"/>
        <v>0.19626933195108828</v>
      </c>
    </row>
    <row r="75" spans="2:281">
      <c r="B75">
        <v>0.41</v>
      </c>
      <c r="C75">
        <f t="shared" si="43"/>
        <v>0.77805443206053593</v>
      </c>
      <c r="D75">
        <f t="shared" si="44"/>
        <v>0.32800000000000001</v>
      </c>
      <c r="E75">
        <f t="shared" si="268"/>
        <v>114243.47700000001</v>
      </c>
      <c r="F75">
        <f t="shared" si="269"/>
        <v>5.1079652645626104E-3</v>
      </c>
      <c r="G75">
        <f t="shared" si="45"/>
        <v>4.186413536833221E-3</v>
      </c>
      <c r="H75">
        <f t="shared" si="46"/>
        <v>1.1986175610235806E-2</v>
      </c>
      <c r="I75">
        <f t="shared" si="47"/>
        <v>14.079393640428957</v>
      </c>
      <c r="J75">
        <f t="shared" si="241"/>
        <v>4.1198875426741722E-6</v>
      </c>
      <c r="K75">
        <f t="shared" si="201"/>
        <v>4.7815581878594027E-2</v>
      </c>
      <c r="L75">
        <f t="shared" si="298"/>
        <v>5462.6183285887737</v>
      </c>
      <c r="M75">
        <f t="shared" si="202"/>
        <v>2.9071771049807378E-6</v>
      </c>
      <c r="N75">
        <f t="shared" si="203"/>
        <v>1.3242701802373869E-3</v>
      </c>
      <c r="O75">
        <f t="shared" si="49"/>
        <v>0.34243192897928476</v>
      </c>
      <c r="Q75">
        <f t="shared" si="50"/>
        <v>2.6757481687935503</v>
      </c>
      <c r="R75">
        <f t="shared" si="51"/>
        <v>0.32800000000000001</v>
      </c>
      <c r="S75">
        <f t="shared" si="270"/>
        <v>114243.47700000001</v>
      </c>
      <c r="T75">
        <f t="shared" si="271"/>
        <v>5.1079652645626104E-3</v>
      </c>
      <c r="U75">
        <f t="shared" si="52"/>
        <v>4.186413536833221E-3</v>
      </c>
      <c r="V75">
        <f t="shared" si="53"/>
        <v>1.1986175610235806E-2</v>
      </c>
      <c r="W75">
        <f t="shared" si="54"/>
        <v>14.079393640428957</v>
      </c>
      <c r="X75">
        <f t="shared" si="242"/>
        <v>3.9779026054238634E-6</v>
      </c>
      <c r="Y75">
        <f t="shared" si="204"/>
        <v>4.5531530025673381E-2</v>
      </c>
      <c r="Z75">
        <f t="shared" si="299"/>
        <v>5201.6803032628268</v>
      </c>
      <c r="AA75">
        <f t="shared" si="205"/>
        <v>2.8368925669754561E-6</v>
      </c>
      <c r="AB75">
        <f t="shared" si="56"/>
        <v>1.245973912900973E-3</v>
      </c>
      <c r="AC75">
        <f t="shared" si="57"/>
        <v>0.33063059327654681</v>
      </c>
      <c r="AE75">
        <f t="shared" si="58"/>
        <v>4.5734419055265647</v>
      </c>
      <c r="AF75">
        <f t="shared" si="59"/>
        <v>0.32800000000000001</v>
      </c>
      <c r="AG75">
        <f t="shared" si="272"/>
        <v>114243.47700000001</v>
      </c>
      <c r="AH75">
        <f t="shared" si="273"/>
        <v>5.1079652645626104E-3</v>
      </c>
      <c r="AI75">
        <f t="shared" si="60"/>
        <v>4.186413536833221E-3</v>
      </c>
      <c r="AJ75">
        <f t="shared" si="61"/>
        <v>1.1986175610235806E-2</v>
      </c>
      <c r="AK75">
        <f t="shared" si="62"/>
        <v>14.079393640428957</v>
      </c>
      <c r="AL75">
        <f t="shared" si="243"/>
        <v>3.8436619647829446E-6</v>
      </c>
      <c r="AM75">
        <f t="shared" si="206"/>
        <v>4.3390271039264364E-2</v>
      </c>
      <c r="AN75">
        <f t="shared" si="300"/>
        <v>4957.0554314979654</v>
      </c>
      <c r="AO75">
        <f t="shared" si="207"/>
        <v>2.7693825327436274E-6</v>
      </c>
      <c r="AP75">
        <f t="shared" si="64"/>
        <v>1.1731046199271334E-3</v>
      </c>
      <c r="AQ75">
        <f t="shared" si="65"/>
        <v>0.31947293883915234</v>
      </c>
      <c r="AS75">
        <f t="shared" si="66"/>
        <v>6.4711356422595792</v>
      </c>
      <c r="AT75">
        <f t="shared" si="67"/>
        <v>0.32800000000000001</v>
      </c>
      <c r="AU75">
        <f t="shared" si="274"/>
        <v>114243.47700000001</v>
      </c>
      <c r="AV75">
        <f t="shared" si="275"/>
        <v>5.1079652645626104E-3</v>
      </c>
      <c r="AW75">
        <f t="shared" si="68"/>
        <v>4.186413536833221E-3</v>
      </c>
      <c r="AX75">
        <f t="shared" si="69"/>
        <v>1.1986175610235806E-2</v>
      </c>
      <c r="AY75">
        <f t="shared" si="70"/>
        <v>14.079393640428957</v>
      </c>
      <c r="AZ75">
        <f t="shared" si="244"/>
        <v>3.7166368139246776E-6</v>
      </c>
      <c r="BA75">
        <f t="shared" si="208"/>
        <v>4.1381218044526075E-2</v>
      </c>
      <c r="BB75">
        <f t="shared" si="301"/>
        <v>4727.5342319018</v>
      </c>
      <c r="BC75">
        <f t="shared" si="209"/>
        <v>2.7045088199350435E-6</v>
      </c>
      <c r="BD75">
        <f t="shared" si="72"/>
        <v>1.1052357424854496E-3</v>
      </c>
      <c r="BE75">
        <f t="shared" si="73"/>
        <v>0.30891501292813406</v>
      </c>
      <c r="BG75">
        <f t="shared" si="74"/>
        <v>8.3688293789925936</v>
      </c>
      <c r="BH75">
        <f t="shared" si="75"/>
        <v>0.32800000000000001</v>
      </c>
      <c r="BI75">
        <f t="shared" si="276"/>
        <v>114243.47700000001</v>
      </c>
      <c r="BJ75">
        <f t="shared" si="277"/>
        <v>5.1079652645626104E-3</v>
      </c>
      <c r="BK75">
        <f t="shared" si="76"/>
        <v>4.186413536833221E-3</v>
      </c>
      <c r="BL75">
        <f t="shared" si="77"/>
        <v>1.1986175610235806E-2</v>
      </c>
      <c r="BM75">
        <f t="shared" si="78"/>
        <v>14.079393640428957</v>
      </c>
      <c r="BN75">
        <f t="shared" si="245"/>
        <v>3.5963398980906218E-6</v>
      </c>
      <c r="BO75">
        <f t="shared" si="210"/>
        <v>3.9494666140187609E-2</v>
      </c>
      <c r="BP75">
        <f t="shared" si="302"/>
        <v>4512.0079828092021</v>
      </c>
      <c r="BQ75">
        <f t="shared" si="211"/>
        <v>2.6421410016963314E-6</v>
      </c>
      <c r="BR75">
        <f t="shared" si="80"/>
        <v>1.0419776273335062E-3</v>
      </c>
      <c r="BS75">
        <f t="shared" si="81"/>
        <v>0.29891631648008099</v>
      </c>
      <c r="BU75">
        <f t="shared" si="82"/>
        <v>10.266523115725608</v>
      </c>
      <c r="BV75">
        <f t="shared" si="83"/>
        <v>0.32800000000000001</v>
      </c>
      <c r="BW75">
        <f t="shared" si="278"/>
        <v>114243.47700000001</v>
      </c>
      <c r="BX75">
        <f t="shared" si="279"/>
        <v>5.1079652645626104E-3</v>
      </c>
      <c r="BY75">
        <f t="shared" si="84"/>
        <v>4.186413536833221E-3</v>
      </c>
      <c r="BZ75">
        <f t="shared" si="85"/>
        <v>1.1986175610235806E-2</v>
      </c>
      <c r="CA75">
        <f t="shared" si="86"/>
        <v>14.079393640428957</v>
      </c>
      <c r="CB75">
        <f t="shared" si="246"/>
        <v>3.4823219140871188E-6</v>
      </c>
      <c r="CC75">
        <f t="shared" si="247"/>
        <v>3.7721712536451936E-2</v>
      </c>
      <c r="CD75">
        <f t="shared" si="303"/>
        <v>4309.4595985587594</v>
      </c>
      <c r="CE75">
        <f t="shared" si="248"/>
        <v>2.5821559481666113E-6</v>
      </c>
      <c r="CF75">
        <f t="shared" si="212"/>
        <v>9.8297409577871391E-4</v>
      </c>
      <c r="CG75">
        <f t="shared" si="88"/>
        <v>0.28943950484475511</v>
      </c>
      <c r="CI75">
        <f t="shared" si="89"/>
        <v>12.164216852458622</v>
      </c>
      <c r="CJ75">
        <f t="shared" si="90"/>
        <v>0.32800000000000001</v>
      </c>
      <c r="CK75">
        <f t="shared" si="280"/>
        <v>114243.47700000001</v>
      </c>
      <c r="CL75">
        <f t="shared" si="281"/>
        <v>5.1079652645626104E-3</v>
      </c>
      <c r="CM75">
        <f t="shared" si="91"/>
        <v>4.186413536833221E-3</v>
      </c>
      <c r="CN75">
        <f t="shared" si="92"/>
        <v>1.1986175610235806E-2</v>
      </c>
      <c r="CO75">
        <f t="shared" si="93"/>
        <v>14.079393640428957</v>
      </c>
      <c r="CP75">
        <f t="shared" si="249"/>
        <v>3.3741682448358968E-6</v>
      </c>
      <c r="CQ75">
        <f t="shared" si="213"/>
        <v>3.6054184376948302E-2</v>
      </c>
      <c r="CR75">
        <f t="shared" si="304"/>
        <v>4118.9553836216528</v>
      </c>
      <c r="CS75">
        <f t="shared" si="214"/>
        <v>2.5244373949902389E-6</v>
      </c>
      <c r="CT75">
        <f t="shared" si="95"/>
        <v>9.2789934901412905E-4</v>
      </c>
      <c r="CU75">
        <f t="shared" si="96"/>
        <v>0.28045011637133954</v>
      </c>
      <c r="CW75">
        <f t="shared" si="97"/>
        <v>14.061910589191637</v>
      </c>
      <c r="CX75">
        <f t="shared" si="98"/>
        <v>0.32800000000000001</v>
      </c>
      <c r="CY75">
        <f t="shared" si="282"/>
        <v>114243.47700000001</v>
      </c>
      <c r="CZ75">
        <f t="shared" si="283"/>
        <v>5.1079652645626104E-3</v>
      </c>
      <c r="DA75">
        <f t="shared" si="99"/>
        <v>4.186413536833221E-3</v>
      </c>
      <c r="DB75">
        <f t="shared" si="100"/>
        <v>1.1986175610235806E-2</v>
      </c>
      <c r="DC75">
        <f t="shared" si="101"/>
        <v>14.079393640428957</v>
      </c>
      <c r="DD75">
        <f t="shared" si="250"/>
        <v>3.2714959961196881E-6</v>
      </c>
      <c r="DE75">
        <f t="shared" si="215"/>
        <v>3.4484573472332976E-2</v>
      </c>
      <c r="DF75">
        <f t="shared" si="305"/>
        <v>3939.637576341283</v>
      </c>
      <c r="DG75">
        <f t="shared" si="216"/>
        <v>2.4688755373600232E-6</v>
      </c>
      <c r="DH75">
        <f t="shared" si="103"/>
        <v>8.764551755697567E-4</v>
      </c>
      <c r="DI75">
        <f t="shared" si="104"/>
        <v>0.27191632611217353</v>
      </c>
      <c r="DK75">
        <f t="shared" si="105"/>
        <v>15.959604325924651</v>
      </c>
      <c r="DL75">
        <f t="shared" si="106"/>
        <v>0.32800000000000001</v>
      </c>
      <c r="DM75">
        <f t="shared" si="284"/>
        <v>114243.47700000001</v>
      </c>
      <c r="DN75">
        <f t="shared" si="285"/>
        <v>5.1079652645626104E-3</v>
      </c>
      <c r="DO75">
        <f t="shared" si="107"/>
        <v>4.186413536833221E-3</v>
      </c>
      <c r="DP75">
        <f t="shared" si="108"/>
        <v>1.1986175610235806E-2</v>
      </c>
      <c r="DQ75">
        <f t="shared" si="109"/>
        <v>14.079393640428957</v>
      </c>
      <c r="DR75">
        <f t="shared" si="251"/>
        <v>3.1739513060101807E-6</v>
      </c>
      <c r="DS75">
        <f t="shared" si="217"/>
        <v>3.3005977253149438E-2</v>
      </c>
      <c r="DT75">
        <f t="shared" si="306"/>
        <v>3770.7176031827016</v>
      </c>
      <c r="DU75">
        <f t="shared" si="218"/>
        <v>2.4153666481728328E-6</v>
      </c>
      <c r="DV75">
        <f t="shared" si="111"/>
        <v>8.2836843020026062E-4</v>
      </c>
      <c r="DW75">
        <f t="shared" si="112"/>
        <v>0.26380872219097423</v>
      </c>
      <c r="DY75">
        <f t="shared" si="113"/>
        <v>17.857298062657666</v>
      </c>
      <c r="DZ75">
        <f t="shared" si="114"/>
        <v>0.32800000000000001</v>
      </c>
      <c r="EA75">
        <f t="shared" si="286"/>
        <v>114243.47700000001</v>
      </c>
      <c r="EB75">
        <f t="shared" si="287"/>
        <v>5.1079652645626104E-3</v>
      </c>
      <c r="EC75">
        <f t="shared" si="115"/>
        <v>4.186413536833221E-3</v>
      </c>
      <c r="ED75">
        <f t="shared" si="116"/>
        <v>1.1986175610235806E-2</v>
      </c>
      <c r="EE75">
        <f t="shared" si="117"/>
        <v>14.079393640428957</v>
      </c>
      <c r="EF75">
        <f t="shared" si="252"/>
        <v>3.0812069004623943E-6</v>
      </c>
      <c r="EG75">
        <f t="shared" si="219"/>
        <v>3.1612045321127533E-2</v>
      </c>
      <c r="EH75">
        <f t="shared" si="307"/>
        <v>3611.4699725671912</v>
      </c>
      <c r="EI75">
        <f t="shared" si="220"/>
        <v>2.3638127189460069E-6</v>
      </c>
      <c r="EJ75">
        <f t="shared" si="119"/>
        <v>7.8338875672983937E-4</v>
      </c>
      <c r="EK75">
        <f t="shared" si="120"/>
        <v>0.25610010263162791</v>
      </c>
      <c r="EM75">
        <f t="shared" si="121"/>
        <v>19.75499179939068</v>
      </c>
      <c r="EN75">
        <f t="shared" si="122"/>
        <v>0.32800000000000001</v>
      </c>
      <c r="EO75">
        <f t="shared" si="288"/>
        <v>114243.47700000001</v>
      </c>
      <c r="EP75">
        <f t="shared" si="289"/>
        <v>5.1079652645626104E-3</v>
      </c>
      <c r="EQ75">
        <f t="shared" si="123"/>
        <v>4.186413536833221E-3</v>
      </c>
      <c r="ER75">
        <f t="shared" si="124"/>
        <v>1.1986175610235806E-2</v>
      </c>
      <c r="ES75">
        <f t="shared" si="125"/>
        <v>14.079393640428957</v>
      </c>
      <c r="ET75">
        <f t="shared" si="253"/>
        <v>2.9929598712439067E-6</v>
      </c>
      <c r="EU75">
        <f t="shared" si="221"/>
        <v>3.0296931042126628E-2</v>
      </c>
      <c r="EV75">
        <f t="shared" si="308"/>
        <v>3461.22674468178</v>
      </c>
      <c r="EW75">
        <f t="shared" si="222"/>
        <v>2.3141211222074661E-6</v>
      </c>
      <c r="EX75">
        <f t="shared" si="127"/>
        <v>7.4128653023588674E-4</v>
      </c>
      <c r="EY75">
        <f t="shared" si="128"/>
        <v>0.2487652906667451</v>
      </c>
      <c r="FA75">
        <f t="shared" si="129"/>
        <v>21.652685536123695</v>
      </c>
      <c r="FB75">
        <f t="shared" si="130"/>
        <v>0.32800000000000001</v>
      </c>
      <c r="FC75">
        <f t="shared" si="290"/>
        <v>114243.47700000001</v>
      </c>
      <c r="FD75">
        <f t="shared" si="291"/>
        <v>5.1079652645626104E-3</v>
      </c>
      <c r="FE75">
        <f t="shared" si="131"/>
        <v>4.186413536833221E-3</v>
      </c>
      <c r="FF75">
        <f t="shared" si="132"/>
        <v>1.1986175610235806E-2</v>
      </c>
      <c r="FG75">
        <f t="shared" si="133"/>
        <v>14.079393640428957</v>
      </c>
      <c r="FH75">
        <f t="shared" si="254"/>
        <v>2.9089296547721514E-6</v>
      </c>
      <c r="FI75">
        <f t="shared" si="223"/>
        <v>2.9055247681210511E-2</v>
      </c>
      <c r="FJ75">
        <f t="shared" si="309"/>
        <v>3319.3725201976767</v>
      </c>
      <c r="FK75">
        <f t="shared" si="224"/>
        <v>2.2662042941348312E-6</v>
      </c>
      <c r="FL75">
        <f t="shared" si="135"/>
        <v>7.0185099651091389E-4</v>
      </c>
      <c r="FM75">
        <f t="shared" si="136"/>
        <v>0.24178096674505556</v>
      </c>
      <c r="FO75">
        <f t="shared" si="137"/>
        <v>23.550379272856709</v>
      </c>
      <c r="FP75">
        <f t="shared" si="138"/>
        <v>0.32800000000000001</v>
      </c>
      <c r="FQ75">
        <f t="shared" si="292"/>
        <v>114243.47700000001</v>
      </c>
      <c r="FR75">
        <f t="shared" si="293"/>
        <v>5.1079652645626104E-3</v>
      </c>
      <c r="FS75">
        <f t="shared" si="139"/>
        <v>4.186413536833221E-3</v>
      </c>
      <c r="FT75">
        <f t="shared" si="140"/>
        <v>1.1986175610235806E-2</v>
      </c>
      <c r="FU75">
        <f t="shared" si="141"/>
        <v>14.079393640428957</v>
      </c>
      <c r="FV75">
        <f t="shared" si="255"/>
        <v>2.8288561925882801E-6</v>
      </c>
      <c r="FW75">
        <f t="shared" si="225"/>
        <v>2.788202863160278E-2</v>
      </c>
      <c r="FX75">
        <f t="shared" si="310"/>
        <v>3185.339896687854</v>
      </c>
      <c r="FY75">
        <f t="shared" si="226"/>
        <v>2.2199794362793839E-6</v>
      </c>
      <c r="FZ75">
        <f t="shared" si="143"/>
        <v>6.6488858902966693E-4</v>
      </c>
      <c r="GA75">
        <f t="shared" si="144"/>
        <v>0.23512551563585488</v>
      </c>
      <c r="GC75">
        <f t="shared" si="145"/>
        <v>25.448073009589724</v>
      </c>
      <c r="GD75">
        <f t="shared" si="146"/>
        <v>0.32800000000000001</v>
      </c>
      <c r="GE75">
        <f t="shared" si="294"/>
        <v>114243.47700000001</v>
      </c>
      <c r="GF75">
        <f t="shared" si="295"/>
        <v>5.1079652645626104E-3</v>
      </c>
      <c r="GG75">
        <f t="shared" si="147"/>
        <v>4.186413536833221E-3</v>
      </c>
      <c r="GH75">
        <f t="shared" si="148"/>
        <v>1.1986175610235806E-2</v>
      </c>
      <c r="GI75">
        <f t="shared" si="149"/>
        <v>14.079393640428957</v>
      </c>
      <c r="GJ75">
        <f t="shared" si="256"/>
        <v>2.7524982561275847E-6</v>
      </c>
      <c r="GK75">
        <f t="shared" si="227"/>
        <v>2.677269133514593E-2</v>
      </c>
      <c r="GL75">
        <f t="shared" si="311"/>
        <v>3058.6053467748438</v>
      </c>
      <c r="GM75">
        <f t="shared" si="228"/>
        <v>2.1753682352690588E-6</v>
      </c>
      <c r="GN75">
        <f t="shared" si="151"/>
        <v>6.3022140569382243E-4</v>
      </c>
      <c r="GO75">
        <f t="shared" si="152"/>
        <v>0.2287788871892586</v>
      </c>
      <c r="GQ75">
        <f t="shared" si="153"/>
        <v>27.345766746322738</v>
      </c>
      <c r="GR75">
        <f t="shared" si="154"/>
        <v>0.32800000000000001</v>
      </c>
      <c r="GS75">
        <f t="shared" si="296"/>
        <v>114243.47700000001</v>
      </c>
      <c r="GT75">
        <f t="shared" si="297"/>
        <v>5.1079652645626104E-3</v>
      </c>
      <c r="GU75">
        <f t="shared" si="155"/>
        <v>4.186413536833221E-3</v>
      </c>
      <c r="GV75">
        <f t="shared" si="156"/>
        <v>1.1986175610235806E-2</v>
      </c>
      <c r="GW75">
        <f t="shared" si="157"/>
        <v>14.079393640428957</v>
      </c>
      <c r="GX75">
        <f t="shared" si="257"/>
        <v>2.6796319201785189E-6</v>
      </c>
      <c r="GY75">
        <f t="shared" si="229"/>
        <v>2.5723004532954563E-2</v>
      </c>
      <c r="GZ75">
        <f t="shared" si="312"/>
        <v>2938.6854767314908</v>
      </c>
      <c r="HA75">
        <f t="shared" si="230"/>
        <v>2.1322965994411559E-6</v>
      </c>
      <c r="HB75">
        <f t="shared" si="159"/>
        <v>5.9768582945633514E-4</v>
      </c>
      <c r="HC75">
        <f t="shared" si="160"/>
        <v>0.22272246945497856</v>
      </c>
      <c r="HE75">
        <f t="shared" si="161"/>
        <v>29.243460483055753</v>
      </c>
      <c r="HF75">
        <f t="shared" si="162"/>
        <v>0.32800000000000001</v>
      </c>
      <c r="HG75">
        <f t="shared" si="33"/>
        <v>114243.47700000001</v>
      </c>
      <c r="HH75">
        <f t="shared" si="34"/>
        <v>5.1079652645626104E-3</v>
      </c>
      <c r="HI75">
        <f t="shared" si="263"/>
        <v>4.186413536833221E-3</v>
      </c>
      <c r="HJ75">
        <f t="shared" si="164"/>
        <v>1.1986175610235806E-2</v>
      </c>
      <c r="HK75">
        <f t="shared" si="165"/>
        <v>14.079393640428957</v>
      </c>
      <c r="HL75">
        <f t="shared" si="258"/>
        <v>2.6100491709754862E-6</v>
      </c>
      <c r="HM75">
        <f t="shared" si="231"/>
        <v>2.4729058521717473E-2</v>
      </c>
      <c r="HN75">
        <f t="shared" si="166"/>
        <v>2825.1336284574845</v>
      </c>
      <c r="HO75">
        <f t="shared" si="232"/>
        <v>2.0906944114098296E-6</v>
      </c>
      <c r="HP75">
        <f t="shared" si="167"/>
        <v>5.6713127856414128E-4</v>
      </c>
      <c r="HQ75">
        <f t="shared" si="168"/>
        <v>0.21693897299142942</v>
      </c>
      <c r="HS75">
        <f t="shared" si="169"/>
        <v>31.141154219788767</v>
      </c>
      <c r="HT75">
        <f t="shared" si="170"/>
        <v>0.32800000000000001</v>
      </c>
      <c r="HU75">
        <f t="shared" si="35"/>
        <v>114243.47700000001</v>
      </c>
      <c r="HV75">
        <f t="shared" si="36"/>
        <v>5.1079652645626104E-3</v>
      </c>
      <c r="HW75">
        <f t="shared" si="264"/>
        <v>4.186413536833221E-3</v>
      </c>
      <c r="HX75">
        <f t="shared" si="172"/>
        <v>1.1986175610235806E-2</v>
      </c>
      <c r="HY75">
        <f t="shared" si="173"/>
        <v>14.079393640428957</v>
      </c>
      <c r="HZ75">
        <f t="shared" si="259"/>
        <v>2.5435566362639125E-6</v>
      </c>
      <c r="IA75">
        <f t="shared" si="233"/>
        <v>2.3787238124027162E-2</v>
      </c>
      <c r="IB75">
        <f t="shared" si="174"/>
        <v>2717.5367915158204</v>
      </c>
      <c r="IC75">
        <f t="shared" si="234"/>
        <v>2.0504952956257817E-6</v>
      </c>
      <c r="ID75">
        <f t="shared" si="175"/>
        <v>5.3841907362226057E-4</v>
      </c>
      <c r="IE75">
        <f t="shared" si="176"/>
        <v>0.21141232531278259</v>
      </c>
      <c r="IG75">
        <f t="shared" si="177"/>
        <v>33.038847956521785</v>
      </c>
      <c r="IH75">
        <f t="shared" si="178"/>
        <v>0.32800000000000001</v>
      </c>
      <c r="II75">
        <f t="shared" si="37"/>
        <v>114243.47700000001</v>
      </c>
      <c r="IJ75">
        <f t="shared" si="38"/>
        <v>5.1079652645626104E-3</v>
      </c>
      <c r="IK75">
        <f t="shared" si="265"/>
        <v>4.186413536833221E-3</v>
      </c>
      <c r="IL75">
        <f t="shared" si="180"/>
        <v>1.1986175610235806E-2</v>
      </c>
      <c r="IM75">
        <f t="shared" si="181"/>
        <v>14.079393640428957</v>
      </c>
      <c r="IN75">
        <f t="shared" si="260"/>
        <v>2.479974425926415E-6</v>
      </c>
      <c r="IO75">
        <f t="shared" si="235"/>
        <v>2.2894198110603926E-2</v>
      </c>
      <c r="IP75">
        <f t="shared" si="182"/>
        <v>2615.5127952822236</v>
      </c>
      <c r="IQ75">
        <f t="shared" si="236"/>
        <v>2.0116364000359848E-6</v>
      </c>
      <c r="IR75">
        <f t="shared" si="183"/>
        <v>5.1142140999261871E-4</v>
      </c>
      <c r="IS75">
        <f t="shared" si="184"/>
        <v>0.20612757452550659</v>
      </c>
      <c r="IU75">
        <f t="shared" si="185"/>
        <v>34.936541693254796</v>
      </c>
      <c r="IV75">
        <f t="shared" si="186"/>
        <v>0.32800000000000001</v>
      </c>
      <c r="IW75">
        <f t="shared" si="39"/>
        <v>114243.47700000001</v>
      </c>
      <c r="IX75">
        <f t="shared" si="40"/>
        <v>5.1079652645626104E-3</v>
      </c>
      <c r="IY75">
        <f t="shared" si="266"/>
        <v>4.186413536833221E-3</v>
      </c>
      <c r="IZ75">
        <f t="shared" si="188"/>
        <v>1.1986175610235806E-2</v>
      </c>
      <c r="JA75">
        <f t="shared" si="189"/>
        <v>14.079393640428957</v>
      </c>
      <c r="JB75">
        <f t="shared" si="261"/>
        <v>2.4191350728811959E-6</v>
      </c>
      <c r="JC75">
        <f t="shared" si="237"/>
        <v>2.2046840838699896E-2</v>
      </c>
      <c r="JD75">
        <f t="shared" si="190"/>
        <v>2518.7077542786724</v>
      </c>
      <c r="JE75">
        <f t="shared" si="238"/>
        <v>1.9740581909995756E-6</v>
      </c>
      <c r="JF75">
        <f t="shared" si="191"/>
        <v>4.8602042521371015E-4</v>
      </c>
      <c r="JG75">
        <f t="shared" si="192"/>
        <v>0.20107080129921523</v>
      </c>
      <c r="JI75">
        <f t="shared" si="193"/>
        <v>36.834235429987814</v>
      </c>
      <c r="JJ75">
        <f t="shared" si="194"/>
        <v>0.32800000000000001</v>
      </c>
      <c r="JK75">
        <f t="shared" si="41"/>
        <v>114243.47700000001</v>
      </c>
      <c r="JL75">
        <f t="shared" si="42"/>
        <v>5.1079652645626104E-3</v>
      </c>
      <c r="JM75">
        <f t="shared" si="267"/>
        <v>4.186413536833221E-3</v>
      </c>
      <c r="JN75">
        <f t="shared" si="196"/>
        <v>1.1986175610235806E-2</v>
      </c>
      <c r="JO75">
        <f t="shared" si="197"/>
        <v>14.079393640428957</v>
      </c>
      <c r="JP75">
        <f t="shared" si="262"/>
        <v>2.3608825649714612E-6</v>
      </c>
      <c r="JQ75">
        <f t="shared" si="239"/>
        <v>2.1242295894641747E-2</v>
      </c>
      <c r="JR75">
        <f t="shared" si="198"/>
        <v>2426.7937424666993</v>
      </c>
      <c r="JS75">
        <f t="shared" si="240"/>
        <v>1.9377042606623932E-6</v>
      </c>
      <c r="JT75">
        <f t="shared" si="199"/>
        <v>4.6210735217699797E-4</v>
      </c>
      <c r="JU75">
        <f t="shared" si="200"/>
        <v>0.19622903840039982</v>
      </c>
    </row>
    <row r="76" spans="2:281">
      <c r="B76">
        <v>0.42</v>
      </c>
      <c r="C76">
        <f t="shared" si="43"/>
        <v>0.79703136942786601</v>
      </c>
      <c r="D76">
        <f t="shared" si="44"/>
        <v>0.33599999999999997</v>
      </c>
      <c r="E76">
        <f t="shared" si="268"/>
        <v>114059.04900000001</v>
      </c>
      <c r="F76">
        <f t="shared" si="269"/>
        <v>5.11071689345091E-3</v>
      </c>
      <c r="G76">
        <f t="shared" si="45"/>
        <v>4.1852863948281414E-3</v>
      </c>
      <c r="H76">
        <f t="shared" si="46"/>
        <v>1.2005556680083622E-2</v>
      </c>
      <c r="I76">
        <f t="shared" si="47"/>
        <v>14.094566688444104</v>
      </c>
      <c r="J76">
        <f t="shared" si="241"/>
        <v>4.1185310754105507E-6</v>
      </c>
      <c r="K76">
        <f t="shared" si="201"/>
        <v>4.8527913877852775E-2</v>
      </c>
      <c r="L76">
        <f t="shared" si="298"/>
        <v>5535.0477068617902</v>
      </c>
      <c r="M76">
        <f t="shared" si="202"/>
        <v>2.926386907993175E-6</v>
      </c>
      <c r="N76">
        <f t="shared" si="203"/>
        <v>1.302864034789011E-3</v>
      </c>
      <c r="O76">
        <f t="shared" si="49"/>
        <v>0.34231918374124903</v>
      </c>
      <c r="Q76">
        <f t="shared" si="50"/>
        <v>2.6947251061608806</v>
      </c>
      <c r="R76">
        <f t="shared" si="51"/>
        <v>0.33599999999999997</v>
      </c>
      <c r="S76">
        <f t="shared" si="270"/>
        <v>114059.04900000001</v>
      </c>
      <c r="T76">
        <f t="shared" si="271"/>
        <v>5.11071689345091E-3</v>
      </c>
      <c r="U76">
        <f t="shared" si="52"/>
        <v>4.1852863948281414E-3</v>
      </c>
      <c r="V76">
        <f t="shared" si="53"/>
        <v>1.2005556680083622E-2</v>
      </c>
      <c r="W76">
        <f t="shared" si="54"/>
        <v>14.094566688444104</v>
      </c>
      <c r="X76">
        <f t="shared" si="242"/>
        <v>3.9766263380507853E-6</v>
      </c>
      <c r="Y76">
        <f t="shared" si="204"/>
        <v>4.6201746044765422E-2</v>
      </c>
      <c r="Z76">
        <f t="shared" si="299"/>
        <v>5269.7272160054563</v>
      </c>
      <c r="AA76">
        <f t="shared" si="205"/>
        <v>2.8553879892440719E-6</v>
      </c>
      <c r="AB76">
        <f t="shared" si="56"/>
        <v>1.2253728693327091E-3</v>
      </c>
      <c r="AC76">
        <f t="shared" si="57"/>
        <v>0.33052451399794286</v>
      </c>
      <c r="AE76">
        <f t="shared" si="58"/>
        <v>4.5924188428938946</v>
      </c>
      <c r="AF76">
        <f t="shared" si="59"/>
        <v>0.33599999999999997</v>
      </c>
      <c r="AG76">
        <f t="shared" si="272"/>
        <v>114059.04900000001</v>
      </c>
      <c r="AH76">
        <f t="shared" si="273"/>
        <v>5.11071689345091E-3</v>
      </c>
      <c r="AI76">
        <f t="shared" si="60"/>
        <v>4.1852863948281414E-3</v>
      </c>
      <c r="AJ76">
        <f t="shared" si="61"/>
        <v>1.2005556680083622E-2</v>
      </c>
      <c r="AK76">
        <f t="shared" si="62"/>
        <v>14.094566688444104</v>
      </c>
      <c r="AL76">
        <f t="shared" si="243"/>
        <v>3.8424603383796003E-6</v>
      </c>
      <c r="AM76">
        <f t="shared" si="206"/>
        <v>4.4021290276669955E-2</v>
      </c>
      <c r="AN76">
        <f t="shared" si="300"/>
        <v>5021.0265047099228</v>
      </c>
      <c r="AO76">
        <f t="shared" si="207"/>
        <v>2.7871947670094477E-6</v>
      </c>
      <c r="AP76">
        <f t="shared" si="64"/>
        <v>1.1532728990888063E-3</v>
      </c>
      <c r="AQ76">
        <f t="shared" si="65"/>
        <v>0.31937306348018984</v>
      </c>
      <c r="AS76">
        <f t="shared" si="66"/>
        <v>6.490112579626909</v>
      </c>
      <c r="AT76">
        <f t="shared" si="67"/>
        <v>0.33599999999999997</v>
      </c>
      <c r="AU76">
        <f t="shared" si="274"/>
        <v>114059.04900000001</v>
      </c>
      <c r="AV76">
        <f t="shared" si="275"/>
        <v>5.11071689345091E-3</v>
      </c>
      <c r="AW76">
        <f t="shared" si="68"/>
        <v>4.1852863948281414E-3</v>
      </c>
      <c r="AX76">
        <f t="shared" si="69"/>
        <v>1.2005556680083622E-2</v>
      </c>
      <c r="AY76">
        <f t="shared" si="70"/>
        <v>14.094566688444104</v>
      </c>
      <c r="AZ76">
        <f t="shared" si="244"/>
        <v>3.7155047065000452E-6</v>
      </c>
      <c r="BA76">
        <f t="shared" si="208"/>
        <v>4.1975730250453529E-2</v>
      </c>
      <c r="BB76">
        <f t="shared" si="301"/>
        <v>4787.7118734472615</v>
      </c>
      <c r="BC76">
        <f t="shared" si="209"/>
        <v>2.7216674805700798E-6</v>
      </c>
      <c r="BD76">
        <f t="shared" si="72"/>
        <v>1.0861394229724102E-3</v>
      </c>
      <c r="BE76">
        <f t="shared" si="73"/>
        <v>0.30882091576523507</v>
      </c>
      <c r="BG76">
        <f t="shared" si="74"/>
        <v>8.3878063163599244</v>
      </c>
      <c r="BH76">
        <f t="shared" si="75"/>
        <v>0.33599999999999997</v>
      </c>
      <c r="BI76">
        <f t="shared" si="276"/>
        <v>114059.04900000001</v>
      </c>
      <c r="BJ76">
        <f t="shared" si="277"/>
        <v>5.11071689345091E-3</v>
      </c>
      <c r="BK76">
        <f t="shared" si="76"/>
        <v>4.1852863948281414E-3</v>
      </c>
      <c r="BL76">
        <f t="shared" si="77"/>
        <v>1.2005556680083622E-2</v>
      </c>
      <c r="BM76">
        <f t="shared" si="78"/>
        <v>14.094566688444104</v>
      </c>
      <c r="BN76">
        <f t="shared" si="245"/>
        <v>3.5952725867805908E-6</v>
      </c>
      <c r="BO76">
        <f t="shared" si="210"/>
        <v>4.0055151468286095E-2</v>
      </c>
      <c r="BP76">
        <f t="shared" si="302"/>
        <v>4568.6524840236661</v>
      </c>
      <c r="BQ76">
        <f t="shared" si="211"/>
        <v>2.6586742129062551E-6</v>
      </c>
      <c r="BR76">
        <f t="shared" si="80"/>
        <v>1.0235845376036004E-3</v>
      </c>
      <c r="BS76">
        <f t="shared" si="81"/>
        <v>0.29882760496382488</v>
      </c>
      <c r="BU76">
        <f t="shared" si="82"/>
        <v>10.285500053092939</v>
      </c>
      <c r="BV76">
        <f t="shared" si="83"/>
        <v>0.33599999999999997</v>
      </c>
      <c r="BW76">
        <f t="shared" si="278"/>
        <v>114059.04900000001</v>
      </c>
      <c r="BX76">
        <f t="shared" si="279"/>
        <v>5.11071689345091E-3</v>
      </c>
      <c r="BY76">
        <f t="shared" si="84"/>
        <v>4.1852863948281414E-3</v>
      </c>
      <c r="BZ76">
        <f t="shared" si="85"/>
        <v>1.2005556680083622E-2</v>
      </c>
      <c r="CA76">
        <f t="shared" si="86"/>
        <v>14.094566688444104</v>
      </c>
      <c r="CB76">
        <f t="shared" si="246"/>
        <v>3.4813150408660721E-6</v>
      </c>
      <c r="CC76">
        <f t="shared" si="247"/>
        <v>3.8250459549950433E-2</v>
      </c>
      <c r="CD76">
        <f t="shared" si="303"/>
        <v>4362.8110400803153</v>
      </c>
      <c r="CE76">
        <f t="shared" si="248"/>
        <v>2.5980904270400781E-6</v>
      </c>
      <c r="CF76">
        <f t="shared" si="212"/>
        <v>9.6525371296928659E-4</v>
      </c>
      <c r="CG76">
        <f t="shared" si="88"/>
        <v>0.28935581674993471</v>
      </c>
      <c r="CI76">
        <f t="shared" si="89"/>
        <v>12.183193789825953</v>
      </c>
      <c r="CJ76">
        <f t="shared" si="90"/>
        <v>0.33599999999999997</v>
      </c>
      <c r="CK76">
        <f t="shared" si="280"/>
        <v>114059.04900000001</v>
      </c>
      <c r="CL76">
        <f t="shared" si="281"/>
        <v>5.11071689345091E-3</v>
      </c>
      <c r="CM76">
        <f t="shared" si="91"/>
        <v>4.1852863948281414E-3</v>
      </c>
      <c r="CN76">
        <f t="shared" si="92"/>
        <v>1.2005556680083622E-2</v>
      </c>
      <c r="CO76">
        <f t="shared" si="93"/>
        <v>14.094566688444104</v>
      </c>
      <c r="CP76">
        <f t="shared" si="249"/>
        <v>3.373217785398195E-6</v>
      </c>
      <c r="CQ76">
        <f t="shared" si="213"/>
        <v>3.6553306390158372E-2</v>
      </c>
      <c r="CR76">
        <f t="shared" si="304"/>
        <v>4169.2353646670872</v>
      </c>
      <c r="CS76">
        <f t="shared" si="214"/>
        <v>2.5397985296935593E-6</v>
      </c>
      <c r="CT76">
        <f t="shared" si="95"/>
        <v>9.1082270402791056E-4</v>
      </c>
      <c r="CU76">
        <f t="shared" si="96"/>
        <v>0.28037111721048924</v>
      </c>
      <c r="CW76">
        <f t="shared" si="97"/>
        <v>14.080887526558968</v>
      </c>
      <c r="CX76">
        <f t="shared" si="98"/>
        <v>0.33599999999999997</v>
      </c>
      <c r="CY76">
        <f t="shared" si="282"/>
        <v>114059.04900000001</v>
      </c>
      <c r="CZ76">
        <f t="shared" si="283"/>
        <v>5.11071689345091E-3</v>
      </c>
      <c r="DA76">
        <f t="shared" si="99"/>
        <v>4.1852863948281414E-3</v>
      </c>
      <c r="DB76">
        <f t="shared" si="100"/>
        <v>1.2005556680083622E-2</v>
      </c>
      <c r="DC76">
        <f t="shared" si="101"/>
        <v>14.094566688444104</v>
      </c>
      <c r="DD76">
        <f t="shared" si="250"/>
        <v>3.2705982316216012E-6</v>
      </c>
      <c r="DE76">
        <f t="shared" si="215"/>
        <v>3.4956023390024536E-2</v>
      </c>
      <c r="DF76">
        <f t="shared" si="305"/>
        <v>3987.050784687955</v>
      </c>
      <c r="DG76">
        <f t="shared" si="216"/>
        <v>2.4836874607596571E-6</v>
      </c>
      <c r="DH76">
        <f t="shared" si="103"/>
        <v>8.599947640268767E-4</v>
      </c>
      <c r="DI76">
        <f t="shared" si="104"/>
        <v>0.2718417067868486</v>
      </c>
      <c r="DK76">
        <f t="shared" si="105"/>
        <v>15.978581263291982</v>
      </c>
      <c r="DL76">
        <f t="shared" si="106"/>
        <v>0.33599999999999997</v>
      </c>
      <c r="DM76">
        <f t="shared" si="284"/>
        <v>114059.04900000001</v>
      </c>
      <c r="DN76">
        <f t="shared" si="285"/>
        <v>5.11071689345091E-3</v>
      </c>
      <c r="DO76">
        <f t="shared" si="107"/>
        <v>4.1852863948281414E-3</v>
      </c>
      <c r="DP76">
        <f t="shared" si="108"/>
        <v>1.2005556680083622E-2</v>
      </c>
      <c r="DQ76">
        <f t="shared" si="109"/>
        <v>14.094566688444104</v>
      </c>
      <c r="DR76">
        <f t="shared" si="251"/>
        <v>3.1731027973942253E-6</v>
      </c>
      <c r="DS76">
        <f t="shared" si="217"/>
        <v>3.3451561053806811E-2</v>
      </c>
      <c r="DT76">
        <f t="shared" si="306"/>
        <v>3815.453241362643</v>
      </c>
      <c r="DU76">
        <f t="shared" si="218"/>
        <v>2.4296523071528074E-6</v>
      </c>
      <c r="DV76">
        <f t="shared" si="111"/>
        <v>8.1249812887998214E-4</v>
      </c>
      <c r="DW76">
        <f t="shared" si="112"/>
        <v>0.26373819685767147</v>
      </c>
      <c r="DY76">
        <f t="shared" si="113"/>
        <v>17.876275000024997</v>
      </c>
      <c r="DZ76">
        <f t="shared" si="114"/>
        <v>0.33599999999999997</v>
      </c>
      <c r="EA76">
        <f t="shared" si="286"/>
        <v>114059.04900000001</v>
      </c>
      <c r="EB76">
        <f t="shared" si="287"/>
        <v>5.11071689345091E-3</v>
      </c>
      <c r="EC76">
        <f t="shared" si="115"/>
        <v>4.1852863948281414E-3</v>
      </c>
      <c r="ED76">
        <f t="shared" si="116"/>
        <v>1.2005556680083622E-2</v>
      </c>
      <c r="EE76">
        <f t="shared" si="117"/>
        <v>14.094566688444104</v>
      </c>
      <c r="EF76">
        <f t="shared" si="252"/>
        <v>3.0804044651141917E-6</v>
      </c>
      <c r="EG76">
        <f t="shared" si="219"/>
        <v>3.2033434315311617E-2</v>
      </c>
      <c r="EH76">
        <f t="shared" si="307"/>
        <v>3653.7030542084094</v>
      </c>
      <c r="EI76">
        <f t="shared" si="220"/>
        <v>2.3775939396726357E-6</v>
      </c>
      <c r="EJ76">
        <f t="shared" si="119"/>
        <v>7.68083745150255E-4</v>
      </c>
      <c r="EK76">
        <f t="shared" si="120"/>
        <v>0.25603340676157804</v>
      </c>
      <c r="EM76">
        <f t="shared" si="121"/>
        <v>19.773968736758011</v>
      </c>
      <c r="EN76">
        <f t="shared" si="122"/>
        <v>0.33599999999999997</v>
      </c>
      <c r="EO76">
        <f t="shared" si="288"/>
        <v>114059.04900000001</v>
      </c>
      <c r="EP76">
        <f t="shared" si="289"/>
        <v>5.11071689345091E-3</v>
      </c>
      <c r="EQ76">
        <f t="shared" si="123"/>
        <v>4.1852863948281414E-3</v>
      </c>
      <c r="ER76">
        <f t="shared" si="124"/>
        <v>1.2005556680083622E-2</v>
      </c>
      <c r="ES76">
        <f t="shared" si="125"/>
        <v>14.094566688444104</v>
      </c>
      <c r="ET76">
        <f t="shared" si="253"/>
        <v>2.9922005617568893E-6</v>
      </c>
      <c r="EU76">
        <f t="shared" si="221"/>
        <v>3.0695673023926649E-2</v>
      </c>
      <c r="EV76">
        <f t="shared" si="308"/>
        <v>3501.1192735240284</v>
      </c>
      <c r="EW76">
        <f t="shared" si="222"/>
        <v>2.3274186715797521E-6</v>
      </c>
      <c r="EX76">
        <f t="shared" si="127"/>
        <v>7.2652321704277315E-4</v>
      </c>
      <c r="EY76">
        <f t="shared" si="128"/>
        <v>0.24870217928090305</v>
      </c>
      <c r="FA76">
        <f t="shared" si="129"/>
        <v>21.671662473491025</v>
      </c>
      <c r="FB76">
        <f t="shared" si="130"/>
        <v>0.33599999999999997</v>
      </c>
      <c r="FC76">
        <f t="shared" si="290"/>
        <v>114059.04900000001</v>
      </c>
      <c r="FD76">
        <f t="shared" si="291"/>
        <v>5.11071689345091E-3</v>
      </c>
      <c r="FE76">
        <f t="shared" si="131"/>
        <v>4.1852863948281414E-3</v>
      </c>
      <c r="FF76">
        <f t="shared" si="132"/>
        <v>1.2005556680083622E-2</v>
      </c>
      <c r="FG76">
        <f t="shared" si="133"/>
        <v>14.094566688444104</v>
      </c>
      <c r="FH76">
        <f t="shared" si="254"/>
        <v>2.9082107396180423E-6</v>
      </c>
      <c r="FI76">
        <f t="shared" si="223"/>
        <v>2.9432777078902423E-2</v>
      </c>
      <c r="FJ76">
        <f t="shared" si="309"/>
        <v>3357.0745630486085</v>
      </c>
      <c r="FK76">
        <f t="shared" si="224"/>
        <v>2.2790379376456187E-6</v>
      </c>
      <c r="FL76">
        <f t="shared" si="135"/>
        <v>6.8760695036836842E-4</v>
      </c>
      <c r="FM76">
        <f t="shared" si="136"/>
        <v>0.24172121280749195</v>
      </c>
      <c r="FO76">
        <f t="shared" si="137"/>
        <v>23.56935621022404</v>
      </c>
      <c r="FP76">
        <f t="shared" si="138"/>
        <v>0.33599999999999997</v>
      </c>
      <c r="FQ76">
        <f t="shared" si="292"/>
        <v>114059.04900000001</v>
      </c>
      <c r="FR76">
        <f t="shared" si="293"/>
        <v>5.11071689345091E-3</v>
      </c>
      <c r="FS76">
        <f t="shared" si="139"/>
        <v>4.1852863948281414E-3</v>
      </c>
      <c r="FT76">
        <f t="shared" si="140"/>
        <v>1.2005556680083622E-2</v>
      </c>
      <c r="FU76">
        <f t="shared" si="141"/>
        <v>14.094566688444104</v>
      </c>
      <c r="FV76">
        <f t="shared" si="255"/>
        <v>2.8281751385115263E-6</v>
      </c>
      <c r="FW76">
        <f t="shared" si="225"/>
        <v>2.8239675752995293E-2</v>
      </c>
      <c r="FX76">
        <f t="shared" si="310"/>
        <v>3220.9905604550027</v>
      </c>
      <c r="FY76">
        <f t="shared" si="226"/>
        <v>2.2323679924996329E-6</v>
      </c>
      <c r="FZ76">
        <f t="shared" si="143"/>
        <v>6.5114247372516799E-4</v>
      </c>
      <c r="GA76">
        <f t="shared" si="144"/>
        <v>0.23506890859043766</v>
      </c>
      <c r="GC76">
        <f t="shared" si="145"/>
        <v>25.467049946957054</v>
      </c>
      <c r="GD76">
        <f t="shared" si="146"/>
        <v>0.33599999999999997</v>
      </c>
      <c r="GE76">
        <f t="shared" si="294"/>
        <v>114059.04900000001</v>
      </c>
      <c r="GF76">
        <f t="shared" si="295"/>
        <v>5.11071689345091E-3</v>
      </c>
      <c r="GG76">
        <f t="shared" si="147"/>
        <v>4.1852863948281414E-3</v>
      </c>
      <c r="GH76">
        <f t="shared" si="148"/>
        <v>1.2005556680083622E-2</v>
      </c>
      <c r="GI76">
        <f t="shared" si="149"/>
        <v>14.094566688444104</v>
      </c>
      <c r="GJ76">
        <f t="shared" si="256"/>
        <v>2.7518527121000781E-6</v>
      </c>
      <c r="GK76">
        <f t="shared" si="227"/>
        <v>2.7111690793559379E-2</v>
      </c>
      <c r="GL76">
        <f t="shared" si="311"/>
        <v>3092.3336686954385</v>
      </c>
      <c r="GM76">
        <f t="shared" si="228"/>
        <v>2.1873296271555714E-6</v>
      </c>
      <c r="GN76">
        <f t="shared" si="151"/>
        <v>6.1695291918904176E-4</v>
      </c>
      <c r="GO76">
        <f t="shared" si="152"/>
        <v>0.2287252316260204</v>
      </c>
      <c r="GQ76">
        <f t="shared" si="153"/>
        <v>27.364743683690069</v>
      </c>
      <c r="GR76">
        <f t="shared" si="154"/>
        <v>0.33599999999999997</v>
      </c>
      <c r="GS76">
        <f t="shared" si="296"/>
        <v>114059.04900000001</v>
      </c>
      <c r="GT76">
        <f t="shared" si="297"/>
        <v>5.11071689345091E-3</v>
      </c>
      <c r="GU76">
        <f t="shared" si="155"/>
        <v>4.1852863948281414E-3</v>
      </c>
      <c r="GV76">
        <f t="shared" si="156"/>
        <v>1.2005556680083622E-2</v>
      </c>
      <c r="GW76">
        <f t="shared" si="157"/>
        <v>14.094566688444104</v>
      </c>
      <c r="GX76">
        <f t="shared" si="257"/>
        <v>2.6790197027672329E-6</v>
      </c>
      <c r="GY76">
        <f t="shared" si="229"/>
        <v>2.6044502931226243E-2</v>
      </c>
      <c r="GZ76">
        <f t="shared" si="312"/>
        <v>2970.6112360133779</v>
      </c>
      <c r="HA76">
        <f t="shared" si="230"/>
        <v>2.1438479026566424E-6</v>
      </c>
      <c r="HB76">
        <f t="shared" si="159"/>
        <v>5.848756466324841E-4</v>
      </c>
      <c r="HC76">
        <f t="shared" si="160"/>
        <v>0.22267158389392142</v>
      </c>
      <c r="HE76">
        <f t="shared" si="161"/>
        <v>29.262437420423083</v>
      </c>
      <c r="HF76">
        <f t="shared" si="162"/>
        <v>0.33599999999999997</v>
      </c>
      <c r="HG76">
        <f t="shared" si="33"/>
        <v>114059.04900000001</v>
      </c>
      <c r="HH76">
        <f t="shared" si="34"/>
        <v>5.11071689345091E-3</v>
      </c>
      <c r="HI76">
        <f t="shared" si="263"/>
        <v>4.1852863948281414E-3</v>
      </c>
      <c r="HJ76">
        <f t="shared" si="164"/>
        <v>1.2005556680083622E-2</v>
      </c>
      <c r="HK76">
        <f t="shared" si="165"/>
        <v>14.094566688444104</v>
      </c>
      <c r="HL76">
        <f t="shared" si="258"/>
        <v>2.6094682509902531E-6</v>
      </c>
      <c r="HM76">
        <f t="shared" si="231"/>
        <v>2.5034121463955863E-2</v>
      </c>
      <c r="HN76">
        <f t="shared" si="166"/>
        <v>2855.3680867292937</v>
      </c>
      <c r="HO76">
        <f t="shared" si="232"/>
        <v>2.1018518998333197E-6</v>
      </c>
      <c r="HP76">
        <f t="shared" si="167"/>
        <v>5.5476099742696129E-4</v>
      </c>
      <c r="HQ76">
        <f t="shared" si="168"/>
        <v>0.21689068877273035</v>
      </c>
      <c r="HS76">
        <f t="shared" si="169"/>
        <v>31.160131157156101</v>
      </c>
      <c r="HT76">
        <f t="shared" si="170"/>
        <v>0.33599999999999997</v>
      </c>
      <c r="HU76">
        <f t="shared" si="35"/>
        <v>114059.04900000001</v>
      </c>
      <c r="HV76">
        <f t="shared" si="36"/>
        <v>5.11071689345091E-3</v>
      </c>
      <c r="HW76">
        <f t="shared" si="264"/>
        <v>4.1852863948281414E-3</v>
      </c>
      <c r="HX76">
        <f t="shared" si="172"/>
        <v>1.2005556680083622E-2</v>
      </c>
      <c r="HY76">
        <f t="shared" si="173"/>
        <v>14.094566688444104</v>
      </c>
      <c r="HZ76">
        <f t="shared" si="259"/>
        <v>2.5430051265656823E-6</v>
      </c>
      <c r="IA76">
        <f t="shared" si="233"/>
        <v>2.4076856617953925E-2</v>
      </c>
      <c r="IB76">
        <f t="shared" si="174"/>
        <v>2746.1833687531812</v>
      </c>
      <c r="IC76">
        <f t="shared" si="234"/>
        <v>2.0612744842211034E-6</v>
      </c>
      <c r="ID76">
        <f t="shared" si="175"/>
        <v>5.264711647469931E-4</v>
      </c>
      <c r="IE76">
        <f t="shared" si="176"/>
        <v>0.21136648558345511</v>
      </c>
      <c r="IG76">
        <f t="shared" si="177"/>
        <v>33.057824893889112</v>
      </c>
      <c r="IH76">
        <f t="shared" si="178"/>
        <v>0.33599999999999997</v>
      </c>
      <c r="II76">
        <f t="shared" si="37"/>
        <v>114059.04900000001</v>
      </c>
      <c r="IJ76">
        <f t="shared" si="38"/>
        <v>5.11071689345091E-3</v>
      </c>
      <c r="IK76">
        <f t="shared" si="265"/>
        <v>4.1852863948281414E-3</v>
      </c>
      <c r="IL76">
        <f t="shared" si="180"/>
        <v>1.2005556680083622E-2</v>
      </c>
      <c r="IM76">
        <f t="shared" si="181"/>
        <v>14.094566688444104</v>
      </c>
      <c r="IN76">
        <f t="shared" si="260"/>
        <v>2.4794505702880998E-6</v>
      </c>
      <c r="IO76">
        <f t="shared" si="235"/>
        <v>2.3169294417143434E-2</v>
      </c>
      <c r="IP76">
        <f t="shared" si="182"/>
        <v>2642.6676872203898</v>
      </c>
      <c r="IQ76">
        <f t="shared" si="236"/>
        <v>2.0220520852362276E-6</v>
      </c>
      <c r="IR76">
        <f t="shared" si="183"/>
        <v>4.9987916900358083E-4</v>
      </c>
      <c r="IS76">
        <f t="shared" si="184"/>
        <v>0.20608403331354949</v>
      </c>
      <c r="IU76">
        <f t="shared" si="185"/>
        <v>34.95551863062213</v>
      </c>
      <c r="IV76">
        <f t="shared" si="186"/>
        <v>0.33599999999999997</v>
      </c>
      <c r="IW76">
        <f t="shared" si="39"/>
        <v>114059.04900000001</v>
      </c>
      <c r="IX76">
        <f t="shared" si="40"/>
        <v>5.11071689345091E-3</v>
      </c>
      <c r="IY76">
        <f t="shared" si="266"/>
        <v>4.1852863948281414E-3</v>
      </c>
      <c r="IZ76">
        <f t="shared" si="188"/>
        <v>1.2005556680083622E-2</v>
      </c>
      <c r="JA76">
        <f t="shared" si="189"/>
        <v>14.094566688444104</v>
      </c>
      <c r="JB76">
        <f t="shared" si="261"/>
        <v>2.4186372358037683E-6</v>
      </c>
      <c r="JC76">
        <f t="shared" si="237"/>
        <v>2.2308273819929666E-2</v>
      </c>
      <c r="JD76">
        <f t="shared" si="190"/>
        <v>2544.460496732775</v>
      </c>
      <c r="JE76">
        <f t="shared" si="238"/>
        <v>1.984124488756279E-6</v>
      </c>
      <c r="JF76">
        <f t="shared" si="191"/>
        <v>4.7486792810634164E-4</v>
      </c>
      <c r="JG76">
        <f t="shared" si="192"/>
        <v>0.20102942266715909</v>
      </c>
      <c r="JI76">
        <f t="shared" si="193"/>
        <v>36.853212367355141</v>
      </c>
      <c r="JJ76">
        <f t="shared" si="194"/>
        <v>0.33599999999999997</v>
      </c>
      <c r="JK76">
        <f t="shared" si="41"/>
        <v>114059.04900000001</v>
      </c>
      <c r="JL76">
        <f t="shared" si="42"/>
        <v>5.11071689345091E-3</v>
      </c>
      <c r="JM76">
        <f t="shared" si="267"/>
        <v>4.1852863948281414E-3</v>
      </c>
      <c r="JN76">
        <f t="shared" si="196"/>
        <v>1.2005556680083622E-2</v>
      </c>
      <c r="JO76">
        <f t="shared" si="197"/>
        <v>14.094566688444104</v>
      </c>
      <c r="JP76">
        <f t="shared" si="262"/>
        <v>2.3604092223674659E-6</v>
      </c>
      <c r="JQ76">
        <f t="shared" si="239"/>
        <v>2.1490865906230585E-2</v>
      </c>
      <c r="JR76">
        <f t="shared" si="198"/>
        <v>2451.2277274511839</v>
      </c>
      <c r="JS76">
        <f t="shared" si="240"/>
        <v>1.9474346422992968E-6</v>
      </c>
      <c r="JT76">
        <f t="shared" si="199"/>
        <v>4.5132941330286127E-4</v>
      </c>
      <c r="JU76">
        <f t="shared" si="200"/>
        <v>0.19618969567095024</v>
      </c>
    </row>
    <row r="77" spans="2:281">
      <c r="B77">
        <v>0.43</v>
      </c>
      <c r="C77">
        <f t="shared" si="43"/>
        <v>0.8160083067951962</v>
      </c>
      <c r="D77">
        <f t="shared" si="44"/>
        <v>0.34400000000000003</v>
      </c>
      <c r="E77">
        <f t="shared" si="268"/>
        <v>113874.62100000001</v>
      </c>
      <c r="F77">
        <f t="shared" si="269"/>
        <v>5.1134744610785337E-3</v>
      </c>
      <c r="G77">
        <f t="shared" si="45"/>
        <v>4.1841577330197109E-3</v>
      </c>
      <c r="H77">
        <f t="shared" si="46"/>
        <v>1.202500052795728E-2</v>
      </c>
      <c r="I77">
        <f t="shared" si="47"/>
        <v>14.109780681788289</v>
      </c>
      <c r="J77">
        <f t="shared" si="241"/>
        <v>4.1171965347416481E-6</v>
      </c>
      <c r="K77">
        <f t="shared" si="201"/>
        <v>4.9228731397203108E-2</v>
      </c>
      <c r="L77">
        <f t="shared" si="298"/>
        <v>5605.9031301673049</v>
      </c>
      <c r="M77">
        <f t="shared" si="202"/>
        <v>2.945058021839998E-6</v>
      </c>
      <c r="N77">
        <f t="shared" si="203"/>
        <v>1.2820372795332184E-3</v>
      </c>
      <c r="O77">
        <f t="shared" si="49"/>
        <v>0.34220826097192097</v>
      </c>
      <c r="Q77">
        <f t="shared" si="50"/>
        <v>2.7137020435282104</v>
      </c>
      <c r="R77">
        <f t="shared" si="51"/>
        <v>0.34400000000000003</v>
      </c>
      <c r="S77">
        <f t="shared" si="270"/>
        <v>113874.62100000001</v>
      </c>
      <c r="T77">
        <f t="shared" si="271"/>
        <v>5.1134744610785337E-3</v>
      </c>
      <c r="U77">
        <f t="shared" si="52"/>
        <v>4.1841577330197109E-3</v>
      </c>
      <c r="V77">
        <f t="shared" si="53"/>
        <v>1.202500052795728E-2</v>
      </c>
      <c r="W77">
        <f t="shared" si="54"/>
        <v>14.109780681788289</v>
      </c>
      <c r="X77">
        <f t="shared" si="242"/>
        <v>3.9753711725960428E-6</v>
      </c>
      <c r="Y77">
        <f t="shared" si="204"/>
        <v>4.686088065254819E-2</v>
      </c>
      <c r="Z77">
        <f t="shared" si="299"/>
        <v>5336.2650240351586</v>
      </c>
      <c r="AA77">
        <f t="shared" si="205"/>
        <v>2.8733581117171977E-6</v>
      </c>
      <c r="AB77">
        <f t="shared" si="56"/>
        <v>1.2053369213862988E-3</v>
      </c>
      <c r="AC77">
        <f t="shared" si="57"/>
        <v>0.33042018864357242</v>
      </c>
      <c r="AE77">
        <f t="shared" si="58"/>
        <v>4.6113957802612253</v>
      </c>
      <c r="AF77">
        <f t="shared" si="59"/>
        <v>0.34400000000000003</v>
      </c>
      <c r="AG77">
        <f t="shared" si="272"/>
        <v>113874.62100000001</v>
      </c>
      <c r="AH77">
        <f t="shared" si="273"/>
        <v>5.1134744610785337E-3</v>
      </c>
      <c r="AI77">
        <f t="shared" si="60"/>
        <v>4.1841577330197109E-3</v>
      </c>
      <c r="AJ77">
        <f t="shared" si="61"/>
        <v>1.202500052795728E-2</v>
      </c>
      <c r="AK77">
        <f t="shared" si="62"/>
        <v>14.109780681788289</v>
      </c>
      <c r="AL77">
        <f t="shared" si="243"/>
        <v>3.841279025867258E-6</v>
      </c>
      <c r="AM77">
        <f t="shared" si="206"/>
        <v>4.4641641925569596E-2</v>
      </c>
      <c r="AN77">
        <f t="shared" si="300"/>
        <v>5083.5500550919487</v>
      </c>
      <c r="AO77">
        <f t="shared" si="207"/>
        <v>2.8044946319890796E-6</v>
      </c>
      <c r="AP77">
        <f t="shared" si="64"/>
        <v>1.1339924668967894E-3</v>
      </c>
      <c r="AQ77">
        <f t="shared" si="65"/>
        <v>0.31927487654713921</v>
      </c>
      <c r="AS77">
        <f t="shared" si="66"/>
        <v>6.5090895169942398</v>
      </c>
      <c r="AT77">
        <f t="shared" si="67"/>
        <v>0.34400000000000003</v>
      </c>
      <c r="AU77">
        <f t="shared" si="274"/>
        <v>113874.62100000001</v>
      </c>
      <c r="AV77">
        <f t="shared" si="275"/>
        <v>5.1134744610785337E-3</v>
      </c>
      <c r="AW77">
        <f t="shared" si="68"/>
        <v>4.1841577330197109E-3</v>
      </c>
      <c r="AX77">
        <f t="shared" si="69"/>
        <v>1.202500052795728E-2</v>
      </c>
      <c r="AY77">
        <f t="shared" si="70"/>
        <v>14.109780681788289</v>
      </c>
      <c r="AZ77">
        <f t="shared" si="244"/>
        <v>3.71439215968522E-6</v>
      </c>
      <c r="BA77">
        <f t="shared" si="208"/>
        <v>4.255997044417368E-2</v>
      </c>
      <c r="BB77">
        <f t="shared" si="301"/>
        <v>4846.5005041014801</v>
      </c>
      <c r="BC77">
        <f t="shared" si="209"/>
        <v>2.7383262654910673E-6</v>
      </c>
      <c r="BD77">
        <f t="shared" si="72"/>
        <v>1.0675810493932863E-3</v>
      </c>
      <c r="BE77">
        <f t="shared" si="73"/>
        <v>0.30872844441791447</v>
      </c>
      <c r="BG77">
        <f t="shared" si="74"/>
        <v>8.4067832537272533</v>
      </c>
      <c r="BH77">
        <f t="shared" si="75"/>
        <v>0.34400000000000003</v>
      </c>
      <c r="BI77">
        <f t="shared" si="276"/>
        <v>113874.62100000001</v>
      </c>
      <c r="BJ77">
        <f t="shared" si="277"/>
        <v>5.1134744610785337E-3</v>
      </c>
      <c r="BK77">
        <f t="shared" si="76"/>
        <v>4.1841577330197109E-3</v>
      </c>
      <c r="BL77">
        <f t="shared" si="77"/>
        <v>1.202500052795728E-2</v>
      </c>
      <c r="BM77">
        <f t="shared" si="78"/>
        <v>14.109780681788289</v>
      </c>
      <c r="BN77">
        <f t="shared" si="245"/>
        <v>3.594224115752904E-6</v>
      </c>
      <c r="BO77">
        <f t="shared" si="210"/>
        <v>4.0605743055231569E-2</v>
      </c>
      <c r="BP77">
        <f t="shared" si="302"/>
        <v>4623.9636008378775</v>
      </c>
      <c r="BQ77">
        <f t="shared" si="211"/>
        <v>2.6747196257080195E-6</v>
      </c>
      <c r="BR77">
        <f t="shared" si="80"/>
        <v>1.0057164933668851E-3</v>
      </c>
      <c r="BS77">
        <f t="shared" si="81"/>
        <v>0.29874045939182298</v>
      </c>
      <c r="BU77">
        <f t="shared" si="82"/>
        <v>10.304476990460268</v>
      </c>
      <c r="BV77">
        <f t="shared" si="83"/>
        <v>0.34400000000000003</v>
      </c>
      <c r="BW77">
        <f t="shared" si="278"/>
        <v>113874.62100000001</v>
      </c>
      <c r="BX77">
        <f t="shared" si="279"/>
        <v>5.1134744610785337E-3</v>
      </c>
      <c r="BY77">
        <f t="shared" si="84"/>
        <v>4.1841577330197109E-3</v>
      </c>
      <c r="BZ77">
        <f t="shared" si="85"/>
        <v>1.202500052795728E-2</v>
      </c>
      <c r="CA77">
        <f t="shared" si="86"/>
        <v>14.109780681788289</v>
      </c>
      <c r="CB77">
        <f t="shared" si="246"/>
        <v>3.4803263188648735E-6</v>
      </c>
      <c r="CC77">
        <f t="shared" si="247"/>
        <v>3.8769674674939539E-2</v>
      </c>
      <c r="CD77">
        <f t="shared" si="303"/>
        <v>4414.8820099020386</v>
      </c>
      <c r="CE77">
        <f t="shared" si="248"/>
        <v>2.6135487880394544E-6</v>
      </c>
      <c r="CF77">
        <f t="shared" si="212"/>
        <v>9.4804589675075439E-4</v>
      </c>
      <c r="CG77">
        <f t="shared" si="88"/>
        <v>0.28927363732668887</v>
      </c>
      <c r="CI77">
        <f t="shared" si="89"/>
        <v>12.202170727193282</v>
      </c>
      <c r="CJ77">
        <f t="shared" si="90"/>
        <v>0.34400000000000003</v>
      </c>
      <c r="CK77">
        <f t="shared" si="280"/>
        <v>113874.62100000001</v>
      </c>
      <c r="CL77">
        <f t="shared" si="281"/>
        <v>5.1134744610785337E-3</v>
      </c>
      <c r="CM77">
        <f t="shared" si="91"/>
        <v>4.1841577330197109E-3</v>
      </c>
      <c r="CN77">
        <f t="shared" si="92"/>
        <v>1.202500052795728E-2</v>
      </c>
      <c r="CO77">
        <f t="shared" si="93"/>
        <v>14.109780681788289</v>
      </c>
      <c r="CP77">
        <f t="shared" si="249"/>
        <v>3.3722848177912708E-6</v>
      </c>
      <c r="CQ77">
        <f t="shared" si="213"/>
        <v>3.7043242784870603E-2</v>
      </c>
      <c r="CR77">
        <f t="shared" si="304"/>
        <v>4218.2852327381252</v>
      </c>
      <c r="CS77">
        <f t="shared" si="214"/>
        <v>2.5546948486745849E-6</v>
      </c>
      <c r="CT77">
        <f t="shared" si="95"/>
        <v>8.9424654871651083E-4</v>
      </c>
      <c r="CU77">
        <f t="shared" si="96"/>
        <v>0.2802935719148944</v>
      </c>
      <c r="CW77">
        <f t="shared" si="97"/>
        <v>14.099864463926297</v>
      </c>
      <c r="CX77">
        <f t="shared" si="98"/>
        <v>0.34400000000000003</v>
      </c>
      <c r="CY77">
        <f t="shared" si="282"/>
        <v>113874.62100000001</v>
      </c>
      <c r="CZ77">
        <f t="shared" si="283"/>
        <v>5.1134744610785337E-3</v>
      </c>
      <c r="DA77">
        <f t="shared" si="99"/>
        <v>4.1841577330197109E-3</v>
      </c>
      <c r="DB77">
        <f t="shared" si="100"/>
        <v>1.202500052795728E-2</v>
      </c>
      <c r="DC77">
        <f t="shared" si="101"/>
        <v>14.109780681788289</v>
      </c>
      <c r="DD77">
        <f t="shared" si="250"/>
        <v>3.2697173277383172E-6</v>
      </c>
      <c r="DE77">
        <f t="shared" si="215"/>
        <v>3.5418619164477048E-2</v>
      </c>
      <c r="DF77">
        <f t="shared" si="305"/>
        <v>4033.2818336981609</v>
      </c>
      <c r="DG77">
        <f t="shared" si="216"/>
        <v>2.4980455095584758E-6</v>
      </c>
      <c r="DH77">
        <f t="shared" si="103"/>
        <v>8.4402314878527138E-4</v>
      </c>
      <c r="DI77">
        <f t="shared" si="104"/>
        <v>0.27176848886211791</v>
      </c>
      <c r="DK77">
        <f t="shared" si="105"/>
        <v>15.997558200659311</v>
      </c>
      <c r="DL77">
        <f t="shared" si="106"/>
        <v>0.34400000000000003</v>
      </c>
      <c r="DM77">
        <f t="shared" si="284"/>
        <v>113874.62100000001</v>
      </c>
      <c r="DN77">
        <f t="shared" si="285"/>
        <v>5.1134744610785337E-3</v>
      </c>
      <c r="DO77">
        <f t="shared" si="107"/>
        <v>4.1841577330197109E-3</v>
      </c>
      <c r="DP77">
        <f t="shared" si="108"/>
        <v>1.202500052795728E-2</v>
      </c>
      <c r="DQ77">
        <f t="shared" si="109"/>
        <v>14.109780681788289</v>
      </c>
      <c r="DR77">
        <f t="shared" si="251"/>
        <v>3.1722705449354543E-6</v>
      </c>
      <c r="DS77">
        <f t="shared" si="217"/>
        <v>3.3888608134664044E-2</v>
      </c>
      <c r="DT77">
        <f t="shared" si="306"/>
        <v>3859.0524075523854</v>
      </c>
      <c r="DU77">
        <f t="shared" si="218"/>
        <v>2.4434946880006431E-6</v>
      </c>
      <c r="DV77">
        <f t="shared" si="111"/>
        <v>7.9710529662682487E-4</v>
      </c>
      <c r="DW77">
        <f t="shared" si="112"/>
        <v>0.26366902268437115</v>
      </c>
      <c r="DY77">
        <f t="shared" si="113"/>
        <v>17.895251937392327</v>
      </c>
      <c r="DZ77">
        <f t="shared" si="114"/>
        <v>0.34400000000000003</v>
      </c>
      <c r="EA77">
        <f t="shared" si="286"/>
        <v>113874.62100000001</v>
      </c>
      <c r="EB77">
        <f t="shared" si="287"/>
        <v>5.1134744610785337E-3</v>
      </c>
      <c r="EC77">
        <f t="shared" si="115"/>
        <v>4.1841577330197109E-3</v>
      </c>
      <c r="ED77">
        <f t="shared" si="116"/>
        <v>1.202500052795728E-2</v>
      </c>
      <c r="EE77">
        <f t="shared" si="117"/>
        <v>14.109780681788289</v>
      </c>
      <c r="EF77">
        <f t="shared" si="252"/>
        <v>3.0796177068894996E-6</v>
      </c>
      <c r="EG77">
        <f t="shared" si="219"/>
        <v>3.2446590662064789E-2</v>
      </c>
      <c r="EH77">
        <f t="shared" si="307"/>
        <v>3694.8432143847672</v>
      </c>
      <c r="EI77">
        <f t="shared" si="220"/>
        <v>2.39094214954535E-6</v>
      </c>
      <c r="EJ77">
        <f t="shared" si="119"/>
        <v>7.5324522511666494E-4</v>
      </c>
      <c r="EK77">
        <f t="shared" si="120"/>
        <v>0.25596801392409618</v>
      </c>
      <c r="EM77">
        <f t="shared" si="121"/>
        <v>19.792945674125342</v>
      </c>
      <c r="EN77">
        <f t="shared" si="122"/>
        <v>0.34400000000000003</v>
      </c>
      <c r="EO77">
        <f t="shared" si="288"/>
        <v>113874.62100000001</v>
      </c>
      <c r="EP77">
        <f t="shared" si="289"/>
        <v>5.1134744610785337E-3</v>
      </c>
      <c r="EQ77">
        <f t="shared" si="123"/>
        <v>4.1841577330197109E-3</v>
      </c>
      <c r="ER77">
        <f t="shared" si="124"/>
        <v>1.202500052795728E-2</v>
      </c>
      <c r="ES77">
        <f t="shared" si="125"/>
        <v>14.109780681788289</v>
      </c>
      <c r="ET77">
        <f t="shared" si="253"/>
        <v>2.9914563745246412E-6</v>
      </c>
      <c r="EU77">
        <f t="shared" si="221"/>
        <v>3.1086473740749573E-2</v>
      </c>
      <c r="EV77">
        <f t="shared" si="308"/>
        <v>3539.9604154543104</v>
      </c>
      <c r="EW77">
        <f t="shared" si="222"/>
        <v>2.3402931627887061E-6</v>
      </c>
      <c r="EX77">
        <f t="shared" si="127"/>
        <v>7.1221575207818259E-4</v>
      </c>
      <c r="EY77">
        <f t="shared" si="128"/>
        <v>0.24864032480870668</v>
      </c>
      <c r="FA77">
        <f t="shared" si="129"/>
        <v>21.690639410858356</v>
      </c>
      <c r="FB77">
        <f t="shared" si="130"/>
        <v>0.34400000000000003</v>
      </c>
      <c r="FC77">
        <f t="shared" si="290"/>
        <v>113874.62100000001</v>
      </c>
      <c r="FD77">
        <f t="shared" si="291"/>
        <v>5.1134744610785337E-3</v>
      </c>
      <c r="FE77">
        <f t="shared" si="131"/>
        <v>4.1841577330197109E-3</v>
      </c>
      <c r="FF77">
        <f t="shared" si="132"/>
        <v>1.202500052795728E-2</v>
      </c>
      <c r="FG77">
        <f t="shared" si="133"/>
        <v>14.109780681788289</v>
      </c>
      <c r="FH77">
        <f t="shared" si="254"/>
        <v>2.9075064148266723E-6</v>
      </c>
      <c r="FI77">
        <f t="shared" si="223"/>
        <v>2.9802644528135726E-2</v>
      </c>
      <c r="FJ77">
        <f t="shared" si="309"/>
        <v>3393.76485043918</v>
      </c>
      <c r="FK77">
        <f t="shared" si="224"/>
        <v>2.2914581748914676E-6</v>
      </c>
      <c r="FL77">
        <f t="shared" si="135"/>
        <v>6.7380842869210126E-4</v>
      </c>
      <c r="FM77">
        <f t="shared" si="136"/>
        <v>0.2416626715744028</v>
      </c>
      <c r="FO77">
        <f t="shared" si="137"/>
        <v>23.588333147591371</v>
      </c>
      <c r="FP77">
        <f t="shared" si="138"/>
        <v>0.34400000000000003</v>
      </c>
      <c r="FQ77">
        <f t="shared" si="292"/>
        <v>113874.62100000001</v>
      </c>
      <c r="FR77">
        <f t="shared" si="293"/>
        <v>5.1134744610785337E-3</v>
      </c>
      <c r="FS77">
        <f t="shared" si="139"/>
        <v>4.1841577330197109E-3</v>
      </c>
      <c r="FT77">
        <f t="shared" si="140"/>
        <v>1.202500052795728E-2</v>
      </c>
      <c r="FU77">
        <f t="shared" si="141"/>
        <v>14.109780681788289</v>
      </c>
      <c r="FV77">
        <f t="shared" si="255"/>
        <v>2.827508164760442E-6</v>
      </c>
      <c r="FW77">
        <f t="shared" si="225"/>
        <v>2.8589928765585072E-2</v>
      </c>
      <c r="FX77">
        <f t="shared" si="310"/>
        <v>3255.6673025979981</v>
      </c>
      <c r="FY77">
        <f t="shared" si="226"/>
        <v>2.2443525065981865E-6</v>
      </c>
      <c r="FZ77">
        <f t="shared" si="143"/>
        <v>6.3783186483991274E-4</v>
      </c>
      <c r="GA77">
        <f t="shared" si="144"/>
        <v>0.23501347185683835</v>
      </c>
      <c r="GC77">
        <f t="shared" si="145"/>
        <v>25.486026884324385</v>
      </c>
      <c r="GD77">
        <f t="shared" si="146"/>
        <v>0.34400000000000003</v>
      </c>
      <c r="GE77">
        <f t="shared" si="294"/>
        <v>113874.62100000001</v>
      </c>
      <c r="GF77">
        <f t="shared" si="295"/>
        <v>5.1134744610785337E-3</v>
      </c>
      <c r="GG77">
        <f t="shared" si="147"/>
        <v>4.1841577330197109E-3</v>
      </c>
      <c r="GH77">
        <f t="shared" si="148"/>
        <v>1.202500052795728E-2</v>
      </c>
      <c r="GI77">
        <f t="shared" si="149"/>
        <v>14.109780681788289</v>
      </c>
      <c r="GJ77">
        <f t="shared" si="256"/>
        <v>2.7512207591568155E-6</v>
      </c>
      <c r="GK77">
        <f t="shared" si="227"/>
        <v>2.7443553062251169E-2</v>
      </c>
      <c r="GL77">
        <f t="shared" si="311"/>
        <v>3125.1242038572418</v>
      </c>
      <c r="GM77">
        <f t="shared" si="228"/>
        <v>2.1988960656330075E-6</v>
      </c>
      <c r="GN77">
        <f t="shared" si="151"/>
        <v>6.0411021369084176E-4</v>
      </c>
      <c r="GO77">
        <f t="shared" si="152"/>
        <v>0.22867270571041129</v>
      </c>
      <c r="GQ77">
        <f t="shared" si="153"/>
        <v>27.3837206210574</v>
      </c>
      <c r="GR77">
        <f t="shared" si="154"/>
        <v>0.34400000000000003</v>
      </c>
      <c r="GS77">
        <f t="shared" si="296"/>
        <v>113874.62100000001</v>
      </c>
      <c r="GT77">
        <f t="shared" si="297"/>
        <v>5.1134744610785337E-3</v>
      </c>
      <c r="GU77">
        <f t="shared" si="155"/>
        <v>4.1841577330197109E-3</v>
      </c>
      <c r="GV77">
        <f t="shared" si="156"/>
        <v>1.202500052795728E-2</v>
      </c>
      <c r="GW77">
        <f t="shared" si="157"/>
        <v>14.109780681788289</v>
      </c>
      <c r="GX77">
        <f t="shared" si="257"/>
        <v>2.6784206069937374E-6</v>
      </c>
      <c r="GY77">
        <f t="shared" si="229"/>
        <v>2.6359110663772785E-2</v>
      </c>
      <c r="GZ77">
        <f t="shared" si="312"/>
        <v>3001.6337367341848</v>
      </c>
      <c r="HA77">
        <f t="shared" si="230"/>
        <v>2.1550130774000914E-6</v>
      </c>
      <c r="HB77">
        <f t="shared" si="159"/>
        <v>5.7248179966913517E-4</v>
      </c>
      <c r="HC77">
        <f t="shared" si="160"/>
        <v>0.22262178896159948</v>
      </c>
      <c r="HE77">
        <f t="shared" si="161"/>
        <v>29.281414357790414</v>
      </c>
      <c r="HF77">
        <f t="shared" si="162"/>
        <v>0.34400000000000003</v>
      </c>
      <c r="HG77">
        <f t="shared" si="33"/>
        <v>113874.62100000001</v>
      </c>
      <c r="HH77">
        <f t="shared" si="34"/>
        <v>5.1134744610785337E-3</v>
      </c>
      <c r="HI77">
        <f t="shared" si="263"/>
        <v>4.1841577330197109E-3</v>
      </c>
      <c r="HJ77">
        <f t="shared" si="164"/>
        <v>1.202500052795728E-2</v>
      </c>
      <c r="HK77">
        <f t="shared" si="165"/>
        <v>14.109780681788289</v>
      </c>
      <c r="HL77">
        <f t="shared" si="258"/>
        <v>2.60890000204576E-6</v>
      </c>
      <c r="HM77">
        <f t="shared" si="231"/>
        <v>2.5332530365934688E-2</v>
      </c>
      <c r="HN77">
        <f t="shared" si="166"/>
        <v>2884.7322943918043</v>
      </c>
      <c r="HO77">
        <f t="shared" si="232"/>
        <v>2.1126318319721497E-6</v>
      </c>
      <c r="HP77">
        <f t="shared" si="167"/>
        <v>5.4279787557281979E-4</v>
      </c>
      <c r="HQ77">
        <f t="shared" si="168"/>
        <v>0.21684345773057503</v>
      </c>
      <c r="HS77">
        <f t="shared" si="169"/>
        <v>31.179108094523428</v>
      </c>
      <c r="HT77">
        <f t="shared" si="170"/>
        <v>0.34400000000000003</v>
      </c>
      <c r="HU77">
        <f t="shared" si="35"/>
        <v>113874.62100000001</v>
      </c>
      <c r="HV77">
        <f t="shared" si="36"/>
        <v>5.1134744610785337E-3</v>
      </c>
      <c r="HW77">
        <f t="shared" si="264"/>
        <v>4.1841577330197109E-3</v>
      </c>
      <c r="HX77">
        <f t="shared" si="172"/>
        <v>1.202500052795728E-2</v>
      </c>
      <c r="HY77">
        <f t="shared" si="173"/>
        <v>14.109780681788289</v>
      </c>
      <c r="HZ77">
        <f t="shared" si="259"/>
        <v>2.5424658552667605E-6</v>
      </c>
      <c r="IA77">
        <f t="shared" si="233"/>
        <v>2.4360048267915435E-2</v>
      </c>
      <c r="IB77">
        <f t="shared" si="174"/>
        <v>2773.9912640505768</v>
      </c>
      <c r="IC77">
        <f t="shared" si="234"/>
        <v>2.0716844464040844E-6</v>
      </c>
      <c r="ID77">
        <f t="shared" si="175"/>
        <v>5.1492149607728439E-4</v>
      </c>
      <c r="IE77">
        <f t="shared" si="176"/>
        <v>0.21132166307089376</v>
      </c>
      <c r="IG77">
        <f t="shared" si="177"/>
        <v>33.076801831256439</v>
      </c>
      <c r="IH77">
        <f t="shared" si="178"/>
        <v>0.34400000000000003</v>
      </c>
      <c r="II77">
        <f t="shared" si="37"/>
        <v>113874.62100000001</v>
      </c>
      <c r="IJ77">
        <f t="shared" si="38"/>
        <v>5.1134744610785337E-3</v>
      </c>
      <c r="IK77">
        <f t="shared" si="265"/>
        <v>4.1841577330197109E-3</v>
      </c>
      <c r="IL77">
        <f t="shared" si="180"/>
        <v>1.202500052795728E-2</v>
      </c>
      <c r="IM77">
        <f t="shared" si="181"/>
        <v>14.109780681788289</v>
      </c>
      <c r="IN77">
        <f t="shared" si="260"/>
        <v>2.478938537518172E-6</v>
      </c>
      <c r="IO77">
        <f t="shared" si="235"/>
        <v>2.3438182090639366E-2</v>
      </c>
      <c r="IP77">
        <f t="shared" si="182"/>
        <v>2669.014102500546</v>
      </c>
      <c r="IQ77">
        <f t="shared" si="236"/>
        <v>2.032106641460164E-6</v>
      </c>
      <c r="IR77">
        <f t="shared" si="183"/>
        <v>4.887264961653423E-4</v>
      </c>
      <c r="IS77">
        <f t="shared" si="184"/>
        <v>0.20604147478075197</v>
      </c>
      <c r="IU77">
        <f t="shared" si="185"/>
        <v>34.974495567989457</v>
      </c>
      <c r="IV77">
        <f t="shared" si="186"/>
        <v>0.34400000000000003</v>
      </c>
      <c r="IW77">
        <f t="shared" si="39"/>
        <v>113874.62100000001</v>
      </c>
      <c r="IX77">
        <f t="shared" si="40"/>
        <v>5.1134744610785337E-3</v>
      </c>
      <c r="IY77">
        <f t="shared" si="266"/>
        <v>4.1841577330197109E-3</v>
      </c>
      <c r="IZ77">
        <f t="shared" si="188"/>
        <v>1.202500052795728E-2</v>
      </c>
      <c r="JA77">
        <f t="shared" si="189"/>
        <v>14.109780681788289</v>
      </c>
      <c r="JB77">
        <f t="shared" si="261"/>
        <v>2.4181508223749735E-6</v>
      </c>
      <c r="JC77">
        <f t="shared" si="237"/>
        <v>2.256370781343027E-2</v>
      </c>
      <c r="JD77">
        <f t="shared" si="190"/>
        <v>2569.4336756091111</v>
      </c>
      <c r="JE77">
        <f t="shared" si="238"/>
        <v>1.9938375318925455E-6</v>
      </c>
      <c r="JF77">
        <f t="shared" si="191"/>
        <v>4.6409656419635462E-4</v>
      </c>
      <c r="JG77">
        <f t="shared" si="192"/>
        <v>0.20098899353238822</v>
      </c>
      <c r="JI77">
        <f t="shared" si="193"/>
        <v>36.872189304722468</v>
      </c>
      <c r="JJ77">
        <f t="shared" si="194"/>
        <v>0.34400000000000003</v>
      </c>
      <c r="JK77">
        <f t="shared" si="41"/>
        <v>113874.62100000001</v>
      </c>
      <c r="JL77">
        <f t="shared" si="42"/>
        <v>5.1134744610785337E-3</v>
      </c>
      <c r="JM77">
        <f t="shared" si="267"/>
        <v>4.1841577330197109E-3</v>
      </c>
      <c r="JN77">
        <f t="shared" si="196"/>
        <v>1.202500052795728E-2</v>
      </c>
      <c r="JO77">
        <f t="shared" si="197"/>
        <v>14.109780681788289</v>
      </c>
      <c r="JP77">
        <f t="shared" si="262"/>
        <v>2.3599469197472068E-6</v>
      </c>
      <c r="JQ77">
        <f t="shared" si="239"/>
        <v>2.1733638406963497E-2</v>
      </c>
      <c r="JR77">
        <f t="shared" si="198"/>
        <v>2474.9098365440123</v>
      </c>
      <c r="JS77">
        <f t="shared" si="240"/>
        <v>1.9568194294561536E-6</v>
      </c>
      <c r="JT77">
        <f t="shared" si="199"/>
        <v>4.4092440037516334E-4</v>
      </c>
      <c r="JU77">
        <f t="shared" si="200"/>
        <v>0.19615127054978182</v>
      </c>
    </row>
    <row r="78" spans="2:281">
      <c r="B78">
        <v>0.44</v>
      </c>
      <c r="C78">
        <f t="shared" si="43"/>
        <v>0.8349852441625264</v>
      </c>
      <c r="D78">
        <f t="shared" si="44"/>
        <v>0.35200000000000004</v>
      </c>
      <c r="E78">
        <f t="shared" si="268"/>
        <v>113690.193</v>
      </c>
      <c r="F78">
        <f t="shared" si="269"/>
        <v>5.1162379899122356E-3</v>
      </c>
      <c r="G78">
        <f t="shared" si="45"/>
        <v>4.1830275468922613E-3</v>
      </c>
      <c r="H78">
        <f t="shared" si="46"/>
        <v>1.2044507459371939E-2</v>
      </c>
      <c r="I78">
        <f t="shared" si="47"/>
        <v>14.125035797537501</v>
      </c>
      <c r="J78">
        <f t="shared" si="241"/>
        <v>4.1158833271905138E-6</v>
      </c>
      <c r="K78">
        <f t="shared" si="201"/>
        <v>4.9918346093722546E-2</v>
      </c>
      <c r="L78">
        <f t="shared" si="298"/>
        <v>5675.2264016361123</v>
      </c>
      <c r="M78">
        <f t="shared" si="202"/>
        <v>2.9632115427477315E-6</v>
      </c>
      <c r="N78">
        <f t="shared" si="203"/>
        <v>1.2617675411417961E-3</v>
      </c>
      <c r="O78">
        <f t="shared" si="49"/>
        <v>0.34209911134338689</v>
      </c>
      <c r="Q78">
        <f t="shared" si="50"/>
        <v>2.7326789808955407</v>
      </c>
      <c r="R78">
        <f t="shared" si="51"/>
        <v>0.35200000000000004</v>
      </c>
      <c r="S78">
        <f t="shared" si="270"/>
        <v>113690.193</v>
      </c>
      <c r="T78">
        <f t="shared" si="271"/>
        <v>5.1162379899122356E-3</v>
      </c>
      <c r="U78">
        <f t="shared" si="52"/>
        <v>4.1830275468922613E-3</v>
      </c>
      <c r="V78">
        <f t="shared" si="53"/>
        <v>1.2044507459371939E-2</v>
      </c>
      <c r="W78">
        <f t="shared" si="54"/>
        <v>14.125035797537501</v>
      </c>
      <c r="X78">
        <f t="shared" si="242"/>
        <v>3.9741365302247999E-6</v>
      </c>
      <c r="Y78">
        <f t="shared" si="204"/>
        <v>4.7509237816973339E-2</v>
      </c>
      <c r="Z78">
        <f t="shared" si="299"/>
        <v>5401.3344166945972</v>
      </c>
      <c r="AA78">
        <f t="shared" si="205"/>
        <v>2.8908236192542684E-6</v>
      </c>
      <c r="AB78">
        <f t="shared" si="56"/>
        <v>1.1858441287545024E-3</v>
      </c>
      <c r="AC78">
        <f t="shared" si="57"/>
        <v>0.33031756910252791</v>
      </c>
      <c r="AE78">
        <f t="shared" si="58"/>
        <v>4.6303727176285552</v>
      </c>
      <c r="AF78">
        <f t="shared" si="59"/>
        <v>0.35200000000000004</v>
      </c>
      <c r="AG78">
        <f t="shared" si="272"/>
        <v>113690.193</v>
      </c>
      <c r="AH78">
        <f t="shared" si="273"/>
        <v>5.1162379899122356E-3</v>
      </c>
      <c r="AI78">
        <f t="shared" si="60"/>
        <v>4.1830275468922613E-3</v>
      </c>
      <c r="AJ78">
        <f t="shared" si="61"/>
        <v>1.2044507459371939E-2</v>
      </c>
      <c r="AK78">
        <f t="shared" si="62"/>
        <v>14.125035797537501</v>
      </c>
      <c r="AL78">
        <f t="shared" si="243"/>
        <v>3.8401174625537477E-6</v>
      </c>
      <c r="AM78">
        <f t="shared" si="206"/>
        <v>4.5251622527069012E-2</v>
      </c>
      <c r="AN78">
        <f t="shared" si="300"/>
        <v>5144.6656986656235</v>
      </c>
      <c r="AO78">
        <f t="shared" si="207"/>
        <v>2.8213024156928763E-6</v>
      </c>
      <c r="AP78">
        <f t="shared" si="64"/>
        <v>1.1152418007501917E-3</v>
      </c>
      <c r="AQ78">
        <f t="shared" si="65"/>
        <v>0.31917833110458599</v>
      </c>
      <c r="AS78">
        <f t="shared" si="66"/>
        <v>6.5280664543615696</v>
      </c>
      <c r="AT78">
        <f t="shared" si="67"/>
        <v>0.35200000000000004</v>
      </c>
      <c r="AU78">
        <f t="shared" si="274"/>
        <v>113690.193</v>
      </c>
      <c r="AV78">
        <f t="shared" si="275"/>
        <v>5.1162379899122356E-3</v>
      </c>
      <c r="AW78">
        <f t="shared" si="68"/>
        <v>4.1830275468922613E-3</v>
      </c>
      <c r="AX78">
        <f t="shared" si="69"/>
        <v>1.2044507459371939E-2</v>
      </c>
      <c r="AY78">
        <f t="shared" si="70"/>
        <v>14.125035797537501</v>
      </c>
      <c r="AZ78">
        <f t="shared" si="244"/>
        <v>3.7132986224551472E-6</v>
      </c>
      <c r="BA78">
        <f t="shared" si="208"/>
        <v>4.3134227989676019E-2</v>
      </c>
      <c r="BB78">
        <f t="shared" si="301"/>
        <v>4903.9387050522682</v>
      </c>
      <c r="BC78">
        <f t="shared" si="209"/>
        <v>2.7545050796433702E-6</v>
      </c>
      <c r="BD78">
        <f t="shared" si="72"/>
        <v>1.0495395023146759E-3</v>
      </c>
      <c r="BE78">
        <f t="shared" si="73"/>
        <v>0.30863755308672502</v>
      </c>
      <c r="BG78">
        <f t="shared" si="74"/>
        <v>8.4257601910945841</v>
      </c>
      <c r="BH78">
        <f t="shared" si="75"/>
        <v>0.35200000000000004</v>
      </c>
      <c r="BI78">
        <f t="shared" si="276"/>
        <v>113690.193</v>
      </c>
      <c r="BJ78">
        <f t="shared" si="277"/>
        <v>5.1162379899122356E-3</v>
      </c>
      <c r="BK78">
        <f t="shared" si="76"/>
        <v>4.1830275468922613E-3</v>
      </c>
      <c r="BL78">
        <f t="shared" si="77"/>
        <v>1.2044507459371939E-2</v>
      </c>
      <c r="BM78">
        <f t="shared" si="78"/>
        <v>14.125035797537501</v>
      </c>
      <c r="BN78">
        <f t="shared" si="245"/>
        <v>3.5931939471965963E-6</v>
      </c>
      <c r="BO78">
        <f t="shared" si="210"/>
        <v>4.114672332579776E-2</v>
      </c>
      <c r="BP78">
        <f t="shared" si="302"/>
        <v>4677.9789162275492</v>
      </c>
      <c r="BQ78">
        <f t="shared" si="211"/>
        <v>2.6902967750732245E-6</v>
      </c>
      <c r="BR78">
        <f t="shared" si="80"/>
        <v>9.8835276455102564E-4</v>
      </c>
      <c r="BS78">
        <f t="shared" si="81"/>
        <v>0.2986548350629411</v>
      </c>
      <c r="BU78">
        <f t="shared" si="82"/>
        <v>10.323453927827599</v>
      </c>
      <c r="BV78">
        <f t="shared" si="83"/>
        <v>0.35200000000000004</v>
      </c>
      <c r="BW78">
        <f t="shared" si="278"/>
        <v>113690.193</v>
      </c>
      <c r="BX78">
        <f t="shared" si="279"/>
        <v>5.1162379899122356E-3</v>
      </c>
      <c r="BY78">
        <f t="shared" si="84"/>
        <v>4.1830275468922613E-3</v>
      </c>
      <c r="BZ78">
        <f t="shared" si="85"/>
        <v>1.2044507459371939E-2</v>
      </c>
      <c r="CA78">
        <f t="shared" si="86"/>
        <v>14.125035797537501</v>
      </c>
      <c r="CB78">
        <f t="shared" si="246"/>
        <v>3.479355223054861E-6</v>
      </c>
      <c r="CC78">
        <f t="shared" si="247"/>
        <v>3.9279633623724809E-2</v>
      </c>
      <c r="CD78">
        <f t="shared" si="303"/>
        <v>4465.7091276505626</v>
      </c>
      <c r="CE78">
        <f t="shared" si="248"/>
        <v>2.6285502085995324E-6</v>
      </c>
      <c r="CF78">
        <f t="shared" si="212"/>
        <v>9.3133029329711919E-4</v>
      </c>
      <c r="CG78">
        <f t="shared" si="88"/>
        <v>0.28919292293630761</v>
      </c>
      <c r="CI78">
        <f t="shared" si="89"/>
        <v>12.221147664560613</v>
      </c>
      <c r="CJ78">
        <f t="shared" si="90"/>
        <v>0.35200000000000004</v>
      </c>
      <c r="CK78">
        <f t="shared" si="280"/>
        <v>113690.193</v>
      </c>
      <c r="CL78">
        <f t="shared" si="281"/>
        <v>5.1162379899122356E-3</v>
      </c>
      <c r="CM78">
        <f t="shared" si="91"/>
        <v>4.1830275468922613E-3</v>
      </c>
      <c r="CN78">
        <f t="shared" si="92"/>
        <v>1.2044507459371939E-2</v>
      </c>
      <c r="CO78">
        <f t="shared" si="93"/>
        <v>14.125035797537501</v>
      </c>
      <c r="CP78">
        <f t="shared" si="249"/>
        <v>3.3713688293570048E-6</v>
      </c>
      <c r="CQ78">
        <f t="shared" si="213"/>
        <v>3.7524262777152921E-2</v>
      </c>
      <c r="CR78">
        <f t="shared" si="304"/>
        <v>4266.1406773172312</v>
      </c>
      <c r="CS78">
        <f t="shared" si="214"/>
        <v>2.5691451836503741E-6</v>
      </c>
      <c r="CT78">
        <f t="shared" si="95"/>
        <v>8.7815089303880541E-4</v>
      </c>
      <c r="CU78">
        <f t="shared" si="96"/>
        <v>0.28021743787404513</v>
      </c>
      <c r="CW78">
        <f t="shared" si="97"/>
        <v>14.118841401293627</v>
      </c>
      <c r="CX78">
        <f t="shared" si="98"/>
        <v>0.35200000000000004</v>
      </c>
      <c r="CY78">
        <f t="shared" si="282"/>
        <v>113690.193</v>
      </c>
      <c r="CZ78">
        <f t="shared" si="283"/>
        <v>5.1162379899122356E-3</v>
      </c>
      <c r="DA78">
        <f t="shared" si="99"/>
        <v>4.1830275468922613E-3</v>
      </c>
      <c r="DB78">
        <f t="shared" si="100"/>
        <v>1.2044507459371939E-2</v>
      </c>
      <c r="DC78">
        <f t="shared" si="101"/>
        <v>14.125035797537501</v>
      </c>
      <c r="DD78">
        <f t="shared" si="250"/>
        <v>3.268852783789392E-6</v>
      </c>
      <c r="DE78">
        <f t="shared" si="215"/>
        <v>3.5872623721830386E-2</v>
      </c>
      <c r="DF78">
        <f t="shared" si="305"/>
        <v>4078.3655143512751</v>
      </c>
      <c r="DG78">
        <f t="shared" si="216"/>
        <v>2.5119681809912111E-6</v>
      </c>
      <c r="DH78">
        <f t="shared" si="103"/>
        <v>8.2852069174436504E-4</v>
      </c>
      <c r="DI78">
        <f t="shared" si="104"/>
        <v>0.27169663072301792</v>
      </c>
      <c r="DK78">
        <f t="shared" si="105"/>
        <v>16.01653513802664</v>
      </c>
      <c r="DL78">
        <f t="shared" si="106"/>
        <v>0.35200000000000004</v>
      </c>
      <c r="DM78">
        <f t="shared" si="284"/>
        <v>113690.193</v>
      </c>
      <c r="DN78">
        <f t="shared" si="285"/>
        <v>5.1162379899122356E-3</v>
      </c>
      <c r="DO78">
        <f t="shared" si="107"/>
        <v>4.1830275468922613E-3</v>
      </c>
      <c r="DP78">
        <f t="shared" si="108"/>
        <v>1.2044507459371939E-2</v>
      </c>
      <c r="DQ78">
        <f t="shared" si="109"/>
        <v>14.125035797537501</v>
      </c>
      <c r="DR78">
        <f t="shared" si="251"/>
        <v>3.1714540595560584E-6</v>
      </c>
      <c r="DS78">
        <f t="shared" si="217"/>
        <v>3.4317375328881246E-2</v>
      </c>
      <c r="DT78">
        <f t="shared" si="306"/>
        <v>3901.5490243939471</v>
      </c>
      <c r="DU78">
        <f t="shared" si="218"/>
        <v>2.4569119641527111E-6</v>
      </c>
      <c r="DV78">
        <f t="shared" si="111"/>
        <v>7.8217063601953923E-4</v>
      </c>
      <c r="DW78">
        <f t="shared" si="112"/>
        <v>0.26360115902048376</v>
      </c>
      <c r="DY78">
        <f t="shared" si="113"/>
        <v>17.914228874759655</v>
      </c>
      <c r="DZ78">
        <f t="shared" si="114"/>
        <v>0.35200000000000004</v>
      </c>
      <c r="EA78">
        <f t="shared" si="286"/>
        <v>113690.193</v>
      </c>
      <c r="EB78">
        <f t="shared" si="287"/>
        <v>5.1162379899122356E-3</v>
      </c>
      <c r="EC78">
        <f t="shared" si="115"/>
        <v>4.1830275468922613E-3</v>
      </c>
      <c r="ED78">
        <f t="shared" si="116"/>
        <v>1.2044507459371939E-2</v>
      </c>
      <c r="EE78">
        <f t="shared" si="117"/>
        <v>14.125035797537501</v>
      </c>
      <c r="EF78">
        <f t="shared" si="252"/>
        <v>3.0788461479549274E-6</v>
      </c>
      <c r="EG78">
        <f t="shared" si="219"/>
        <v>3.2851765289679827E-2</v>
      </c>
      <c r="EH78">
        <f t="shared" si="307"/>
        <v>3734.9235361744004</v>
      </c>
      <c r="EI78">
        <f t="shared" si="220"/>
        <v>2.4038752083650257E-6</v>
      </c>
      <c r="EJ78">
        <f t="shared" si="119"/>
        <v>7.3885422917697313E-4</v>
      </c>
      <c r="EK78">
        <f t="shared" si="120"/>
        <v>0.255903884403193</v>
      </c>
      <c r="EM78">
        <f t="shared" si="121"/>
        <v>19.811922611492669</v>
      </c>
      <c r="EN78">
        <f t="shared" si="122"/>
        <v>0.35200000000000004</v>
      </c>
      <c r="EO78">
        <f t="shared" si="288"/>
        <v>113690.193</v>
      </c>
      <c r="EP78">
        <f t="shared" si="289"/>
        <v>5.1162379899122356E-3</v>
      </c>
      <c r="EQ78">
        <f t="shared" si="123"/>
        <v>4.1830275468922613E-3</v>
      </c>
      <c r="ER78">
        <f t="shared" si="124"/>
        <v>1.2044507459371939E-2</v>
      </c>
      <c r="ES78">
        <f t="shared" si="125"/>
        <v>14.125035797537501</v>
      </c>
      <c r="ET78">
        <f t="shared" si="253"/>
        <v>2.9907268426158609E-6</v>
      </c>
      <c r="EU78">
        <f t="shared" si="221"/>
        <v>3.1469578395790891E-2</v>
      </c>
      <c r="EV78">
        <f t="shared" si="308"/>
        <v>3577.782441446097</v>
      </c>
      <c r="EW78">
        <f t="shared" si="222"/>
        <v>2.352762151670046E-6</v>
      </c>
      <c r="EX78">
        <f t="shared" si="127"/>
        <v>6.9834548766986354E-4</v>
      </c>
      <c r="EY78">
        <f t="shared" si="128"/>
        <v>0.24857968844031361</v>
      </c>
      <c r="FA78">
        <f t="shared" si="129"/>
        <v>21.709616348225683</v>
      </c>
      <c r="FB78">
        <f t="shared" si="130"/>
        <v>0.35200000000000004</v>
      </c>
      <c r="FC78">
        <f t="shared" si="290"/>
        <v>113690.193</v>
      </c>
      <c r="FD78">
        <f t="shared" si="291"/>
        <v>5.1162379899122356E-3</v>
      </c>
      <c r="FE78">
        <f t="shared" si="131"/>
        <v>4.1830275468922613E-3</v>
      </c>
      <c r="FF78">
        <f t="shared" si="132"/>
        <v>1.2044507459371939E-2</v>
      </c>
      <c r="FG78">
        <f t="shared" si="133"/>
        <v>14.125035797537501</v>
      </c>
      <c r="FH78">
        <f t="shared" si="254"/>
        <v>2.906816224041504E-6</v>
      </c>
      <c r="FI78">
        <f t="shared" si="223"/>
        <v>3.0165089678899089E-2</v>
      </c>
      <c r="FJ78">
        <f t="shared" si="309"/>
        <v>3429.4748674563452</v>
      </c>
      <c r="FK78">
        <f t="shared" si="224"/>
        <v>2.3034822669476506E-6</v>
      </c>
      <c r="FL78">
        <f t="shared" si="135"/>
        <v>6.6043709389283659E-4</v>
      </c>
      <c r="FM78">
        <f t="shared" si="136"/>
        <v>0.2416053051148864</v>
      </c>
      <c r="FO78">
        <f t="shared" si="137"/>
        <v>23.607310084958698</v>
      </c>
      <c r="FP78">
        <f t="shared" si="138"/>
        <v>0.35200000000000004</v>
      </c>
      <c r="FQ78">
        <f t="shared" si="292"/>
        <v>113690.193</v>
      </c>
      <c r="FR78">
        <f t="shared" si="293"/>
        <v>5.1162379899122356E-3</v>
      </c>
      <c r="FS78">
        <f t="shared" si="139"/>
        <v>4.1830275468922613E-3</v>
      </c>
      <c r="FT78">
        <f t="shared" si="140"/>
        <v>1.2044507459371939E-2</v>
      </c>
      <c r="FU78">
        <f t="shared" si="141"/>
        <v>14.125035797537501</v>
      </c>
      <c r="FV78">
        <f t="shared" si="255"/>
        <v>2.8268548252401075E-6</v>
      </c>
      <c r="FW78">
        <f t="shared" si="225"/>
        <v>2.8933021930599809E-2</v>
      </c>
      <c r="FX78">
        <f t="shared" si="310"/>
        <v>3289.4008473631247</v>
      </c>
      <c r="FY78">
        <f t="shared" si="226"/>
        <v>2.2559499536543089E-6</v>
      </c>
      <c r="FZ78">
        <f t="shared" si="143"/>
        <v>6.2493872563638118E-4</v>
      </c>
      <c r="GA78">
        <f t="shared" si="144"/>
        <v>0.23495916835706823</v>
      </c>
      <c r="GC78">
        <f t="shared" si="145"/>
        <v>25.505003821691712</v>
      </c>
      <c r="GD78">
        <f t="shared" si="146"/>
        <v>0.35200000000000004</v>
      </c>
      <c r="GE78">
        <f t="shared" si="294"/>
        <v>113690.193</v>
      </c>
      <c r="GF78">
        <f t="shared" si="295"/>
        <v>5.1162379899122356E-3</v>
      </c>
      <c r="GG78">
        <f t="shared" si="147"/>
        <v>4.1830275468922613E-3</v>
      </c>
      <c r="GH78">
        <f t="shared" si="148"/>
        <v>1.2044507459371939E-2</v>
      </c>
      <c r="GI78">
        <f t="shared" si="149"/>
        <v>14.125035797537501</v>
      </c>
      <c r="GJ78">
        <f t="shared" si="256"/>
        <v>2.7506019611647439E-6</v>
      </c>
      <c r="GK78">
        <f t="shared" si="227"/>
        <v>2.7768507171097613E-2</v>
      </c>
      <c r="GL78">
        <f t="shared" si="311"/>
        <v>3157.0069396039717</v>
      </c>
      <c r="GM78">
        <f t="shared" si="228"/>
        <v>2.2100842481326579E-6</v>
      </c>
      <c r="GN78">
        <f t="shared" si="151"/>
        <v>5.9167554452265359E-4</v>
      </c>
      <c r="GO78">
        <f t="shared" si="152"/>
        <v>0.22862127319244113</v>
      </c>
      <c r="GQ78">
        <f t="shared" si="153"/>
        <v>27.402697558424727</v>
      </c>
      <c r="GR78">
        <f t="shared" si="154"/>
        <v>0.35200000000000004</v>
      </c>
      <c r="GS78">
        <f t="shared" si="296"/>
        <v>113690.193</v>
      </c>
      <c r="GT78">
        <f t="shared" si="297"/>
        <v>5.1162379899122356E-3</v>
      </c>
      <c r="GU78">
        <f t="shared" si="155"/>
        <v>4.1830275468922613E-3</v>
      </c>
      <c r="GV78">
        <f t="shared" si="156"/>
        <v>1.2044507459371939E-2</v>
      </c>
      <c r="GW78">
        <f t="shared" si="157"/>
        <v>14.125035797537501</v>
      </c>
      <c r="GX78">
        <f t="shared" si="257"/>
        <v>2.6778342063997659E-6</v>
      </c>
      <c r="GY78">
        <f t="shared" si="229"/>
        <v>2.6667051679876007E-2</v>
      </c>
      <c r="GZ78">
        <f t="shared" si="312"/>
        <v>3031.7822522260776</v>
      </c>
      <c r="HA78">
        <f t="shared" si="230"/>
        <v>2.165808551408958E-6</v>
      </c>
      <c r="HB78">
        <f t="shared" si="159"/>
        <v>5.6048682757649216E-4</v>
      </c>
      <c r="HC78">
        <f t="shared" si="160"/>
        <v>0.22257304921216012</v>
      </c>
      <c r="HE78">
        <f t="shared" si="161"/>
        <v>29.300391295157741</v>
      </c>
      <c r="HF78">
        <f t="shared" si="162"/>
        <v>0.35200000000000004</v>
      </c>
      <c r="HG78">
        <f t="shared" si="33"/>
        <v>113690.193</v>
      </c>
      <c r="HH78">
        <f t="shared" si="34"/>
        <v>5.1162379899122356E-3</v>
      </c>
      <c r="HI78">
        <f t="shared" si="263"/>
        <v>4.1830275468922613E-3</v>
      </c>
      <c r="HJ78">
        <f t="shared" si="164"/>
        <v>1.2044507459371939E-2</v>
      </c>
      <c r="HK78">
        <f t="shared" si="165"/>
        <v>14.125035797537501</v>
      </c>
      <c r="HL78">
        <f t="shared" si="258"/>
        <v>2.6083440070834287E-6</v>
      </c>
      <c r="HM78">
        <f t="shared" si="231"/>
        <v>2.5624504240805764E-2</v>
      </c>
      <c r="HN78">
        <f t="shared" si="166"/>
        <v>2913.2548326665255</v>
      </c>
      <c r="HO78">
        <f t="shared" si="232"/>
        <v>2.1230503734513774E-6</v>
      </c>
      <c r="HP78">
        <f t="shared" si="167"/>
        <v>5.3122472771873104E-4</v>
      </c>
      <c r="HQ78">
        <f t="shared" si="168"/>
        <v>0.21679724520038293</v>
      </c>
      <c r="HS78">
        <f t="shared" si="169"/>
        <v>31.198085031890759</v>
      </c>
      <c r="HT78">
        <f t="shared" si="170"/>
        <v>0.35200000000000004</v>
      </c>
      <c r="HU78">
        <f t="shared" si="35"/>
        <v>113690.193</v>
      </c>
      <c r="HV78">
        <f t="shared" si="36"/>
        <v>5.1162379899122356E-3</v>
      </c>
      <c r="HW78">
        <f t="shared" si="264"/>
        <v>4.1830275468922613E-3</v>
      </c>
      <c r="HX78">
        <f t="shared" si="172"/>
        <v>1.2044507459371939E-2</v>
      </c>
      <c r="HY78">
        <f t="shared" si="173"/>
        <v>14.125035797537501</v>
      </c>
      <c r="HZ78">
        <f t="shared" si="259"/>
        <v>2.5419384144444966E-6</v>
      </c>
      <c r="IA78">
        <f t="shared" si="233"/>
        <v>2.4637027289444335E-2</v>
      </c>
      <c r="IB78">
        <f t="shared" si="174"/>
        <v>2800.9883874831935</v>
      </c>
      <c r="IC78">
        <f t="shared" si="234"/>
        <v>2.08174109291613E-6</v>
      </c>
      <c r="ID78">
        <f t="shared" si="175"/>
        <v>5.0375315043005742E-4</v>
      </c>
      <c r="IE78">
        <f t="shared" si="176"/>
        <v>0.21127782386986715</v>
      </c>
      <c r="IG78">
        <f t="shared" si="177"/>
        <v>33.095778768623774</v>
      </c>
      <c r="IH78">
        <f t="shared" si="178"/>
        <v>0.35200000000000004</v>
      </c>
      <c r="II78">
        <f t="shared" si="37"/>
        <v>113690.193</v>
      </c>
      <c r="IJ78">
        <f t="shared" si="38"/>
        <v>5.1162379899122356E-3</v>
      </c>
      <c r="IK78">
        <f t="shared" si="265"/>
        <v>4.1830275468922613E-3</v>
      </c>
      <c r="IL78">
        <f t="shared" si="180"/>
        <v>1.2044507459371939E-2</v>
      </c>
      <c r="IM78">
        <f t="shared" si="181"/>
        <v>14.125035797537501</v>
      </c>
      <c r="IN78">
        <f t="shared" si="260"/>
        <v>2.4784379285768801E-6</v>
      </c>
      <c r="IO78">
        <f t="shared" si="235"/>
        <v>2.3701070681879752E-2</v>
      </c>
      <c r="IP78">
        <f t="shared" si="182"/>
        <v>2694.5793001295506</v>
      </c>
      <c r="IQ78">
        <f t="shared" si="236"/>
        <v>2.041815731460404E-6</v>
      </c>
      <c r="IR78">
        <f t="shared" si="183"/>
        <v>4.779467351410054E-4</v>
      </c>
      <c r="IS78">
        <f t="shared" si="184"/>
        <v>0.20599986576020099</v>
      </c>
      <c r="IU78">
        <f t="shared" si="185"/>
        <v>34.993472505356792</v>
      </c>
      <c r="IV78">
        <f t="shared" si="186"/>
        <v>0.35200000000000004</v>
      </c>
      <c r="IW78">
        <f t="shared" si="39"/>
        <v>113690.193</v>
      </c>
      <c r="IX78">
        <f t="shared" si="40"/>
        <v>5.1162379899122356E-3</v>
      </c>
      <c r="IY78">
        <f t="shared" si="266"/>
        <v>4.1830275468922613E-3</v>
      </c>
      <c r="IZ78">
        <f t="shared" si="188"/>
        <v>1.2044507459371939E-2</v>
      </c>
      <c r="JA78">
        <f t="shared" si="189"/>
        <v>14.125035797537501</v>
      </c>
      <c r="JB78">
        <f t="shared" si="261"/>
        <v>2.4176754421950931E-6</v>
      </c>
      <c r="JC78">
        <f t="shared" si="237"/>
        <v>2.2813347832783357E-2</v>
      </c>
      <c r="JD78">
        <f t="shared" si="190"/>
        <v>2593.6539180852715</v>
      </c>
      <c r="JE78">
        <f t="shared" si="238"/>
        <v>2.0032127417509765E-6</v>
      </c>
      <c r="JF78">
        <f t="shared" si="191"/>
        <v>4.5368993107362799E-4</v>
      </c>
      <c r="JG78">
        <f t="shared" si="192"/>
        <v>0.20094948144612157</v>
      </c>
      <c r="JI78">
        <f t="shared" si="193"/>
        <v>36.891166242089803</v>
      </c>
      <c r="JJ78">
        <f t="shared" si="194"/>
        <v>0.35200000000000004</v>
      </c>
      <c r="JK78">
        <f t="shared" si="41"/>
        <v>113690.193</v>
      </c>
      <c r="JL78">
        <f t="shared" si="42"/>
        <v>5.1162379899122356E-3</v>
      </c>
      <c r="JM78">
        <f t="shared" si="267"/>
        <v>4.1830275468922613E-3</v>
      </c>
      <c r="JN78">
        <f t="shared" si="196"/>
        <v>1.2044507459371939E-2</v>
      </c>
      <c r="JO78">
        <f t="shared" si="197"/>
        <v>14.125035797537501</v>
      </c>
      <c r="JP78">
        <f t="shared" si="262"/>
        <v>2.35949527511776E-6</v>
      </c>
      <c r="JQ78">
        <f t="shared" si="239"/>
        <v>2.1970813995697943E-2</v>
      </c>
      <c r="JR78">
        <f t="shared" si="198"/>
        <v>2497.8660835380001</v>
      </c>
      <c r="JS78">
        <f t="shared" si="240"/>
        <v>1.9658738083449961E-6</v>
      </c>
      <c r="JT78">
        <f t="shared" si="199"/>
        <v>4.3087615830779554E-4</v>
      </c>
      <c r="JU78">
        <f t="shared" si="200"/>
        <v>0.19611373128685955</v>
      </c>
    </row>
    <row r="79" spans="2:281">
      <c r="B79">
        <v>0.45</v>
      </c>
      <c r="C79">
        <f t="shared" si="43"/>
        <v>0.85396218152985648</v>
      </c>
      <c r="D79">
        <f t="shared" si="44"/>
        <v>0.36</v>
      </c>
      <c r="E79">
        <f t="shared" si="268"/>
        <v>113505.76500000001</v>
      </c>
      <c r="F79">
        <f t="shared" si="269"/>
        <v>5.1190075025403878E-3</v>
      </c>
      <c r="G79">
        <f t="shared" si="45"/>
        <v>4.1818958319093493E-3</v>
      </c>
      <c r="H79">
        <f t="shared" si="46"/>
        <v>1.2064077781828397E-2</v>
      </c>
      <c r="I79">
        <f t="shared" si="47"/>
        <v>14.140332213822395</v>
      </c>
      <c r="J79">
        <f t="shared" si="241"/>
        <v>4.1145908821974892E-6</v>
      </c>
      <c r="K79">
        <f t="shared" si="201"/>
        <v>5.0597057589755939E-2</v>
      </c>
      <c r="L79">
        <f t="shared" si="298"/>
        <v>5743.0577284743049</v>
      </c>
      <c r="M79">
        <f t="shared" si="202"/>
        <v>2.9808673617673794E-6</v>
      </c>
      <c r="N79">
        <f t="shared" si="203"/>
        <v>1.2420337211892683E-3</v>
      </c>
      <c r="O79">
        <f t="shared" si="49"/>
        <v>0.34199168743254543</v>
      </c>
      <c r="Q79">
        <f t="shared" si="50"/>
        <v>2.751655918262871</v>
      </c>
      <c r="R79">
        <f t="shared" si="51"/>
        <v>0.36</v>
      </c>
      <c r="S79">
        <f t="shared" si="270"/>
        <v>113505.76500000001</v>
      </c>
      <c r="T79">
        <f t="shared" si="271"/>
        <v>5.1190075025403878E-3</v>
      </c>
      <c r="U79">
        <f t="shared" si="52"/>
        <v>4.1818958319093493E-3</v>
      </c>
      <c r="V79">
        <f t="shared" si="53"/>
        <v>1.2064077781828397E-2</v>
      </c>
      <c r="W79">
        <f t="shared" si="54"/>
        <v>14.140332213822395</v>
      </c>
      <c r="X79">
        <f t="shared" si="242"/>
        <v>3.9729218545759642E-6</v>
      </c>
      <c r="Y79">
        <f t="shared" si="204"/>
        <v>4.8147109704184093E-2</v>
      </c>
      <c r="Z79">
        <f t="shared" si="299"/>
        <v>5464.9745195123396</v>
      </c>
      <c r="AA79">
        <f t="shared" si="205"/>
        <v>2.9078040136733556E-6</v>
      </c>
      <c r="AB79">
        <f t="shared" si="56"/>
        <v>1.1668738026529273E-3</v>
      </c>
      <c r="AC79">
        <f t="shared" si="57"/>
        <v>0.33021660913184753</v>
      </c>
      <c r="AE79">
        <f t="shared" si="58"/>
        <v>4.6493496549958859</v>
      </c>
      <c r="AF79">
        <f t="shared" si="59"/>
        <v>0.36</v>
      </c>
      <c r="AG79">
        <f t="shared" si="272"/>
        <v>113505.76500000001</v>
      </c>
      <c r="AH79">
        <f t="shared" si="273"/>
        <v>5.1190075025403878E-3</v>
      </c>
      <c r="AI79">
        <f t="shared" si="60"/>
        <v>4.1818958319093493E-3</v>
      </c>
      <c r="AJ79">
        <f t="shared" si="61"/>
        <v>1.2064077781828397E-2</v>
      </c>
      <c r="AK79">
        <f t="shared" si="62"/>
        <v>14.140332213822395</v>
      </c>
      <c r="AL79">
        <f t="shared" si="243"/>
        <v>3.8389751057927811E-6</v>
      </c>
      <c r="AM79">
        <f t="shared" si="206"/>
        <v>4.585151704515212E-2</v>
      </c>
      <c r="AN79">
        <f t="shared" si="300"/>
        <v>5204.4115186205318</v>
      </c>
      <c r="AO79">
        <f t="shared" si="207"/>
        <v>2.8376372443961803E-6</v>
      </c>
      <c r="AP79">
        <f t="shared" si="64"/>
        <v>1.0970006070671384E-3</v>
      </c>
      <c r="AQ79">
        <f t="shared" si="65"/>
        <v>0.31908338204949932</v>
      </c>
      <c r="AS79">
        <f t="shared" si="66"/>
        <v>6.5470433917289004</v>
      </c>
      <c r="AT79">
        <f t="shared" si="67"/>
        <v>0.36</v>
      </c>
      <c r="AU79">
        <f t="shared" si="274"/>
        <v>113505.76500000001</v>
      </c>
      <c r="AV79">
        <f t="shared" si="275"/>
        <v>5.1190075025403878E-3</v>
      </c>
      <c r="AW79">
        <f t="shared" si="68"/>
        <v>4.1818958319093493E-3</v>
      </c>
      <c r="AX79">
        <f t="shared" si="69"/>
        <v>1.2064077781828397E-2</v>
      </c>
      <c r="AY79">
        <f t="shared" si="70"/>
        <v>14.140332213822395</v>
      </c>
      <c r="AZ79">
        <f t="shared" si="244"/>
        <v>3.7122235654176834E-6</v>
      </c>
      <c r="BA79">
        <f t="shared" si="208"/>
        <v>4.3698780890694192E-2</v>
      </c>
      <c r="BB79">
        <f t="shared" si="301"/>
        <v>4960.063554565626</v>
      </c>
      <c r="BC79">
        <f t="shared" si="209"/>
        <v>2.7702226867567652E-6</v>
      </c>
      <c r="BD79">
        <f t="shared" si="72"/>
        <v>1.0319948696512087E-3</v>
      </c>
      <c r="BE79">
        <f t="shared" si="73"/>
        <v>0.30854819777027809</v>
      </c>
      <c r="BG79">
        <f t="shared" si="74"/>
        <v>8.4447371284619148</v>
      </c>
      <c r="BH79">
        <f t="shared" si="75"/>
        <v>0.36</v>
      </c>
      <c r="BI79">
        <f t="shared" si="276"/>
        <v>113505.76500000001</v>
      </c>
      <c r="BJ79">
        <f t="shared" si="277"/>
        <v>5.1190075025403878E-3</v>
      </c>
      <c r="BK79">
        <f t="shared" si="76"/>
        <v>4.1818958319093493E-3</v>
      </c>
      <c r="BL79">
        <f t="shared" si="77"/>
        <v>1.2064077781828397E-2</v>
      </c>
      <c r="BM79">
        <f t="shared" si="78"/>
        <v>14.140332213822395</v>
      </c>
      <c r="BN79">
        <f t="shared" si="245"/>
        <v>3.5921815645347871E-6</v>
      </c>
      <c r="BO79">
        <f t="shared" si="210"/>
        <v>4.1678363553941659E-2</v>
      </c>
      <c r="BP79">
        <f t="shared" si="302"/>
        <v>4730.7345391382678</v>
      </c>
      <c r="BQ79">
        <f t="shared" si="211"/>
        <v>2.705424074528966E-6</v>
      </c>
      <c r="BR79">
        <f t="shared" si="80"/>
        <v>9.7147380755278402E-4</v>
      </c>
      <c r="BS79">
        <f t="shared" si="81"/>
        <v>0.29857068904095446</v>
      </c>
      <c r="BU79">
        <f t="shared" si="82"/>
        <v>10.342430865194929</v>
      </c>
      <c r="BV79">
        <f t="shared" si="83"/>
        <v>0.36</v>
      </c>
      <c r="BW79">
        <f t="shared" si="278"/>
        <v>113505.76500000001</v>
      </c>
      <c r="BX79">
        <f t="shared" si="279"/>
        <v>5.1190075025403878E-3</v>
      </c>
      <c r="BY79">
        <f t="shared" si="84"/>
        <v>4.1818958319093493E-3</v>
      </c>
      <c r="BZ79">
        <f t="shared" si="85"/>
        <v>1.2064077781828397E-2</v>
      </c>
      <c r="CA79">
        <f t="shared" si="86"/>
        <v>14.140332213822395</v>
      </c>
      <c r="CB79">
        <f t="shared" si="246"/>
        <v>3.4784012492560625E-6</v>
      </c>
      <c r="CC79">
        <f t="shared" si="247"/>
        <v>3.978060116018E-2</v>
      </c>
      <c r="CD79">
        <f t="shared" si="303"/>
        <v>4515.3275668461192</v>
      </c>
      <c r="CE79">
        <f t="shared" si="248"/>
        <v>2.6431127637698411E-6</v>
      </c>
      <c r="CF79">
        <f t="shared" si="212"/>
        <v>9.1508771512600483E-4</v>
      </c>
      <c r="CG79">
        <f t="shared" si="88"/>
        <v>0.28911363167295767</v>
      </c>
      <c r="CI79">
        <f t="shared" si="89"/>
        <v>12.240124601927944</v>
      </c>
      <c r="CJ79">
        <f t="shared" si="90"/>
        <v>0.36</v>
      </c>
      <c r="CK79">
        <f t="shared" si="280"/>
        <v>113505.76500000001</v>
      </c>
      <c r="CL79">
        <f t="shared" si="281"/>
        <v>5.1190075025403878E-3</v>
      </c>
      <c r="CM79">
        <f t="shared" si="91"/>
        <v>4.1818958319093493E-3</v>
      </c>
      <c r="CN79">
        <f t="shared" si="92"/>
        <v>1.2064077781828397E-2</v>
      </c>
      <c r="CO79">
        <f t="shared" si="93"/>
        <v>14.140332213822395</v>
      </c>
      <c r="CP79">
        <f t="shared" si="249"/>
        <v>3.3704693279133391E-6</v>
      </c>
      <c r="CQ79">
        <f t="shared" si="213"/>
        <v>3.7996624830323275E-2</v>
      </c>
      <c r="CR79">
        <f t="shared" si="304"/>
        <v>4312.8359687838392</v>
      </c>
      <c r="CS79">
        <f t="shared" si="214"/>
        <v>2.5831672823345676E-6</v>
      </c>
      <c r="CT79">
        <f t="shared" si="95"/>
        <v>8.6251689388886226E-4</v>
      </c>
      <c r="CU79">
        <f t="shared" si="96"/>
        <v>0.28014267417933658</v>
      </c>
      <c r="CW79">
        <f t="shared" si="97"/>
        <v>14.137818338660958</v>
      </c>
      <c r="CX79">
        <f t="shared" si="98"/>
        <v>0.36</v>
      </c>
      <c r="CY79">
        <f t="shared" si="282"/>
        <v>113505.76500000001</v>
      </c>
      <c r="CZ79">
        <f t="shared" si="283"/>
        <v>5.1190075025403878E-3</v>
      </c>
      <c r="DA79">
        <f t="shared" si="99"/>
        <v>4.1818958319093493E-3</v>
      </c>
      <c r="DB79">
        <f t="shared" si="100"/>
        <v>1.2064077781828397E-2</v>
      </c>
      <c r="DC79">
        <f t="shared" si="101"/>
        <v>14.140332213822395</v>
      </c>
      <c r="DD79">
        <f t="shared" si="250"/>
        <v>3.2680041192099457E-6</v>
      </c>
      <c r="DE79">
        <f t="shared" si="215"/>
        <v>3.6318289424785148E-2</v>
      </c>
      <c r="DF79">
        <f t="shared" si="305"/>
        <v>4122.3352246516488</v>
      </c>
      <c r="DG79">
        <f t="shared" si="216"/>
        <v>2.5254729060261991E-6</v>
      </c>
      <c r="DH79">
        <f t="shared" si="103"/>
        <v>8.1346888301294979E-4</v>
      </c>
      <c r="DI79">
        <f t="shared" si="104"/>
        <v>0.27162609242652658</v>
      </c>
      <c r="DK79">
        <f t="shared" si="105"/>
        <v>16.035512075393971</v>
      </c>
      <c r="DL79">
        <f t="shared" si="106"/>
        <v>0.36</v>
      </c>
      <c r="DM79">
        <f t="shared" si="284"/>
        <v>113505.76500000001</v>
      </c>
      <c r="DN79">
        <f t="shared" si="285"/>
        <v>5.1190075025403878E-3</v>
      </c>
      <c r="DO79">
        <f t="shared" si="107"/>
        <v>4.1818958319093493E-3</v>
      </c>
      <c r="DP79">
        <f t="shared" si="108"/>
        <v>1.2064077781828397E-2</v>
      </c>
      <c r="DQ79">
        <f t="shared" si="109"/>
        <v>14.140332213822395</v>
      </c>
      <c r="DR79">
        <f t="shared" si="251"/>
        <v>3.1706528719448291E-6</v>
      </c>
      <c r="DS79">
        <f t="shared" si="217"/>
        <v>3.4738109089432603E-2</v>
      </c>
      <c r="DT79">
        <f t="shared" si="306"/>
        <v>3942.9756468495016</v>
      </c>
      <c r="DU79">
        <f t="shared" si="218"/>
        <v>2.4699212599019863E-6</v>
      </c>
      <c r="DV79">
        <f t="shared" si="111"/>
        <v>7.6767595977045766E-4</v>
      </c>
      <c r="DW79">
        <f t="shared" si="112"/>
        <v>0.26353456685835658</v>
      </c>
      <c r="DY79">
        <f t="shared" si="113"/>
        <v>17.933205812126985</v>
      </c>
      <c r="DZ79">
        <f t="shared" si="114"/>
        <v>0.36</v>
      </c>
      <c r="EA79">
        <f t="shared" si="286"/>
        <v>113505.76500000001</v>
      </c>
      <c r="EB79">
        <f t="shared" si="287"/>
        <v>5.1190075025403878E-3</v>
      </c>
      <c r="EC79">
        <f t="shared" si="115"/>
        <v>4.1818958319093493E-3</v>
      </c>
      <c r="ED79">
        <f t="shared" si="116"/>
        <v>1.2064077781828397E-2</v>
      </c>
      <c r="EE79">
        <f t="shared" si="117"/>
        <v>14.140332213822395</v>
      </c>
      <c r="EF79">
        <f t="shared" si="252"/>
        <v>3.0780893299056929E-6</v>
      </c>
      <c r="EG79">
        <f t="shared" si="219"/>
        <v>3.3249198923755982E-2</v>
      </c>
      <c r="EH79">
        <f t="shared" si="307"/>
        <v>3773.9757594780999</v>
      </c>
      <c r="EI79">
        <f t="shared" si="220"/>
        <v>2.4164099433272415E-6</v>
      </c>
      <c r="EJ79">
        <f t="shared" si="119"/>
        <v>7.2489288255613048E-4</v>
      </c>
      <c r="EK79">
        <f t="shared" si="120"/>
        <v>0.25584098009772316</v>
      </c>
      <c r="EM79">
        <f t="shared" si="121"/>
        <v>19.83089954886</v>
      </c>
      <c r="EN79">
        <f t="shared" si="122"/>
        <v>0.36</v>
      </c>
      <c r="EO79">
        <f t="shared" si="288"/>
        <v>113505.76500000001</v>
      </c>
      <c r="EP79">
        <f t="shared" si="289"/>
        <v>5.1190075025403878E-3</v>
      </c>
      <c r="EQ79">
        <f t="shared" si="123"/>
        <v>4.1818958319093493E-3</v>
      </c>
      <c r="ER79">
        <f t="shared" si="124"/>
        <v>1.2064077781828397E-2</v>
      </c>
      <c r="ES79">
        <f t="shared" si="125"/>
        <v>14.140332213822395</v>
      </c>
      <c r="ET79">
        <f t="shared" si="253"/>
        <v>2.9900115182003007E-6</v>
      </c>
      <c r="EU79">
        <f t="shared" si="221"/>
        <v>3.1845222161563859E-2</v>
      </c>
      <c r="EV79">
        <f t="shared" si="308"/>
        <v>3614.6163030432599</v>
      </c>
      <c r="EW79">
        <f t="shared" si="222"/>
        <v>2.3648421774349449E-6</v>
      </c>
      <c r="EX79">
        <f t="shared" si="127"/>
        <v>6.8489485195619528E-4</v>
      </c>
      <c r="EY79">
        <f t="shared" si="128"/>
        <v>0.2485202329535002</v>
      </c>
      <c r="FA79">
        <f t="shared" si="129"/>
        <v>21.728593285593014</v>
      </c>
      <c r="FB79">
        <f t="shared" si="130"/>
        <v>0.36</v>
      </c>
      <c r="FC79">
        <f t="shared" si="290"/>
        <v>113505.76500000001</v>
      </c>
      <c r="FD79">
        <f t="shared" si="291"/>
        <v>5.1190075025403878E-3</v>
      </c>
      <c r="FE79">
        <f t="shared" si="131"/>
        <v>4.1818958319093493E-3</v>
      </c>
      <c r="FF79">
        <f t="shared" si="132"/>
        <v>1.2064077781828397E-2</v>
      </c>
      <c r="FG79">
        <f t="shared" si="133"/>
        <v>14.140332213822395</v>
      </c>
      <c r="FH79">
        <f t="shared" si="254"/>
        <v>2.9061397296894328E-6</v>
      </c>
      <c r="FI79">
        <f t="shared" si="223"/>
        <v>3.0520342317294228E-2</v>
      </c>
      <c r="FJ79">
        <f t="shared" si="309"/>
        <v>3464.2348027863545</v>
      </c>
      <c r="FK79">
        <f t="shared" si="224"/>
        <v>2.3151264737143887E-6</v>
      </c>
      <c r="FL79">
        <f t="shared" si="135"/>
        <v>6.474756678880437E-4</v>
      </c>
      <c r="FM79">
        <f t="shared" si="136"/>
        <v>0.24154907705926015</v>
      </c>
      <c r="FO79">
        <f t="shared" si="137"/>
        <v>23.626287022326029</v>
      </c>
      <c r="FP79">
        <f t="shared" si="138"/>
        <v>0.36</v>
      </c>
      <c r="FQ79">
        <f t="shared" si="292"/>
        <v>113505.76500000001</v>
      </c>
      <c r="FR79">
        <f t="shared" si="293"/>
        <v>5.1190075025403878E-3</v>
      </c>
      <c r="FS79">
        <f t="shared" si="139"/>
        <v>4.1818958319093493E-3</v>
      </c>
      <c r="FT79">
        <f t="shared" si="140"/>
        <v>1.2064077781828397E-2</v>
      </c>
      <c r="FU79">
        <f t="shared" si="141"/>
        <v>14.140332213822395</v>
      </c>
      <c r="FV79">
        <f t="shared" si="255"/>
        <v>2.8262146923308677E-6</v>
      </c>
      <c r="FW79">
        <f t="shared" si="225"/>
        <v>2.926917980721E-2</v>
      </c>
      <c r="FX79">
        <f t="shared" si="310"/>
        <v>3322.2206449399241</v>
      </c>
      <c r="FY79">
        <f t="shared" si="226"/>
        <v>2.2671763225151362E-6</v>
      </c>
      <c r="FZ79">
        <f t="shared" si="143"/>
        <v>6.1244606311633746E-4</v>
      </c>
      <c r="GA79">
        <f t="shared" si="144"/>
        <v>0.23490596254874369</v>
      </c>
      <c r="GC79">
        <f t="shared" si="145"/>
        <v>25.523980759059043</v>
      </c>
      <c r="GD79">
        <f t="shared" si="146"/>
        <v>0.36</v>
      </c>
      <c r="GE79">
        <f t="shared" si="294"/>
        <v>113505.76500000001</v>
      </c>
      <c r="GF79">
        <f t="shared" si="295"/>
        <v>5.1190075025403878E-3</v>
      </c>
      <c r="GG79">
        <f t="shared" si="147"/>
        <v>4.1818958319093493E-3</v>
      </c>
      <c r="GH79">
        <f t="shared" si="148"/>
        <v>1.2064077781828397E-2</v>
      </c>
      <c r="GI79">
        <f t="shared" si="149"/>
        <v>14.140332213822395</v>
      </c>
      <c r="GJ79">
        <f t="shared" si="256"/>
        <v>2.7499959001669145E-6</v>
      </c>
      <c r="GK79">
        <f t="shared" si="227"/>
        <v>2.8086772605018955E-2</v>
      </c>
      <c r="GL79">
        <f t="shared" si="311"/>
        <v>3188.0106109137196</v>
      </c>
      <c r="GM79">
        <f t="shared" si="228"/>
        <v>2.2209099003134311E-6</v>
      </c>
      <c r="GN79">
        <f t="shared" si="151"/>
        <v>5.7963219549142032E-4</v>
      </c>
      <c r="GO79">
        <f t="shared" si="152"/>
        <v>0.22857089933285973</v>
      </c>
      <c r="GQ79">
        <f t="shared" si="153"/>
        <v>27.421674495792058</v>
      </c>
      <c r="GR79">
        <f t="shared" si="154"/>
        <v>0.36</v>
      </c>
      <c r="GS79">
        <f t="shared" si="296"/>
        <v>113505.76500000001</v>
      </c>
      <c r="GT79">
        <f t="shared" si="297"/>
        <v>5.1190075025403878E-3</v>
      </c>
      <c r="GU79">
        <f t="shared" si="155"/>
        <v>4.1818958319093493E-3</v>
      </c>
      <c r="GV79">
        <f t="shared" si="156"/>
        <v>1.2064077781828397E-2</v>
      </c>
      <c r="GW79">
        <f t="shared" si="157"/>
        <v>14.140332213822395</v>
      </c>
      <c r="GX79">
        <f t="shared" si="257"/>
        <v>2.6772600924125714E-6</v>
      </c>
      <c r="GY79">
        <f t="shared" si="229"/>
        <v>2.696854053645828E-2</v>
      </c>
      <c r="GZ79">
        <f t="shared" si="312"/>
        <v>3061.0848245242078</v>
      </c>
      <c r="HA79">
        <f t="shared" si="230"/>
        <v>2.1762497946470409E-6</v>
      </c>
      <c r="HB79">
        <f t="shared" si="159"/>
        <v>5.4887428308075413E-4</v>
      </c>
      <c r="HC79">
        <f t="shared" si="160"/>
        <v>0.22252533068633809</v>
      </c>
      <c r="HE79">
        <f t="shared" si="161"/>
        <v>29.319368232525072</v>
      </c>
      <c r="HF79">
        <f t="shared" si="162"/>
        <v>0.36</v>
      </c>
      <c r="HG79">
        <f t="shared" si="33"/>
        <v>113505.76500000001</v>
      </c>
      <c r="HH79">
        <f t="shared" si="34"/>
        <v>5.1190075025403878E-3</v>
      </c>
      <c r="HI79">
        <f t="shared" si="263"/>
        <v>4.1818958319093493E-3</v>
      </c>
      <c r="HJ79">
        <f t="shared" si="164"/>
        <v>1.2064077781828397E-2</v>
      </c>
      <c r="HK79">
        <f t="shared" si="165"/>
        <v>14.140332213822395</v>
      </c>
      <c r="HL79">
        <f t="shared" si="258"/>
        <v>2.6077998666477909E-6</v>
      </c>
      <c r="HM79">
        <f t="shared" si="231"/>
        <v>2.5910252857665617E-2</v>
      </c>
      <c r="HN79">
        <f t="shared" si="166"/>
        <v>2940.9630719527722</v>
      </c>
      <c r="HO79">
        <f t="shared" si="232"/>
        <v>2.1331227456811235E-6</v>
      </c>
      <c r="HP79">
        <f t="shared" si="167"/>
        <v>5.2002536799622032E-4</v>
      </c>
      <c r="HQ79">
        <f t="shared" si="168"/>
        <v>0.21675201798068797</v>
      </c>
      <c r="HS79">
        <f t="shared" si="169"/>
        <v>31.217061969258086</v>
      </c>
      <c r="HT79">
        <f t="shared" si="170"/>
        <v>0.36</v>
      </c>
      <c r="HU79">
        <f t="shared" si="35"/>
        <v>113505.76500000001</v>
      </c>
      <c r="HV79">
        <f t="shared" si="36"/>
        <v>5.1190075025403878E-3</v>
      </c>
      <c r="HW79">
        <f t="shared" si="264"/>
        <v>4.1818958319093493E-3</v>
      </c>
      <c r="HX79">
        <f t="shared" si="172"/>
        <v>1.2064077781828397E-2</v>
      </c>
      <c r="HY79">
        <f t="shared" si="173"/>
        <v>14.140332213822395</v>
      </c>
      <c r="HZ79">
        <f t="shared" si="259"/>
        <v>2.5414224135047323E-6</v>
      </c>
      <c r="IA79">
        <f t="shared" si="233"/>
        <v>2.490799879822992E-2</v>
      </c>
      <c r="IB79">
        <f t="shared" si="174"/>
        <v>2827.2014582121683</v>
      </c>
      <c r="IC79">
        <f t="shared" si="234"/>
        <v>2.0914594034223099E-6</v>
      </c>
      <c r="ID79">
        <f t="shared" si="175"/>
        <v>4.9295019618025805E-4</v>
      </c>
      <c r="IE79">
        <f t="shared" si="176"/>
        <v>0.21123493551543313</v>
      </c>
      <c r="IG79">
        <f t="shared" si="177"/>
        <v>33.114755705991101</v>
      </c>
      <c r="IH79">
        <f t="shared" si="178"/>
        <v>0.36</v>
      </c>
      <c r="II79">
        <f t="shared" si="37"/>
        <v>113505.76500000001</v>
      </c>
      <c r="IJ79">
        <f t="shared" si="38"/>
        <v>5.1190075025403878E-3</v>
      </c>
      <c r="IK79">
        <f t="shared" si="265"/>
        <v>4.1818958319093493E-3</v>
      </c>
      <c r="IL79">
        <f t="shared" si="180"/>
        <v>1.2064077781828397E-2</v>
      </c>
      <c r="IM79">
        <f t="shared" si="181"/>
        <v>14.140332213822395</v>
      </c>
      <c r="IN79">
        <f t="shared" si="260"/>
        <v>2.4779483614857768E-6</v>
      </c>
      <c r="IO79">
        <f t="shared" si="235"/>
        <v>2.3958160782119795E-2</v>
      </c>
      <c r="IP79">
        <f t="shared" si="182"/>
        <v>2719.3893675675058</v>
      </c>
      <c r="IQ79">
        <f t="shared" si="236"/>
        <v>2.0511940996506444E-6</v>
      </c>
      <c r="IR79">
        <f t="shared" si="183"/>
        <v>4.6752420172017082E-4</v>
      </c>
      <c r="IS79">
        <f t="shared" si="184"/>
        <v>0.20595917450306478</v>
      </c>
      <c r="IU79">
        <f t="shared" si="185"/>
        <v>35.012449442724112</v>
      </c>
      <c r="IV79">
        <f t="shared" si="186"/>
        <v>0.36</v>
      </c>
      <c r="IW79">
        <f t="shared" si="39"/>
        <v>113505.76500000001</v>
      </c>
      <c r="IX79">
        <f t="shared" si="40"/>
        <v>5.1190075025403878E-3</v>
      </c>
      <c r="IY79">
        <f t="shared" si="266"/>
        <v>4.1818958319093493E-3</v>
      </c>
      <c r="IZ79">
        <f t="shared" si="188"/>
        <v>1.2064077781828397E-2</v>
      </c>
      <c r="JA79">
        <f t="shared" si="189"/>
        <v>14.140332213822395</v>
      </c>
      <c r="JB79">
        <f t="shared" si="261"/>
        <v>2.4172107216656122E-6</v>
      </c>
      <c r="JC79">
        <f t="shared" si="237"/>
        <v>2.305739006862615E-2</v>
      </c>
      <c r="JD79">
        <f t="shared" si="190"/>
        <v>2617.146698642814</v>
      </c>
      <c r="JE79">
        <f t="shared" si="238"/>
        <v>2.0122646336894049E-6</v>
      </c>
      <c r="JF79">
        <f t="shared" si="191"/>
        <v>4.4363258542904255E-4</v>
      </c>
      <c r="JG79">
        <f t="shared" si="192"/>
        <v>0.2009108553560407</v>
      </c>
      <c r="JI79">
        <f t="shared" si="193"/>
        <v>36.91014317945713</v>
      </c>
      <c r="JJ79">
        <f t="shared" si="194"/>
        <v>0.36</v>
      </c>
      <c r="JK79">
        <f t="shared" si="41"/>
        <v>113505.76500000001</v>
      </c>
      <c r="JL79">
        <f t="shared" si="42"/>
        <v>5.1190075025403878E-3</v>
      </c>
      <c r="JM79">
        <f t="shared" si="267"/>
        <v>4.1818958319093493E-3</v>
      </c>
      <c r="JN79">
        <f t="shared" si="196"/>
        <v>1.2064077781828397E-2</v>
      </c>
      <c r="JO79">
        <f t="shared" si="197"/>
        <v>14.140332213822395</v>
      </c>
      <c r="JP79">
        <f t="shared" si="262"/>
        <v>2.3590539230340675E-6</v>
      </c>
      <c r="JQ79">
        <f t="shared" si="239"/>
        <v>2.2202584581384056E-2</v>
      </c>
      <c r="JR79">
        <f t="shared" si="198"/>
        <v>2520.1213478872023</v>
      </c>
      <c r="JS79">
        <f t="shared" si="240"/>
        <v>1.9746120711810088E-6</v>
      </c>
      <c r="JT79">
        <f t="shared" si="199"/>
        <v>4.2116947847813791E-4</v>
      </c>
      <c r="JU79">
        <f t="shared" si="200"/>
        <v>0.19607704750755431</v>
      </c>
    </row>
    <row r="80" spans="2:281">
      <c r="B80">
        <v>0.46</v>
      </c>
      <c r="C80">
        <f t="shared" si="43"/>
        <v>0.87293911889718667</v>
      </c>
      <c r="D80">
        <f t="shared" si="44"/>
        <v>0.36800000000000005</v>
      </c>
      <c r="E80">
        <f t="shared" si="268"/>
        <v>113321.337</v>
      </c>
      <c r="F80">
        <f t="shared" si="269"/>
        <v>5.1217830216738359E-3</v>
      </c>
      <c r="G80">
        <f t="shared" si="45"/>
        <v>4.1807625835136404E-3</v>
      </c>
      <c r="H80">
        <f t="shared" si="46"/>
        <v>1.2083711804829266E-2</v>
      </c>
      <c r="I80">
        <f t="shared" si="47"/>
        <v>14.155670109836343</v>
      </c>
      <c r="J80">
        <f t="shared" si="241"/>
        <v>4.1133186508143093E-6</v>
      </c>
      <c r="K80">
        <f t="shared" si="201"/>
        <v>5.1265154158692455E-2</v>
      </c>
      <c r="L80">
        <f t="shared" si="298"/>
        <v>5809.4358107741391</v>
      </c>
      <c r="M80">
        <f t="shared" si="202"/>
        <v>2.9980442578986548E-6</v>
      </c>
      <c r="N80">
        <f t="shared" si="203"/>
        <v>1.2228158976632067E-3</v>
      </c>
      <c r="O80">
        <f t="shared" si="49"/>
        <v>0.34188594361256547</v>
      </c>
      <c r="Q80">
        <f t="shared" si="50"/>
        <v>2.7706328556302009</v>
      </c>
      <c r="R80">
        <f t="shared" si="51"/>
        <v>0.36800000000000005</v>
      </c>
      <c r="S80">
        <f t="shared" si="270"/>
        <v>113321.337</v>
      </c>
      <c r="T80">
        <f t="shared" si="271"/>
        <v>5.1217830216738359E-3</v>
      </c>
      <c r="U80">
        <f t="shared" si="52"/>
        <v>4.1807625835136404E-3</v>
      </c>
      <c r="V80">
        <f t="shared" si="53"/>
        <v>1.2083711804829266E-2</v>
      </c>
      <c r="W80">
        <f t="shared" si="54"/>
        <v>14.155670109836343</v>
      </c>
      <c r="X80">
        <f t="shared" si="242"/>
        <v>3.9717266104802374E-6</v>
      </c>
      <c r="Y80">
        <f t="shared" si="204"/>
        <v>4.8774777351716113E-2</v>
      </c>
      <c r="Z80">
        <f t="shared" si="299"/>
        <v>5527.2229813737895</v>
      </c>
      <c r="AA80">
        <f t="shared" si="205"/>
        <v>2.9243177051809367E-6</v>
      </c>
      <c r="AB80">
        <f t="shared" si="56"/>
        <v>1.1484064091220141E-3</v>
      </c>
      <c r="AC80">
        <f t="shared" si="57"/>
        <v>0.33011726424996385</v>
      </c>
      <c r="AE80">
        <f t="shared" si="58"/>
        <v>4.6683265923632158</v>
      </c>
      <c r="AF80">
        <f t="shared" si="59"/>
        <v>0.36800000000000005</v>
      </c>
      <c r="AG80">
        <f t="shared" si="272"/>
        <v>113321.337</v>
      </c>
      <c r="AH80">
        <f t="shared" si="273"/>
        <v>5.1217830216738359E-3</v>
      </c>
      <c r="AI80">
        <f t="shared" si="60"/>
        <v>4.1807625835136404E-3</v>
      </c>
      <c r="AJ80">
        <f t="shared" si="61"/>
        <v>1.2083711804829266E-2</v>
      </c>
      <c r="AK80">
        <f t="shared" si="62"/>
        <v>14.155670109836343</v>
      </c>
      <c r="AL80">
        <f t="shared" si="243"/>
        <v>3.8378514337250522E-6</v>
      </c>
      <c r="AM80">
        <f t="shared" si="206"/>
        <v>4.6441599527776704E-2</v>
      </c>
      <c r="AN80">
        <f t="shared" si="300"/>
        <v>5262.8241509062245</v>
      </c>
      <c r="AO80">
        <f t="shared" si="207"/>
        <v>2.8535171724383602E-6</v>
      </c>
      <c r="AP80">
        <f t="shared" si="64"/>
        <v>1.0792497263110439E-3</v>
      </c>
      <c r="AQ80">
        <f t="shared" si="65"/>
        <v>0.31898998600659595</v>
      </c>
      <c r="AS80">
        <f t="shared" si="66"/>
        <v>6.5660203290962302</v>
      </c>
      <c r="AT80">
        <f t="shared" si="67"/>
        <v>0.36800000000000005</v>
      </c>
      <c r="AU80">
        <f t="shared" si="274"/>
        <v>113321.337</v>
      </c>
      <c r="AV80">
        <f t="shared" si="275"/>
        <v>5.1217830216738359E-3</v>
      </c>
      <c r="AW80">
        <f t="shared" si="68"/>
        <v>4.1807625835136404E-3</v>
      </c>
      <c r="AX80">
        <f t="shared" si="69"/>
        <v>1.2083711804829266E-2</v>
      </c>
      <c r="AY80">
        <f t="shared" si="70"/>
        <v>14.155670109836343</v>
      </c>
      <c r="AZ80">
        <f t="shared" si="244"/>
        <v>3.7111664795768949E-6</v>
      </c>
      <c r="BA80">
        <f t="shared" si="208"/>
        <v>4.4253896440144706E-2</v>
      </c>
      <c r="BB80">
        <f t="shared" si="301"/>
        <v>5014.9107120567387</v>
      </c>
      <c r="BC80">
        <f t="shared" si="209"/>
        <v>2.7854967975743518E-6</v>
      </c>
      <c r="BD80">
        <f t="shared" si="72"/>
        <v>1.0149283533520163E-3</v>
      </c>
      <c r="BE80">
        <f t="shared" si="73"/>
        <v>0.308460336162453</v>
      </c>
      <c r="BG80">
        <f t="shared" si="74"/>
        <v>8.4637140658292438</v>
      </c>
      <c r="BH80">
        <f t="shared" si="75"/>
        <v>0.36800000000000005</v>
      </c>
      <c r="BI80">
        <f t="shared" si="276"/>
        <v>113321.337</v>
      </c>
      <c r="BJ80">
        <f t="shared" si="277"/>
        <v>5.1217830216738359E-3</v>
      </c>
      <c r="BK80">
        <f t="shared" si="76"/>
        <v>4.1807625835136404E-3</v>
      </c>
      <c r="BL80">
        <f t="shared" si="77"/>
        <v>1.2083711804829266E-2</v>
      </c>
      <c r="BM80">
        <f t="shared" si="78"/>
        <v>14.155670109836343</v>
      </c>
      <c r="BN80">
        <f t="shared" si="245"/>
        <v>3.5911864712093639E-6</v>
      </c>
      <c r="BO80">
        <f t="shared" si="210"/>
        <v>4.2200924501011761E-2</v>
      </c>
      <c r="BP80">
        <f t="shared" si="302"/>
        <v>4782.2651870907102</v>
      </c>
      <c r="BQ80">
        <f t="shared" si="211"/>
        <v>2.7201189028742957E-6</v>
      </c>
      <c r="BR80">
        <f t="shared" si="80"/>
        <v>9.5506117352369638E-4</v>
      </c>
      <c r="BS80">
        <f t="shared" si="81"/>
        <v>0.29848798005353439</v>
      </c>
      <c r="BU80">
        <f t="shared" si="82"/>
        <v>10.361407802562258</v>
      </c>
      <c r="BV80">
        <f t="shared" si="83"/>
        <v>0.36800000000000005</v>
      </c>
      <c r="BW80">
        <f t="shared" si="278"/>
        <v>113321.337</v>
      </c>
      <c r="BX80">
        <f t="shared" si="279"/>
        <v>5.1217830216738359E-3</v>
      </c>
      <c r="BY80">
        <f t="shared" si="84"/>
        <v>4.1807625835136404E-3</v>
      </c>
      <c r="BZ80">
        <f t="shared" si="85"/>
        <v>1.2083711804829266E-2</v>
      </c>
      <c r="CA80">
        <f t="shared" si="86"/>
        <v>14.155670109836343</v>
      </c>
      <c r="CB80">
        <f t="shared" si="246"/>
        <v>3.4774639129424954E-6</v>
      </c>
      <c r="CC80">
        <f t="shared" si="247"/>
        <v>4.0272831727129671E-2</v>
      </c>
      <c r="CD80">
        <f t="shared" si="303"/>
        <v>4563.7711360943531</v>
      </c>
      <c r="CE80">
        <f t="shared" si="248"/>
        <v>2.6572535114735045E-6</v>
      </c>
      <c r="CF80">
        <f t="shared" si="212"/>
        <v>8.9930005092554396E-4</v>
      </c>
      <c r="CG80">
        <f t="shared" si="88"/>
        <v>0.28903572326438282</v>
      </c>
      <c r="CI80">
        <f t="shared" si="89"/>
        <v>12.259101539295273</v>
      </c>
      <c r="CJ80">
        <f t="shared" si="90"/>
        <v>0.36800000000000005</v>
      </c>
      <c r="CK80">
        <f t="shared" si="280"/>
        <v>113321.337</v>
      </c>
      <c r="CL80">
        <f t="shared" si="281"/>
        <v>5.1217830216738359E-3</v>
      </c>
      <c r="CM80">
        <f t="shared" si="91"/>
        <v>4.1807625835136404E-3</v>
      </c>
      <c r="CN80">
        <f t="shared" si="92"/>
        <v>1.2083711804829266E-2</v>
      </c>
      <c r="CO80">
        <f t="shared" si="93"/>
        <v>14.155670109836343</v>
      </c>
      <c r="CP80">
        <f t="shared" si="249"/>
        <v>3.3695858405794546E-6</v>
      </c>
      <c r="CQ80">
        <f t="shared" si="213"/>
        <v>3.8460577271892359E-2</v>
      </c>
      <c r="CR80">
        <f t="shared" si="304"/>
        <v>4358.4040382426547</v>
      </c>
      <c r="CS80">
        <f t="shared" si="214"/>
        <v>2.5967778922908738E-6</v>
      </c>
      <c r="CT80">
        <f t="shared" si="95"/>
        <v>8.4732676640880266E-4</v>
      </c>
      <c r="CU80">
        <f t="shared" si="96"/>
        <v>0.28006924152642138</v>
      </c>
      <c r="CW80">
        <f t="shared" si="97"/>
        <v>14.156795276028287</v>
      </c>
      <c r="CX80">
        <f t="shared" si="98"/>
        <v>0.36800000000000005</v>
      </c>
      <c r="CY80">
        <f t="shared" si="282"/>
        <v>113321.337</v>
      </c>
      <c r="CZ80">
        <f t="shared" si="283"/>
        <v>5.1217830216738359E-3</v>
      </c>
      <c r="DA80">
        <f t="shared" si="99"/>
        <v>4.1807625835136404E-3</v>
      </c>
      <c r="DB80">
        <f t="shared" si="100"/>
        <v>1.2083711804829266E-2</v>
      </c>
      <c r="DC80">
        <f t="shared" si="101"/>
        <v>14.155670109836343</v>
      </c>
      <c r="DD80">
        <f t="shared" si="250"/>
        <v>3.2671708723950215E-6</v>
      </c>
      <c r="DE80">
        <f t="shared" si="215"/>
        <v>3.6755858679472654E-2</v>
      </c>
      <c r="DF80">
        <f t="shared" si="305"/>
        <v>4165.223048140896</v>
      </c>
      <c r="DG80">
        <f t="shared" si="216"/>
        <v>2.5385761318632439E-6</v>
      </c>
      <c r="DH80">
        <f t="shared" si="103"/>
        <v>7.9885025365541247E-4</v>
      </c>
      <c r="DI80">
        <f t="shared" si="104"/>
        <v>0.27155683560551025</v>
      </c>
      <c r="DK80">
        <f t="shared" si="105"/>
        <v>16.054489012761305</v>
      </c>
      <c r="DL80">
        <f t="shared" si="106"/>
        <v>0.36800000000000005</v>
      </c>
      <c r="DM80">
        <f t="shared" si="284"/>
        <v>113321.337</v>
      </c>
      <c r="DN80">
        <f t="shared" si="285"/>
        <v>5.1217830216738359E-3</v>
      </c>
      <c r="DO80">
        <f t="shared" si="107"/>
        <v>4.1807625835136404E-3</v>
      </c>
      <c r="DP80">
        <f t="shared" si="108"/>
        <v>1.2083711804829266E-2</v>
      </c>
      <c r="DQ80">
        <f t="shared" si="109"/>
        <v>14.155670109836343</v>
      </c>
      <c r="DR80">
        <f t="shared" si="251"/>
        <v>3.1698665314200341E-6</v>
      </c>
      <c r="DS80">
        <f t="shared" si="217"/>
        <v>3.5151046086253197E-2</v>
      </c>
      <c r="DT80">
        <f t="shared" si="306"/>
        <v>3983.3635394428297</v>
      </c>
      <c r="DU80">
        <f t="shared" si="218"/>
        <v>2.4825387315876837E-6</v>
      </c>
      <c r="DV80">
        <f t="shared" si="111"/>
        <v>7.5360410485497047E-4</v>
      </c>
      <c r="DW80">
        <f t="shared" si="112"/>
        <v>0.26346920873875962</v>
      </c>
      <c r="DY80">
        <f t="shared" si="113"/>
        <v>17.95218274949432</v>
      </c>
      <c r="DZ80">
        <f t="shared" si="114"/>
        <v>0.36800000000000005</v>
      </c>
      <c r="EA80">
        <f t="shared" si="286"/>
        <v>113321.337</v>
      </c>
      <c r="EB80">
        <f t="shared" si="287"/>
        <v>5.1217830216738359E-3</v>
      </c>
      <c r="EC80">
        <f t="shared" si="115"/>
        <v>4.1807625835136404E-3</v>
      </c>
      <c r="ED80">
        <f t="shared" si="116"/>
        <v>1.2083711804829266E-2</v>
      </c>
      <c r="EE80">
        <f t="shared" si="117"/>
        <v>14.155670109836343</v>
      </c>
      <c r="EF80">
        <f t="shared" si="252"/>
        <v>3.0773468126463799E-6</v>
      </c>
      <c r="EG80">
        <f t="shared" si="219"/>
        <v>3.3639122674955453E-2</v>
      </c>
      <c r="EH80">
        <f t="shared" si="307"/>
        <v>3812.0303570329684</v>
      </c>
      <c r="EI80">
        <f t="shared" si="220"/>
        <v>2.4285622289488685E-6</v>
      </c>
      <c r="EJ80">
        <f t="shared" si="119"/>
        <v>7.1134431862107769E-4</v>
      </c>
      <c r="EK80">
        <f t="shared" si="120"/>
        <v>0.25577926442835758</v>
      </c>
      <c r="EM80">
        <f t="shared" si="121"/>
        <v>19.849876486227334</v>
      </c>
      <c r="EN80">
        <f t="shared" si="122"/>
        <v>0.36800000000000005</v>
      </c>
      <c r="EO80">
        <f t="shared" si="288"/>
        <v>113321.337</v>
      </c>
      <c r="EP80">
        <f t="shared" si="289"/>
        <v>5.1217830216738359E-3</v>
      </c>
      <c r="EQ80">
        <f t="shared" si="123"/>
        <v>4.1807625835136404E-3</v>
      </c>
      <c r="ER80">
        <f t="shared" si="124"/>
        <v>1.2083711804829266E-2</v>
      </c>
      <c r="ES80">
        <f t="shared" si="125"/>
        <v>14.155670109836343</v>
      </c>
      <c r="ET80">
        <f t="shared" si="253"/>
        <v>2.9893099714468012E-6</v>
      </c>
      <c r="EU80">
        <f t="shared" si="221"/>
        <v>3.2213630758583411E-2</v>
      </c>
      <c r="EV80">
        <f t="shared" si="308"/>
        <v>3650.4917071869963</v>
      </c>
      <c r="EW80">
        <f t="shared" si="222"/>
        <v>2.3765488413766697E-6</v>
      </c>
      <c r="EX80">
        <f t="shared" si="127"/>
        <v>6.7184726564101802E-4</v>
      </c>
      <c r="EY80">
        <f t="shared" si="128"/>
        <v>0.24846192262206962</v>
      </c>
      <c r="FA80">
        <f t="shared" si="129"/>
        <v>21.747570222960348</v>
      </c>
      <c r="FB80">
        <f t="shared" si="130"/>
        <v>0.36800000000000005</v>
      </c>
      <c r="FC80">
        <f t="shared" si="290"/>
        <v>113321.337</v>
      </c>
      <c r="FD80">
        <f t="shared" si="291"/>
        <v>5.1217830216738359E-3</v>
      </c>
      <c r="FE80">
        <f t="shared" si="131"/>
        <v>4.1807625835136404E-3</v>
      </c>
      <c r="FF80">
        <f t="shared" si="132"/>
        <v>1.2083711804829266E-2</v>
      </c>
      <c r="FG80">
        <f t="shared" si="133"/>
        <v>14.155670109836343</v>
      </c>
      <c r="FH80">
        <f t="shared" si="254"/>
        <v>2.9054765118955196E-6</v>
      </c>
      <c r="FI80">
        <f t="shared" si="223"/>
        <v>3.0868622935449889E-2</v>
      </c>
      <c r="FJ80">
        <f t="shared" si="309"/>
        <v>3498.0736223940462</v>
      </c>
      <c r="FK80">
        <f t="shared" si="224"/>
        <v>2.3264061314446391E-6</v>
      </c>
      <c r="FL80">
        <f t="shared" si="135"/>
        <v>6.3490785010318954E-4</v>
      </c>
      <c r="FM80">
        <f t="shared" si="136"/>
        <v>0.24149395250885664</v>
      </c>
      <c r="FO80">
        <f t="shared" si="137"/>
        <v>23.645263959693363</v>
      </c>
      <c r="FP80">
        <f t="shared" si="138"/>
        <v>0.36800000000000005</v>
      </c>
      <c r="FQ80">
        <f t="shared" si="292"/>
        <v>113321.337</v>
      </c>
      <c r="FR80">
        <f t="shared" si="293"/>
        <v>5.1217830216738359E-3</v>
      </c>
      <c r="FS80">
        <f t="shared" si="139"/>
        <v>4.1807625835136404E-3</v>
      </c>
      <c r="FT80">
        <f t="shared" si="140"/>
        <v>1.2083711804829266E-2</v>
      </c>
      <c r="FU80">
        <f t="shared" si="141"/>
        <v>14.155670109836343</v>
      </c>
      <c r="FV80">
        <f t="shared" si="255"/>
        <v>2.8255873558192182E-6</v>
      </c>
      <c r="FW80">
        <f t="shared" si="225"/>
        <v>2.9598617813961538E-2</v>
      </c>
      <c r="FX80">
        <f t="shared" si="310"/>
        <v>3354.1549440301387</v>
      </c>
      <c r="FY80">
        <f t="shared" si="226"/>
        <v>2.2780466921838519E-6</v>
      </c>
      <c r="FZ80">
        <f t="shared" si="143"/>
        <v>6.0033784722700442E-4</v>
      </c>
      <c r="GA80">
        <f t="shared" si="144"/>
        <v>0.23485382033622498</v>
      </c>
      <c r="GC80">
        <f t="shared" si="145"/>
        <v>25.542957696426377</v>
      </c>
      <c r="GD80">
        <f t="shared" si="146"/>
        <v>0.36800000000000005</v>
      </c>
      <c r="GE80">
        <f t="shared" si="294"/>
        <v>113321.337</v>
      </c>
      <c r="GF80">
        <f t="shared" si="295"/>
        <v>5.1217830216738359E-3</v>
      </c>
      <c r="GG80">
        <f t="shared" si="147"/>
        <v>4.1807625835136404E-3</v>
      </c>
      <c r="GH80">
        <f t="shared" si="148"/>
        <v>1.2083711804829266E-2</v>
      </c>
      <c r="GI80">
        <f t="shared" si="149"/>
        <v>14.155670109836343</v>
      </c>
      <c r="GJ80">
        <f t="shared" si="256"/>
        <v>2.7494021753289934E-6</v>
      </c>
      <c r="GK80">
        <f t="shared" si="227"/>
        <v>2.8398559857205831E-2</v>
      </c>
      <c r="GL80">
        <f t="shared" si="311"/>
        <v>3218.162771893094</v>
      </c>
      <c r="GM80">
        <f t="shared" si="228"/>
        <v>2.231387851347879E-6</v>
      </c>
      <c r="GN80">
        <f t="shared" si="151"/>
        <v>5.6796439925907167E-4</v>
      </c>
      <c r="GO80">
        <f t="shared" si="152"/>
        <v>0.22852155081559408</v>
      </c>
      <c r="GQ80">
        <f t="shared" si="153"/>
        <v>27.440651433159392</v>
      </c>
      <c r="GR80">
        <f t="shared" si="154"/>
        <v>0.36800000000000005</v>
      </c>
      <c r="GS80">
        <f t="shared" si="296"/>
        <v>113321.337</v>
      </c>
      <c r="GT80">
        <f t="shared" si="297"/>
        <v>5.1217830216738359E-3</v>
      </c>
      <c r="GU80">
        <f t="shared" si="155"/>
        <v>4.1807625835136404E-3</v>
      </c>
      <c r="GV80">
        <f t="shared" si="156"/>
        <v>1.2083711804829266E-2</v>
      </c>
      <c r="GW80">
        <f t="shared" si="157"/>
        <v>14.155670109836343</v>
      </c>
      <c r="GX80">
        <f t="shared" si="257"/>
        <v>2.6766978733065657E-6</v>
      </c>
      <c r="GY80">
        <f t="shared" si="229"/>
        <v>2.7263782943365476E-2</v>
      </c>
      <c r="GZ80">
        <f t="shared" si="312"/>
        <v>3089.5683348199709</v>
      </c>
      <c r="HA80">
        <f t="shared" si="230"/>
        <v>2.1863513935241471E-6</v>
      </c>
      <c r="HB80">
        <f t="shared" si="159"/>
        <v>5.3762865412303813E-4</v>
      </c>
      <c r="HC80">
        <f t="shared" si="160"/>
        <v>0.22247860082515028</v>
      </c>
      <c r="HE80">
        <f t="shared" si="161"/>
        <v>29.338345169892406</v>
      </c>
      <c r="HF80">
        <f t="shared" si="162"/>
        <v>0.36800000000000005</v>
      </c>
      <c r="HG80">
        <f t="shared" si="33"/>
        <v>113321.337</v>
      </c>
      <c r="HH80">
        <f t="shared" si="34"/>
        <v>5.1217830216738359E-3</v>
      </c>
      <c r="HI80">
        <f t="shared" si="263"/>
        <v>4.1807625835136404E-3</v>
      </c>
      <c r="HJ80">
        <f t="shared" si="164"/>
        <v>1.2083711804829266E-2</v>
      </c>
      <c r="HK80">
        <f t="shared" si="165"/>
        <v>14.155670109836343</v>
      </c>
      <c r="HL80">
        <f t="shared" si="258"/>
        <v>2.607267197862775E-6</v>
      </c>
      <c r="HM80">
        <f t="shared" si="231"/>
        <v>2.6189977279145599E-2</v>
      </c>
      <c r="HN80">
        <f t="shared" si="166"/>
        <v>2967.8832412724014</v>
      </c>
      <c r="HO80">
        <f t="shared" si="232"/>
        <v>2.1428632990440608E-6</v>
      </c>
      <c r="HP80">
        <f t="shared" si="167"/>
        <v>5.0918453254153256E-4</v>
      </c>
      <c r="HQ80">
        <f t="shared" si="168"/>
        <v>0.2167077442480507</v>
      </c>
      <c r="HS80">
        <f t="shared" si="169"/>
        <v>31.236038906625421</v>
      </c>
      <c r="HT80">
        <f t="shared" si="170"/>
        <v>0.36800000000000005</v>
      </c>
      <c r="HU80">
        <f t="shared" si="35"/>
        <v>113321.337</v>
      </c>
      <c r="HV80">
        <f t="shared" si="36"/>
        <v>5.1217830216738359E-3</v>
      </c>
      <c r="HW80">
        <f t="shared" si="264"/>
        <v>4.1807625835136404E-3</v>
      </c>
      <c r="HX80">
        <f t="shared" si="172"/>
        <v>1.2083711804829266E-2</v>
      </c>
      <c r="HY80">
        <f t="shared" si="173"/>
        <v>14.155670109836343</v>
      </c>
      <c r="HZ80">
        <f t="shared" si="259"/>
        <v>2.5409174781722803E-6</v>
      </c>
      <c r="IA80">
        <f t="shared" si="233"/>
        <v>2.5173159340255571E-2</v>
      </c>
      <c r="IB80">
        <f t="shared" si="174"/>
        <v>2852.6560729517992</v>
      </c>
      <c r="IC80">
        <f t="shared" si="234"/>
        <v>2.1008534986994109E-6</v>
      </c>
      <c r="ID80">
        <f t="shared" si="175"/>
        <v>4.8249761090771881E-4</v>
      </c>
      <c r="IE80">
        <f t="shared" si="176"/>
        <v>0.21119296689903028</v>
      </c>
      <c r="IG80">
        <f t="shared" si="177"/>
        <v>33.133732643358435</v>
      </c>
      <c r="IH80">
        <f t="shared" si="178"/>
        <v>0.36800000000000005</v>
      </c>
      <c r="II80">
        <f t="shared" si="37"/>
        <v>113321.337</v>
      </c>
      <c r="IJ80">
        <f t="shared" si="38"/>
        <v>5.1217830216738359E-3</v>
      </c>
      <c r="IK80">
        <f t="shared" si="265"/>
        <v>4.1807625835136404E-3</v>
      </c>
      <c r="IL80">
        <f t="shared" si="180"/>
        <v>1.2083711804829266E-2</v>
      </c>
      <c r="IM80">
        <f t="shared" si="181"/>
        <v>14.155670109836343</v>
      </c>
      <c r="IN80">
        <f t="shared" si="260"/>
        <v>2.477469470331956E-6</v>
      </c>
      <c r="IO80">
        <f t="shared" si="235"/>
        <v>2.4209644545994592E-2</v>
      </c>
      <c r="IP80">
        <f t="shared" si="182"/>
        <v>2743.4692882468653</v>
      </c>
      <c r="IQ80">
        <f t="shared" si="236"/>
        <v>2.0602556433255268E-6</v>
      </c>
      <c r="IR80">
        <f t="shared" si="183"/>
        <v>4.5744410848940924E-4</v>
      </c>
      <c r="IS80">
        <f t="shared" si="184"/>
        <v>0.20591937059582813</v>
      </c>
      <c r="IU80">
        <f t="shared" si="185"/>
        <v>35.031426380091446</v>
      </c>
      <c r="IV80">
        <f t="shared" si="186"/>
        <v>0.36800000000000005</v>
      </c>
      <c r="IW80">
        <f t="shared" si="39"/>
        <v>113321.337</v>
      </c>
      <c r="IX80">
        <f t="shared" si="40"/>
        <v>5.1217830216738359E-3</v>
      </c>
      <c r="IY80">
        <f t="shared" si="266"/>
        <v>4.1807625835136404E-3</v>
      </c>
      <c r="IZ80">
        <f t="shared" si="188"/>
        <v>1.2083711804829266E-2</v>
      </c>
      <c r="JA80">
        <f t="shared" si="189"/>
        <v>14.155670109836343</v>
      </c>
      <c r="JB80">
        <f t="shared" si="261"/>
        <v>2.4167563030067986E-6</v>
      </c>
      <c r="JC80">
        <f t="shared" si="237"/>
        <v>2.3296022404558098E-2</v>
      </c>
      <c r="JD80">
        <f t="shared" si="190"/>
        <v>2639.9364056664785</v>
      </c>
      <c r="JE80">
        <f t="shared" si="238"/>
        <v>2.0210068873625029E-6</v>
      </c>
      <c r="JF80">
        <f t="shared" si="191"/>
        <v>4.3390996871688E-4</v>
      </c>
      <c r="JG80">
        <f t="shared" si="192"/>
        <v>0.2008730855246339</v>
      </c>
      <c r="JI80">
        <f t="shared" si="193"/>
        <v>36.929120116824464</v>
      </c>
      <c r="JJ80">
        <f t="shared" si="194"/>
        <v>0.36800000000000005</v>
      </c>
      <c r="JK80">
        <f t="shared" si="41"/>
        <v>113321.337</v>
      </c>
      <c r="JL80">
        <f t="shared" si="42"/>
        <v>5.1217830216738359E-3</v>
      </c>
      <c r="JM80">
        <f t="shared" si="267"/>
        <v>4.1807625835136404E-3</v>
      </c>
      <c r="JN80">
        <f t="shared" si="196"/>
        <v>1.2083711804829266E-2</v>
      </c>
      <c r="JO80">
        <f t="shared" si="197"/>
        <v>14.155670109836343</v>
      </c>
      <c r="JP80">
        <f t="shared" si="262"/>
        <v>2.3586225136294624E-6</v>
      </c>
      <c r="JQ80">
        <f t="shared" si="239"/>
        <v>2.2429133892173023E-2</v>
      </c>
      <c r="JR80">
        <f t="shared" si="198"/>
        <v>2541.699440413061</v>
      </c>
      <c r="JS80">
        <f t="shared" si="240"/>
        <v>1.9830476855544893E-6</v>
      </c>
      <c r="JT80">
        <f t="shared" si="199"/>
        <v>4.1179002535112928E-4</v>
      </c>
      <c r="JU80">
        <f t="shared" si="200"/>
        <v>0.19604119013206323</v>
      </c>
    </row>
    <row r="81" spans="2:281">
      <c r="B81">
        <v>0.47</v>
      </c>
      <c r="C81">
        <f t="shared" si="43"/>
        <v>0.89191605626451675</v>
      </c>
      <c r="D81">
        <f t="shared" si="44"/>
        <v>0.376</v>
      </c>
      <c r="E81">
        <f t="shared" si="268"/>
        <v>113136.90900000001</v>
      </c>
      <c r="F81">
        <f t="shared" si="269"/>
        <v>5.1245645701467613E-3</v>
      </c>
      <c r="G81">
        <f t="shared" si="45"/>
        <v>4.1796277971267656E-3</v>
      </c>
      <c r="H81">
        <f t="shared" si="46"/>
        <v>1.2103409839895263E-2</v>
      </c>
      <c r="I81">
        <f t="shared" si="47"/>
        <v>14.171049665843478</v>
      </c>
      <c r="J81">
        <f t="shared" si="241"/>
        <v>4.1120661044990861E-6</v>
      </c>
      <c r="K81">
        <f t="shared" si="201"/>
        <v>5.1922913357764409E-2</v>
      </c>
      <c r="L81">
        <f t="shared" si="298"/>
        <v>5874.3979235722773</v>
      </c>
      <c r="M81">
        <f t="shared" si="202"/>
        <v>3.0147599821613863E-6</v>
      </c>
      <c r="N81">
        <f t="shared" si="203"/>
        <v>1.2040952360496107E-3</v>
      </c>
      <c r="O81">
        <f t="shared" si="49"/>
        <v>0.34178183595272887</v>
      </c>
      <c r="Q81">
        <f t="shared" si="50"/>
        <v>2.7896097929975312</v>
      </c>
      <c r="R81">
        <f t="shared" si="51"/>
        <v>0.376</v>
      </c>
      <c r="S81">
        <f t="shared" si="270"/>
        <v>113136.90900000001</v>
      </c>
      <c r="T81">
        <f t="shared" si="271"/>
        <v>5.1245645701467613E-3</v>
      </c>
      <c r="U81">
        <f t="shared" si="52"/>
        <v>4.1796277971267656E-3</v>
      </c>
      <c r="V81">
        <f t="shared" si="53"/>
        <v>1.2103409839895263E-2</v>
      </c>
      <c r="W81">
        <f t="shared" si="54"/>
        <v>14.171049665843478</v>
      </c>
      <c r="X81">
        <f t="shared" si="242"/>
        <v>3.9705502827772091E-6</v>
      </c>
      <c r="Y81">
        <f t="shared" si="204"/>
        <v>4.9392511289683978E-2</v>
      </c>
      <c r="Z81">
        <f t="shared" si="299"/>
        <v>5588.11605506245</v>
      </c>
      <c r="AA81">
        <f t="shared" si="205"/>
        <v>2.94038209491294E-6</v>
      </c>
      <c r="AB81">
        <f t="shared" si="56"/>
        <v>1.1304234817305458E-3</v>
      </c>
      <c r="AC81">
        <f t="shared" si="57"/>
        <v>0.33001949163838468</v>
      </c>
      <c r="AE81">
        <f t="shared" si="58"/>
        <v>4.6873035297305456</v>
      </c>
      <c r="AF81">
        <f t="shared" si="59"/>
        <v>0.376</v>
      </c>
      <c r="AG81">
        <f t="shared" si="272"/>
        <v>113136.90900000001</v>
      </c>
      <c r="AH81">
        <f t="shared" si="273"/>
        <v>5.1245645701467613E-3</v>
      </c>
      <c r="AI81">
        <f t="shared" si="60"/>
        <v>4.1796277971267656E-3</v>
      </c>
      <c r="AJ81">
        <f t="shared" si="61"/>
        <v>1.2103409839895263E-2</v>
      </c>
      <c r="AK81">
        <f t="shared" si="62"/>
        <v>14.171049665843478</v>
      </c>
      <c r="AL81">
        <f t="shared" si="243"/>
        <v>3.8367459441166168E-6</v>
      </c>
      <c r="AM81">
        <f t="shared" si="206"/>
        <v>4.702213371688363E-2</v>
      </c>
      <c r="AN81">
        <f t="shared" si="300"/>
        <v>5319.9388633128956</v>
      </c>
      <c r="AO81">
        <f t="shared" si="207"/>
        <v>2.8689592632910644E-6</v>
      </c>
      <c r="AP81">
        <f t="shared" si="64"/>
        <v>1.0619710472513754E-3</v>
      </c>
      <c r="AQ81">
        <f t="shared" si="65"/>
        <v>0.31889810123179035</v>
      </c>
      <c r="AS81">
        <f t="shared" si="66"/>
        <v>6.5849972664635601</v>
      </c>
      <c r="AT81">
        <f t="shared" si="67"/>
        <v>0.376</v>
      </c>
      <c r="AU81">
        <f t="shared" si="274"/>
        <v>113136.90900000001</v>
      </c>
      <c r="AV81">
        <f t="shared" si="275"/>
        <v>5.1245645701467613E-3</v>
      </c>
      <c r="AW81">
        <f t="shared" si="68"/>
        <v>4.1796277971267656E-3</v>
      </c>
      <c r="AX81">
        <f t="shared" si="69"/>
        <v>1.2103409839895263E-2</v>
      </c>
      <c r="AY81">
        <f t="shared" si="70"/>
        <v>14.171049665843478</v>
      </c>
      <c r="AZ81">
        <f t="shared" si="244"/>
        <v>3.7101268751919373E-6</v>
      </c>
      <c r="BA81">
        <f t="shared" si="208"/>
        <v>4.4799831819372249E-2</v>
      </c>
      <c r="BB81">
        <f t="shared" si="301"/>
        <v>5068.514495763623</v>
      </c>
      <c r="BC81">
        <f t="shared" si="209"/>
        <v>2.8003441495027569E-6</v>
      </c>
      <c r="BD81">
        <f t="shared" si="72"/>
        <v>9.9832218516086868E-4</v>
      </c>
      <c r="BE81">
        <f t="shared" si="73"/>
        <v>0.30837392755755078</v>
      </c>
      <c r="BG81">
        <f t="shared" si="74"/>
        <v>8.4826910031965745</v>
      </c>
      <c r="BH81">
        <f t="shared" si="75"/>
        <v>0.376</v>
      </c>
      <c r="BI81">
        <f t="shared" si="276"/>
        <v>113136.90900000001</v>
      </c>
      <c r="BJ81">
        <f t="shared" si="277"/>
        <v>5.1245645701467613E-3</v>
      </c>
      <c r="BK81">
        <f t="shared" si="76"/>
        <v>4.1796277971267656E-3</v>
      </c>
      <c r="BL81">
        <f t="shared" si="77"/>
        <v>1.2103409839895263E-2</v>
      </c>
      <c r="BM81">
        <f t="shared" si="78"/>
        <v>14.171049665843478</v>
      </c>
      <c r="BN81">
        <f t="shared" si="245"/>
        <v>3.5902081895596113E-6</v>
      </c>
      <c r="BO81">
        <f t="shared" si="210"/>
        <v>4.2714657004622625E-2</v>
      </c>
      <c r="BP81">
        <f t="shared" si="302"/>
        <v>4832.6042624982028</v>
      </c>
      <c r="BQ81">
        <f t="shared" si="211"/>
        <v>2.7343976824644429E-6</v>
      </c>
      <c r="BR81">
        <f t="shared" si="80"/>
        <v>9.3909742557452068E-4</v>
      </c>
      <c r="BS81">
        <f t="shared" si="81"/>
        <v>0.29840666839904384</v>
      </c>
      <c r="BU81">
        <f t="shared" si="82"/>
        <v>10.380384739929589</v>
      </c>
      <c r="BV81">
        <f t="shared" si="83"/>
        <v>0.376</v>
      </c>
      <c r="BW81">
        <f t="shared" si="278"/>
        <v>113136.90900000001</v>
      </c>
      <c r="BX81">
        <f t="shared" si="279"/>
        <v>5.1245645701467613E-3</v>
      </c>
      <c r="BY81">
        <f t="shared" si="84"/>
        <v>4.1796277971267656E-3</v>
      </c>
      <c r="BZ81">
        <f t="shared" si="85"/>
        <v>1.2103409839895263E-2</v>
      </c>
      <c r="CA81">
        <f t="shared" si="86"/>
        <v>14.171049665843478</v>
      </c>
      <c r="CB81">
        <f t="shared" si="246"/>
        <v>3.47654274813983E-6</v>
      </c>
      <c r="CC81">
        <f t="shared" si="247"/>
        <v>4.0756570025227173E-2</v>
      </c>
      <c r="CD81">
        <f t="shared" si="303"/>
        <v>4611.0723540962554</v>
      </c>
      <c r="CE81">
        <f t="shared" si="248"/>
        <v>2.6709885694750363E-6</v>
      </c>
      <c r="CF81">
        <f t="shared" si="212"/>
        <v>8.8395018415073187E-4</v>
      </c>
      <c r="CG81">
        <f t="shared" si="88"/>
        <v>0.28895915898028107</v>
      </c>
      <c r="CI81">
        <f t="shared" si="89"/>
        <v>12.278078476662603</v>
      </c>
      <c r="CJ81">
        <f t="shared" si="90"/>
        <v>0.376</v>
      </c>
      <c r="CK81">
        <f t="shared" si="280"/>
        <v>113136.90900000001</v>
      </c>
      <c r="CL81">
        <f t="shared" si="281"/>
        <v>5.1245645701467613E-3</v>
      </c>
      <c r="CM81">
        <f t="shared" si="91"/>
        <v>4.1796277971267656E-3</v>
      </c>
      <c r="CN81">
        <f t="shared" si="92"/>
        <v>1.2103409839895263E-2</v>
      </c>
      <c r="CO81">
        <f t="shared" si="93"/>
        <v>14.171049665843478</v>
      </c>
      <c r="CP81">
        <f t="shared" si="249"/>
        <v>3.3687179126917949E-6</v>
      </c>
      <c r="CQ81">
        <f t="shared" si="213"/>
        <v>3.8916358862800988E-2</v>
      </c>
      <c r="CR81">
        <f t="shared" si="304"/>
        <v>4402.8765512720593</v>
      </c>
      <c r="CS81">
        <f t="shared" si="214"/>
        <v>2.6099928366316285E-6</v>
      </c>
      <c r="CT81">
        <f t="shared" si="95"/>
        <v>8.3256370392716019E-4</v>
      </c>
      <c r="CU81">
        <f t="shared" si="96"/>
        <v>0.27999710212511303</v>
      </c>
      <c r="CW81">
        <f t="shared" si="97"/>
        <v>14.175772213395618</v>
      </c>
      <c r="CX81">
        <f t="shared" si="98"/>
        <v>0.376</v>
      </c>
      <c r="CY81">
        <f t="shared" si="282"/>
        <v>113136.90900000001</v>
      </c>
      <c r="CZ81">
        <f t="shared" si="283"/>
        <v>5.1245645701467613E-3</v>
      </c>
      <c r="DA81">
        <f t="shared" si="99"/>
        <v>4.1796277971267656E-3</v>
      </c>
      <c r="DB81">
        <f t="shared" si="100"/>
        <v>1.2103409839895263E-2</v>
      </c>
      <c r="DC81">
        <f t="shared" si="101"/>
        <v>14.171049665843478</v>
      </c>
      <c r="DD81">
        <f t="shared" si="250"/>
        <v>3.2663525996333217E-6</v>
      </c>
      <c r="DE81">
        <f t="shared" si="215"/>
        <v>3.7185564495390622E-2</v>
      </c>
      <c r="DF81">
        <f t="shared" si="305"/>
        <v>4207.05982642864</v>
      </c>
      <c r="DG81">
        <f t="shared" si="216"/>
        <v>2.5512933964078745E-6</v>
      </c>
      <c r="DH81">
        <f t="shared" si="103"/>
        <v>7.846482969245804E-4</v>
      </c>
      <c r="DI81">
        <f t="shared" si="104"/>
        <v>0.27148882338009933</v>
      </c>
      <c r="DK81">
        <f t="shared" si="105"/>
        <v>16.073465950128632</v>
      </c>
      <c r="DL81">
        <f t="shared" si="106"/>
        <v>0.376</v>
      </c>
      <c r="DM81">
        <f t="shared" si="284"/>
        <v>113136.90900000001</v>
      </c>
      <c r="DN81">
        <f t="shared" si="285"/>
        <v>5.1245645701467613E-3</v>
      </c>
      <c r="DO81">
        <f t="shared" si="107"/>
        <v>4.1796277971267656E-3</v>
      </c>
      <c r="DP81">
        <f t="shared" si="108"/>
        <v>1.2103409839895263E-2</v>
      </c>
      <c r="DQ81">
        <f t="shared" si="109"/>
        <v>14.171049665843478</v>
      </c>
      <c r="DR81">
        <f t="shared" si="251"/>
        <v>3.1690946048802525E-6</v>
      </c>
      <c r="DS81">
        <f t="shared" si="217"/>
        <v>3.555641375719526E-2</v>
      </c>
      <c r="DT81">
        <f t="shared" si="306"/>
        <v>4022.7427476141488</v>
      </c>
      <c r="DU81">
        <f t="shared" si="218"/>
        <v>2.4947796408880205E-6</v>
      </c>
      <c r="DV81">
        <f t="shared" si="111"/>
        <v>7.3993885499358775E-4</v>
      </c>
      <c r="DW81">
        <f t="shared" si="112"/>
        <v>0.26340504866368236</v>
      </c>
      <c r="DY81">
        <f t="shared" si="113"/>
        <v>17.971159686861647</v>
      </c>
      <c r="DZ81">
        <f t="shared" si="114"/>
        <v>0.376</v>
      </c>
      <c r="EA81">
        <f t="shared" si="286"/>
        <v>113136.90900000001</v>
      </c>
      <c r="EB81">
        <f t="shared" si="287"/>
        <v>5.1245645701467613E-3</v>
      </c>
      <c r="EC81">
        <f t="shared" si="115"/>
        <v>4.1796277971267656E-3</v>
      </c>
      <c r="ED81">
        <f t="shared" si="116"/>
        <v>1.2103409839895263E-2</v>
      </c>
      <c r="EE81">
        <f t="shared" si="117"/>
        <v>14.171049665843478</v>
      </c>
      <c r="EF81">
        <f t="shared" si="252"/>
        <v>3.0766181733582857E-6</v>
      </c>
      <c r="EG81">
        <f t="shared" si="219"/>
        <v>3.4021758581288246E-2</v>
      </c>
      <c r="EH81">
        <f t="shared" si="307"/>
        <v>3849.1166046311778</v>
      </c>
      <c r="EI81">
        <f t="shared" si="220"/>
        <v>2.4403470592201738E-6</v>
      </c>
      <c r="EJ81">
        <f t="shared" si="119"/>
        <v>6.9819260256883829E-4</v>
      </c>
      <c r="EK81">
        <f t="shared" si="120"/>
        <v>0.25571870225175258</v>
      </c>
      <c r="EM81">
        <f t="shared" si="121"/>
        <v>19.868853423594661</v>
      </c>
      <c r="EN81">
        <f t="shared" si="122"/>
        <v>0.376</v>
      </c>
      <c r="EO81">
        <f t="shared" si="288"/>
        <v>113136.90900000001</v>
      </c>
      <c r="EP81">
        <f t="shared" si="289"/>
        <v>5.1245645701467613E-3</v>
      </c>
      <c r="EQ81">
        <f t="shared" si="123"/>
        <v>4.1796277971267656E-3</v>
      </c>
      <c r="ER81">
        <f t="shared" si="124"/>
        <v>1.2103409839895263E-2</v>
      </c>
      <c r="ES81">
        <f t="shared" si="125"/>
        <v>14.171049665843478</v>
      </c>
      <c r="ET81">
        <f t="shared" si="253"/>
        <v>2.9886217895065928E-6</v>
      </c>
      <c r="EU81">
        <f t="shared" si="221"/>
        <v>3.2575020989272382E-2</v>
      </c>
      <c r="EV81">
        <f t="shared" si="308"/>
        <v>3685.4371853364</v>
      </c>
      <c r="EW81">
        <f t="shared" si="222"/>
        <v>2.3878968779209425E-6</v>
      </c>
      <c r="EX81">
        <f t="shared" si="127"/>
        <v>6.591870668466004E-4</v>
      </c>
      <c r="EY81">
        <f t="shared" si="128"/>
        <v>0.24840472313134729</v>
      </c>
      <c r="FA81">
        <f t="shared" si="129"/>
        <v>21.766547160327676</v>
      </c>
      <c r="FB81">
        <f t="shared" si="130"/>
        <v>0.376</v>
      </c>
      <c r="FC81">
        <f t="shared" si="290"/>
        <v>113136.90900000001</v>
      </c>
      <c r="FD81">
        <f t="shared" si="291"/>
        <v>5.1245645701467613E-3</v>
      </c>
      <c r="FE81">
        <f t="shared" si="131"/>
        <v>4.1796277971267656E-3</v>
      </c>
      <c r="FF81">
        <f t="shared" si="132"/>
        <v>1.2103409839895263E-2</v>
      </c>
      <c r="FG81">
        <f t="shared" si="133"/>
        <v>14.171049665843478</v>
      </c>
      <c r="FH81">
        <f t="shared" si="254"/>
        <v>2.9048261674817181E-6</v>
      </c>
      <c r="FI81">
        <f t="shared" si="223"/>
        <v>3.1210143257328571E-2</v>
      </c>
      <c r="FJ81">
        <f t="shared" si="309"/>
        <v>3531.0191375813465</v>
      </c>
      <c r="FK81">
        <f t="shared" si="224"/>
        <v>2.3373357227298606E-6</v>
      </c>
      <c r="FL81">
        <f t="shared" si="135"/>
        <v>6.2271824345029462E-4</v>
      </c>
      <c r="FM81">
        <f t="shared" si="136"/>
        <v>0.24143989795280085</v>
      </c>
      <c r="FO81">
        <f t="shared" si="137"/>
        <v>23.66424089706069</v>
      </c>
      <c r="FP81">
        <f t="shared" si="138"/>
        <v>0.376</v>
      </c>
      <c r="FQ81">
        <f t="shared" si="292"/>
        <v>113136.90900000001</v>
      </c>
      <c r="FR81">
        <f t="shared" si="293"/>
        <v>5.1245645701467613E-3</v>
      </c>
      <c r="FS81">
        <f t="shared" si="139"/>
        <v>4.1796277971267656E-3</v>
      </c>
      <c r="FT81">
        <f t="shared" si="140"/>
        <v>1.2103409839895263E-2</v>
      </c>
      <c r="FU81">
        <f t="shared" si="141"/>
        <v>14.171049665843478</v>
      </c>
      <c r="FV81">
        <f t="shared" si="255"/>
        <v>2.8249724219114484E-6</v>
      </c>
      <c r="FW81">
        <f t="shared" si="225"/>
        <v>2.9921542746749182E-2</v>
      </c>
      <c r="FX81">
        <f t="shared" si="310"/>
        <v>3385.2308588785727</v>
      </c>
      <c r="FY81">
        <f t="shared" si="226"/>
        <v>2.288575300776297E-6</v>
      </c>
      <c r="FZ81">
        <f t="shared" si="143"/>
        <v>5.8859893792772633E-4</v>
      </c>
      <c r="GA81">
        <f t="shared" si="144"/>
        <v>0.23480270898863329</v>
      </c>
      <c r="GC81">
        <f t="shared" si="145"/>
        <v>25.561934633793705</v>
      </c>
      <c r="GD81">
        <f t="shared" si="146"/>
        <v>0.376</v>
      </c>
      <c r="GE81">
        <f t="shared" si="294"/>
        <v>113136.90900000001</v>
      </c>
      <c r="GF81">
        <f t="shared" si="295"/>
        <v>5.1245645701467613E-3</v>
      </c>
      <c r="GG81">
        <f t="shared" si="147"/>
        <v>4.1796277971267656E-3</v>
      </c>
      <c r="GH81">
        <f t="shared" si="148"/>
        <v>1.2103409839895263E-2</v>
      </c>
      <c r="GI81">
        <f t="shared" si="149"/>
        <v>14.171049665843478</v>
      </c>
      <c r="GJ81">
        <f t="shared" si="256"/>
        <v>2.7488204019673375E-6</v>
      </c>
      <c r="GK81">
        <f t="shared" si="227"/>
        <v>2.8704070939513389E-2</v>
      </c>
      <c r="GL81">
        <f t="shared" si="311"/>
        <v>3247.4898618132711</v>
      </c>
      <c r="GM81">
        <f t="shared" si="228"/>
        <v>2.2415321018834938E-6</v>
      </c>
      <c r="GN81">
        <f t="shared" si="151"/>
        <v>5.5665726546149578E-4</v>
      </c>
      <c r="GO81">
        <f t="shared" si="152"/>
        <v>0.22847319566696514</v>
      </c>
      <c r="GQ81">
        <f t="shared" si="153"/>
        <v>27.459628370526719</v>
      </c>
      <c r="GR81">
        <f t="shared" si="154"/>
        <v>0.376</v>
      </c>
      <c r="GS81">
        <f t="shared" si="296"/>
        <v>113136.90900000001</v>
      </c>
      <c r="GT81">
        <f t="shared" si="297"/>
        <v>5.1245645701467613E-3</v>
      </c>
      <c r="GU81">
        <f t="shared" si="155"/>
        <v>4.1796277971267656E-3</v>
      </c>
      <c r="GV81">
        <f t="shared" si="156"/>
        <v>1.2103409839895263E-2</v>
      </c>
      <c r="GW81">
        <f t="shared" si="157"/>
        <v>14.171049665843478</v>
      </c>
      <c r="GX81">
        <f t="shared" si="257"/>
        <v>2.6761471732453651E-6</v>
      </c>
      <c r="GY81">
        <f t="shared" si="229"/>
        <v>2.7552976266424025E-2</v>
      </c>
      <c r="GZ81">
        <f t="shared" si="312"/>
        <v>3117.2585685335753</v>
      </c>
      <c r="HA81">
        <f t="shared" si="230"/>
        <v>2.1961271178944054E-6</v>
      </c>
      <c r="HB81">
        <f t="shared" si="159"/>
        <v>5.267352929964631E-4</v>
      </c>
      <c r="HC81">
        <f t="shared" si="160"/>
        <v>0.2224328283902737</v>
      </c>
      <c r="HE81">
        <f t="shared" si="161"/>
        <v>29.357322107259733</v>
      </c>
      <c r="HF81">
        <f t="shared" si="162"/>
        <v>0.376</v>
      </c>
      <c r="HG81">
        <f t="shared" si="33"/>
        <v>113136.90900000001</v>
      </c>
      <c r="HH81">
        <f t="shared" si="34"/>
        <v>5.1245645701467613E-3</v>
      </c>
      <c r="HI81">
        <f t="shared" si="263"/>
        <v>4.1796277971267656E-3</v>
      </c>
      <c r="HJ81">
        <f t="shared" si="164"/>
        <v>1.2103409839895263E-2</v>
      </c>
      <c r="HK81">
        <f t="shared" si="165"/>
        <v>14.171049665843478</v>
      </c>
      <c r="HL81">
        <f t="shared" si="258"/>
        <v>2.6067456334872856E-6</v>
      </c>
      <c r="HM81">
        <f t="shared" si="231"/>
        <v>2.6463870357363119E-2</v>
      </c>
      <c r="HN81">
        <f t="shared" si="166"/>
        <v>2994.0404924087889</v>
      </c>
      <c r="HO81">
        <f t="shared" si="232"/>
        <v>2.1522855789616574E-6</v>
      </c>
      <c r="HP81">
        <f t="shared" si="167"/>
        <v>4.9868780961813365E-4</v>
      </c>
      <c r="HQ81">
        <f t="shared" si="168"/>
        <v>0.21666439347856103</v>
      </c>
      <c r="HS81">
        <f t="shared" si="169"/>
        <v>31.255015843992744</v>
      </c>
      <c r="HT81">
        <f t="shared" si="170"/>
        <v>0.376</v>
      </c>
      <c r="HU81">
        <f t="shared" si="35"/>
        <v>113136.90900000001</v>
      </c>
      <c r="HV81">
        <f t="shared" si="36"/>
        <v>5.1245645701467613E-3</v>
      </c>
      <c r="HW81">
        <f t="shared" si="264"/>
        <v>4.1796277971267656E-3</v>
      </c>
      <c r="HX81">
        <f t="shared" si="172"/>
        <v>1.2103409839895263E-2</v>
      </c>
      <c r="HY81">
        <f t="shared" si="173"/>
        <v>14.171049665843478</v>
      </c>
      <c r="HZ81">
        <f t="shared" si="259"/>
        <v>2.5404232495596158E-6</v>
      </c>
      <c r="IA81">
        <f t="shared" si="233"/>
        <v>2.5432697380864275E-2</v>
      </c>
      <c r="IB81">
        <f t="shared" si="174"/>
        <v>2877.3767692033803</v>
      </c>
      <c r="IC81">
        <f t="shared" si="234"/>
        <v>2.1099367057996249E-6</v>
      </c>
      <c r="ID81">
        <f t="shared" si="175"/>
        <v>4.7238121247385542E-4</v>
      </c>
      <c r="IE81">
        <f t="shared" si="176"/>
        <v>0.21115188819107078</v>
      </c>
      <c r="IG81">
        <f t="shared" si="177"/>
        <v>33.152709580725762</v>
      </c>
      <c r="IH81">
        <f t="shared" si="178"/>
        <v>0.376</v>
      </c>
      <c r="II81">
        <f t="shared" si="37"/>
        <v>113136.90900000001</v>
      </c>
      <c r="IJ81">
        <f t="shared" si="38"/>
        <v>5.1245645701467613E-3</v>
      </c>
      <c r="IK81">
        <f t="shared" si="265"/>
        <v>4.1796277971267656E-3</v>
      </c>
      <c r="IL81">
        <f t="shared" si="180"/>
        <v>1.2103409839895263E-2</v>
      </c>
      <c r="IM81">
        <f t="shared" si="181"/>
        <v>14.171049665843478</v>
      </c>
      <c r="IN81">
        <f t="shared" si="260"/>
        <v>2.4770009043494532E-6</v>
      </c>
      <c r="IO81">
        <f t="shared" si="235"/>
        <v>2.4455706173910231E-2</v>
      </c>
      <c r="IP81">
        <f t="shared" si="182"/>
        <v>2766.8430039284203</v>
      </c>
      <c r="IQ81">
        <f t="shared" si="236"/>
        <v>2.0690134769500514E-6</v>
      </c>
      <c r="IR81">
        <f t="shared" si="183"/>
        <v>4.4769249683323148E-4</v>
      </c>
      <c r="IS81">
        <f t="shared" si="184"/>
        <v>0.20588042488394145</v>
      </c>
      <c r="IU81">
        <f t="shared" si="185"/>
        <v>35.050403317458773</v>
      </c>
      <c r="IV81">
        <f t="shared" si="186"/>
        <v>0.376</v>
      </c>
      <c r="IW81">
        <f t="shared" si="39"/>
        <v>113136.90900000001</v>
      </c>
      <c r="IX81">
        <f t="shared" si="40"/>
        <v>5.1245645701467613E-3</v>
      </c>
      <c r="IY81">
        <f t="shared" si="266"/>
        <v>4.1796277971267656E-3</v>
      </c>
      <c r="IZ81">
        <f t="shared" si="188"/>
        <v>1.2103409839895263E-2</v>
      </c>
      <c r="JA81">
        <f t="shared" si="189"/>
        <v>14.171049665843478</v>
      </c>
      <c r="JB81">
        <f t="shared" si="261"/>
        <v>2.4163118433514297E-6</v>
      </c>
      <c r="JC81">
        <f t="shared" si="237"/>
        <v>2.3529424893058551E-2</v>
      </c>
      <c r="JD81">
        <f t="shared" si="190"/>
        <v>2662.0464029483005</v>
      </c>
      <c r="JE81">
        <f t="shared" si="238"/>
        <v>2.0294524101639459E-6</v>
      </c>
      <c r="JF81">
        <f t="shared" si="191"/>
        <v>4.2450834005147876E-4</v>
      </c>
      <c r="JG81">
        <f t="shared" si="192"/>
        <v>0.20083614345386985</v>
      </c>
      <c r="JI81">
        <f t="shared" si="193"/>
        <v>36.948097054191791</v>
      </c>
      <c r="JJ81">
        <f t="shared" si="194"/>
        <v>0.376</v>
      </c>
      <c r="JK81">
        <f t="shared" si="41"/>
        <v>113136.90900000001</v>
      </c>
      <c r="JL81">
        <f t="shared" si="42"/>
        <v>5.1245645701467613E-3</v>
      </c>
      <c r="JM81">
        <f t="shared" si="267"/>
        <v>4.1796277971267656E-3</v>
      </c>
      <c r="JN81">
        <f t="shared" si="196"/>
        <v>1.2103409839895263E-2</v>
      </c>
      <c r="JO81">
        <f t="shared" si="197"/>
        <v>14.171049665843478</v>
      </c>
      <c r="JP81">
        <f t="shared" si="262"/>
        <v>2.3582007117213543E-6</v>
      </c>
      <c r="JQ81">
        <f t="shared" si="239"/>
        <v>2.2650637945054855E-2</v>
      </c>
      <c r="JR81">
        <f t="shared" si="198"/>
        <v>2562.6231639816183</v>
      </c>
      <c r="JS81">
        <f t="shared" si="240"/>
        <v>1.991193357051708E-6</v>
      </c>
      <c r="JT81">
        <f t="shared" si="199"/>
        <v>4.0272427024415261E-4</v>
      </c>
      <c r="JU81">
        <f t="shared" si="200"/>
        <v>0.19600613130107708</v>
      </c>
    </row>
    <row r="82" spans="2:281">
      <c r="B82">
        <v>0.48</v>
      </c>
      <c r="C82">
        <f t="shared" si="43"/>
        <v>0.91089299363184695</v>
      </c>
      <c r="D82">
        <f t="shared" si="44"/>
        <v>0.38400000000000001</v>
      </c>
      <c r="E82">
        <f t="shared" si="268"/>
        <v>112952.481</v>
      </c>
      <c r="F82">
        <f t="shared" si="269"/>
        <v>5.1273521709175596E-3</v>
      </c>
      <c r="G82">
        <f t="shared" si="45"/>
        <v>4.1784914681491977E-3</v>
      </c>
      <c r="H82">
        <f t="shared" si="46"/>
        <v>1.2123172200581723E-2</v>
      </c>
      <c r="I82">
        <f t="shared" si="47"/>
        <v>14.186471063186872</v>
      </c>
      <c r="J82">
        <f t="shared" si="241"/>
        <v>4.1108327340023709E-6</v>
      </c>
      <c r="K82">
        <f t="shared" si="201"/>
        <v>5.2570602613018505E-2</v>
      </c>
      <c r="L82">
        <f t="shared" si="298"/>
        <v>5937.9799928055227</v>
      </c>
      <c r="M82">
        <f t="shared" si="202"/>
        <v>3.031031333667226E-6</v>
      </c>
      <c r="N82">
        <f t="shared" si="203"/>
        <v>1.1858539088794456E-3</v>
      </c>
      <c r="O82">
        <f t="shared" si="49"/>
        <v>0.34167932212584362</v>
      </c>
      <c r="Q82">
        <f t="shared" si="50"/>
        <v>2.8085867303648615</v>
      </c>
      <c r="R82">
        <f t="shared" si="51"/>
        <v>0.38400000000000001</v>
      </c>
      <c r="S82">
        <f t="shared" si="270"/>
        <v>112952.481</v>
      </c>
      <c r="T82">
        <f t="shared" si="271"/>
        <v>5.1273521709175596E-3</v>
      </c>
      <c r="U82">
        <f t="shared" si="52"/>
        <v>4.1784914681491977E-3</v>
      </c>
      <c r="V82">
        <f t="shared" si="53"/>
        <v>1.2123172200581723E-2</v>
      </c>
      <c r="W82">
        <f t="shared" si="54"/>
        <v>14.186471063186872</v>
      </c>
      <c r="X82">
        <f t="shared" si="242"/>
        <v>3.9693923752218782E-6</v>
      </c>
      <c r="Y82">
        <f t="shared" si="204"/>
        <v>5.0000572115010286E-2</v>
      </c>
      <c r="Z82">
        <f t="shared" si="299"/>
        <v>5647.6886718098294</v>
      </c>
      <c r="AA82">
        <f t="shared" si="205"/>
        <v>2.9560136496211513E-6</v>
      </c>
      <c r="AB82">
        <f t="shared" si="56"/>
        <v>1.1129075425869125E-3</v>
      </c>
      <c r="AC82">
        <f t="shared" si="57"/>
        <v>0.32992325005080625</v>
      </c>
      <c r="AE82">
        <f t="shared" si="58"/>
        <v>4.7062804670978755</v>
      </c>
      <c r="AF82">
        <f t="shared" si="59"/>
        <v>0.38400000000000001</v>
      </c>
      <c r="AG82">
        <f t="shared" si="272"/>
        <v>112952.481</v>
      </c>
      <c r="AH82">
        <f t="shared" si="273"/>
        <v>5.1273521709175596E-3</v>
      </c>
      <c r="AI82">
        <f t="shared" si="60"/>
        <v>4.1784914681491977E-3</v>
      </c>
      <c r="AJ82">
        <f t="shared" si="61"/>
        <v>1.2123172200581723E-2</v>
      </c>
      <c r="AK82">
        <f t="shared" si="62"/>
        <v>14.186471063186872</v>
      </c>
      <c r="AL82">
        <f t="shared" si="243"/>
        <v>3.8356581532851025E-6</v>
      </c>
      <c r="AM82">
        <f t="shared" si="206"/>
        <v>4.759337361228614E-2</v>
      </c>
      <c r="AN82">
        <f t="shared" si="300"/>
        <v>5375.7896286676514</v>
      </c>
      <c r="AO82">
        <f t="shared" si="207"/>
        <v>2.8839796629114417E-6</v>
      </c>
      <c r="AP82">
        <f t="shared" si="64"/>
        <v>1.0451474293845327E-3</v>
      </c>
      <c r="AQ82">
        <f t="shared" si="65"/>
        <v>0.31880768752294442</v>
      </c>
      <c r="AS82">
        <f t="shared" si="66"/>
        <v>6.60397420383089</v>
      </c>
      <c r="AT82">
        <f t="shared" si="67"/>
        <v>0.38400000000000001</v>
      </c>
      <c r="AU82">
        <f t="shared" si="274"/>
        <v>112952.481</v>
      </c>
      <c r="AV82">
        <f t="shared" si="275"/>
        <v>5.1273521709175596E-3</v>
      </c>
      <c r="AW82">
        <f t="shared" si="68"/>
        <v>4.1784914681491977E-3</v>
      </c>
      <c r="AX82">
        <f t="shared" si="69"/>
        <v>1.2123172200581723E-2</v>
      </c>
      <c r="AY82">
        <f t="shared" si="70"/>
        <v>14.186471063186872</v>
      </c>
      <c r="AZ82">
        <f t="shared" si="244"/>
        <v>3.7091042807222235E-6</v>
      </c>
      <c r="BA82">
        <f t="shared" si="208"/>
        <v>4.5336834652081597E-2</v>
      </c>
      <c r="BB82">
        <f t="shared" si="301"/>
        <v>5120.9079546393878</v>
      </c>
      <c r="BC82">
        <f t="shared" si="209"/>
        <v>2.8147805786817194E-6</v>
      </c>
      <c r="BD82">
        <f t="shared" si="72"/>
        <v>9.8215955039426925E-4</v>
      </c>
      <c r="BE82">
        <f t="shared" si="73"/>
        <v>0.30828893276261998</v>
      </c>
      <c r="BG82">
        <f t="shared" si="74"/>
        <v>8.5016679405639053</v>
      </c>
      <c r="BH82">
        <f t="shared" si="75"/>
        <v>0.38400000000000001</v>
      </c>
      <c r="BI82">
        <f t="shared" si="276"/>
        <v>112952.481</v>
      </c>
      <c r="BJ82">
        <f t="shared" si="277"/>
        <v>5.1273521709175596E-3</v>
      </c>
      <c r="BK82">
        <f t="shared" si="76"/>
        <v>4.1784914681491977E-3</v>
      </c>
      <c r="BL82">
        <f t="shared" si="77"/>
        <v>1.2123172200581723E-2</v>
      </c>
      <c r="BM82">
        <f t="shared" si="78"/>
        <v>14.186471063186872</v>
      </c>
      <c r="BN82">
        <f t="shared" si="245"/>
        <v>3.5892462597856473E-6</v>
      </c>
      <c r="BO82">
        <f t="shared" si="210"/>
        <v>4.3219802522992866E-2</v>
      </c>
      <c r="BP82">
        <f t="shared" si="302"/>
        <v>4881.7839233021041</v>
      </c>
      <c r="BQ82">
        <f t="shared" si="211"/>
        <v>2.7482759500439058E-6</v>
      </c>
      <c r="BR82">
        <f t="shared" si="80"/>
        <v>9.2356606386070049E-4</v>
      </c>
      <c r="BS82">
        <f t="shared" si="81"/>
        <v>0.29832671586038129</v>
      </c>
      <c r="BU82">
        <f t="shared" si="82"/>
        <v>10.39936167729692</v>
      </c>
      <c r="BV82">
        <f t="shared" si="83"/>
        <v>0.38400000000000001</v>
      </c>
      <c r="BW82">
        <f t="shared" si="278"/>
        <v>112952.481</v>
      </c>
      <c r="BX82">
        <f t="shared" si="279"/>
        <v>5.1273521709175596E-3</v>
      </c>
      <c r="BY82">
        <f t="shared" si="84"/>
        <v>4.1784914681491977E-3</v>
      </c>
      <c r="BZ82">
        <f t="shared" si="85"/>
        <v>1.2123172200581723E-2</v>
      </c>
      <c r="CA82">
        <f t="shared" si="86"/>
        <v>14.186471063186872</v>
      </c>
      <c r="CB82">
        <f t="shared" si="246"/>
        <v>3.4756373064064384E-6</v>
      </c>
      <c r="CC82">
        <f t="shared" si="247"/>
        <v>4.1232051548044803E-2</v>
      </c>
      <c r="CD82">
        <f t="shared" si="303"/>
        <v>4657.2625190715507</v>
      </c>
      <c r="CE82">
        <f t="shared" si="248"/>
        <v>2.6843331850218152E-6</v>
      </c>
      <c r="CF82">
        <f t="shared" si="212"/>
        <v>8.690219193688047E-4</v>
      </c>
      <c r="CG82">
        <f t="shared" si="88"/>
        <v>0.28888390154761284</v>
      </c>
      <c r="CI82">
        <f t="shared" si="89"/>
        <v>12.297055414029934</v>
      </c>
      <c r="CJ82">
        <f t="shared" si="90"/>
        <v>0.38400000000000001</v>
      </c>
      <c r="CK82">
        <f t="shared" si="280"/>
        <v>112952.481</v>
      </c>
      <c r="CL82">
        <f t="shared" si="281"/>
        <v>5.1273521709175596E-3</v>
      </c>
      <c r="CM82">
        <f t="shared" si="91"/>
        <v>4.1784914681491977E-3</v>
      </c>
      <c r="CN82">
        <f t="shared" si="92"/>
        <v>1.2123172200581723E-2</v>
      </c>
      <c r="CO82">
        <f t="shared" si="93"/>
        <v>14.186471063186872</v>
      </c>
      <c r="CP82">
        <f t="shared" si="249"/>
        <v>3.3678651068020977E-6</v>
      </c>
      <c r="CQ82">
        <f t="shared" si="213"/>
        <v>3.9364199323591559E-2</v>
      </c>
      <c r="CR82">
        <f t="shared" si="304"/>
        <v>4446.2839761781888</v>
      </c>
      <c r="CS82">
        <f t="shared" si="214"/>
        <v>2.6228270825103656E-6</v>
      </c>
      <c r="CT82">
        <f t="shared" si="95"/>
        <v>8.1821180551900588E-4</v>
      </c>
      <c r="CU82">
        <f t="shared" si="96"/>
        <v>0.27992621961610542</v>
      </c>
      <c r="CW82">
        <f t="shared" si="97"/>
        <v>14.194749150762949</v>
      </c>
      <c r="CX82">
        <f t="shared" si="98"/>
        <v>0.38400000000000001</v>
      </c>
      <c r="CY82">
        <f t="shared" si="282"/>
        <v>112952.481</v>
      </c>
      <c r="CZ82">
        <f t="shared" si="283"/>
        <v>5.1273521709175596E-3</v>
      </c>
      <c r="DA82">
        <f t="shared" si="99"/>
        <v>4.1784914681491977E-3</v>
      </c>
      <c r="DB82">
        <f t="shared" si="100"/>
        <v>1.2123172200581723E-2</v>
      </c>
      <c r="DC82">
        <f t="shared" si="101"/>
        <v>14.186471063186872</v>
      </c>
      <c r="DD82">
        <f t="shared" si="250"/>
        <v>3.2655488741216263E-6</v>
      </c>
      <c r="DE82">
        <f t="shared" si="215"/>
        <v>3.7607631002969225E-2</v>
      </c>
      <c r="DF82">
        <f t="shared" si="305"/>
        <v>4247.8752263178922</v>
      </c>
      <c r="DG82">
        <f t="shared" si="216"/>
        <v>2.5636393956557015E-6</v>
      </c>
      <c r="DH82">
        <f t="shared" si="103"/>
        <v>7.7084739699356222E-4</v>
      </c>
      <c r="DI82">
        <f t="shared" si="104"/>
        <v>0.27142202027576967</v>
      </c>
      <c r="DK82">
        <f t="shared" si="105"/>
        <v>16.092442887495963</v>
      </c>
      <c r="DL82">
        <f t="shared" si="106"/>
        <v>0.38400000000000001</v>
      </c>
      <c r="DM82">
        <f t="shared" si="284"/>
        <v>112952.481</v>
      </c>
      <c r="DN82">
        <f t="shared" si="285"/>
        <v>5.1273521709175596E-3</v>
      </c>
      <c r="DO82">
        <f t="shared" si="107"/>
        <v>4.1784914681491977E-3</v>
      </c>
      <c r="DP82">
        <f t="shared" si="108"/>
        <v>1.2123172200581723E-2</v>
      </c>
      <c r="DQ82">
        <f t="shared" si="109"/>
        <v>14.186471063186872</v>
      </c>
      <c r="DR82">
        <f t="shared" si="251"/>
        <v>3.1683366758346099E-6</v>
      </c>
      <c r="DS82">
        <f t="shared" si="217"/>
        <v>3.5954430817288198E-2</v>
      </c>
      <c r="DT82">
        <f t="shared" si="306"/>
        <v>4061.1421637555595</v>
      </c>
      <c r="DU82">
        <f t="shared" si="218"/>
        <v>2.5066584211351618E-6</v>
      </c>
      <c r="DV82">
        <f t="shared" si="111"/>
        <v>7.2666487051445926E-4</v>
      </c>
      <c r="DW82">
        <f t="shared" si="112"/>
        <v>0.26334205201573008</v>
      </c>
      <c r="DY82">
        <f t="shared" si="113"/>
        <v>17.990136624228978</v>
      </c>
      <c r="DZ82">
        <f t="shared" si="114"/>
        <v>0.38400000000000001</v>
      </c>
      <c r="EA82">
        <f t="shared" si="286"/>
        <v>112952.481</v>
      </c>
      <c r="EB82">
        <f t="shared" si="287"/>
        <v>5.1273521709175596E-3</v>
      </c>
      <c r="EC82">
        <f t="shared" si="115"/>
        <v>4.1784914681491977E-3</v>
      </c>
      <c r="ED82">
        <f t="shared" si="116"/>
        <v>1.2123172200581723E-2</v>
      </c>
      <c r="EE82">
        <f t="shared" si="117"/>
        <v>14.186471063186872</v>
      </c>
      <c r="EF82">
        <f t="shared" si="252"/>
        <v>3.0759030055449338E-6</v>
      </c>
      <c r="EG82">
        <f t="shared" si="219"/>
        <v>3.4397320109349226E-2</v>
      </c>
      <c r="EH82">
        <f t="shared" si="307"/>
        <v>3885.2626461021864</v>
      </c>
      <c r="EI82">
        <f t="shared" si="220"/>
        <v>2.4517786128872733E-6</v>
      </c>
      <c r="EJ82">
        <f t="shared" si="119"/>
        <v>6.8542266238067558E-4</v>
      </c>
      <c r="EK82">
        <f t="shared" si="120"/>
        <v>0.2556592597812159</v>
      </c>
      <c r="EM82">
        <f t="shared" si="121"/>
        <v>19.887830360961992</v>
      </c>
      <c r="EN82">
        <f t="shared" si="122"/>
        <v>0.38400000000000001</v>
      </c>
      <c r="EO82">
        <f t="shared" si="288"/>
        <v>112952.481</v>
      </c>
      <c r="EP82">
        <f t="shared" si="289"/>
        <v>5.1273521709175596E-3</v>
      </c>
      <c r="EQ82">
        <f t="shared" si="123"/>
        <v>4.1784914681491977E-3</v>
      </c>
      <c r="ER82">
        <f t="shared" si="124"/>
        <v>1.2123172200581723E-2</v>
      </c>
      <c r="ES82">
        <f t="shared" si="125"/>
        <v>14.186471063186872</v>
      </c>
      <c r="ET82">
        <f t="shared" si="253"/>
        <v>2.987946575573572E-6</v>
      </c>
      <c r="EU82">
        <f t="shared" si="221"/>
        <v>3.2929601231446372E-2</v>
      </c>
      <c r="EV82">
        <f t="shared" si="308"/>
        <v>3719.4801574325229</v>
      </c>
      <c r="EW82">
        <f t="shared" si="222"/>
        <v>2.3989002189111544E-6</v>
      </c>
      <c r="EX82">
        <f t="shared" si="127"/>
        <v>6.4689944312215099E-4</v>
      </c>
      <c r="EY82">
        <f t="shared" si="128"/>
        <v>0.24834860150007385</v>
      </c>
      <c r="FA82">
        <f t="shared" si="129"/>
        <v>21.785524097695006</v>
      </c>
      <c r="FB82">
        <f t="shared" si="130"/>
        <v>0.38400000000000001</v>
      </c>
      <c r="FC82">
        <f t="shared" si="290"/>
        <v>112952.481</v>
      </c>
      <c r="FD82">
        <f t="shared" si="291"/>
        <v>5.1273521709175596E-3</v>
      </c>
      <c r="FE82">
        <f t="shared" si="131"/>
        <v>4.1784914681491977E-3</v>
      </c>
      <c r="FF82">
        <f t="shared" si="132"/>
        <v>1.2123172200581723E-2</v>
      </c>
      <c r="FG82">
        <f t="shared" si="133"/>
        <v>14.186471063186872</v>
      </c>
      <c r="FH82">
        <f t="shared" si="254"/>
        <v>2.9041883090414194E-6</v>
      </c>
      <c r="FI82">
        <f t="shared" si="223"/>
        <v>3.1545106724717338E-2</v>
      </c>
      <c r="FJ82">
        <f t="shared" si="309"/>
        <v>3563.0980679666072</v>
      </c>
      <c r="FK82">
        <f t="shared" si="224"/>
        <v>2.3479289398216106E-6</v>
      </c>
      <c r="FL82">
        <f t="shared" si="135"/>
        <v>6.1089228735523729E-4</v>
      </c>
      <c r="FM82">
        <f t="shared" si="136"/>
        <v>0.24138688119108959</v>
      </c>
      <c r="FO82">
        <f t="shared" si="137"/>
        <v>23.683217834428021</v>
      </c>
      <c r="FP82">
        <f t="shared" si="138"/>
        <v>0.38400000000000001</v>
      </c>
      <c r="FQ82">
        <f t="shared" si="292"/>
        <v>112952.481</v>
      </c>
      <c r="FR82">
        <f t="shared" si="293"/>
        <v>5.1273521709175596E-3</v>
      </c>
      <c r="FS82">
        <f t="shared" si="139"/>
        <v>4.1784914681491977E-3</v>
      </c>
      <c r="FT82">
        <f t="shared" si="140"/>
        <v>1.2123172200581723E-2</v>
      </c>
      <c r="FU82">
        <f t="shared" si="141"/>
        <v>14.186471063186872</v>
      </c>
      <c r="FV82">
        <f t="shared" si="255"/>
        <v>2.8243695123219881E-6</v>
      </c>
      <c r="FW82">
        <f t="shared" si="225"/>
        <v>3.0238153257559363E-2</v>
      </c>
      <c r="FX82">
        <f t="shared" si="310"/>
        <v>3415.4744312995622</v>
      </c>
      <c r="FY82">
        <f t="shared" si="226"/>
        <v>2.2987756079110513E-6</v>
      </c>
      <c r="FZ82">
        <f t="shared" si="143"/>
        <v>5.7721501920211284E-4</v>
      </c>
      <c r="GA82">
        <f t="shared" si="144"/>
        <v>0.23475259706407697</v>
      </c>
      <c r="GC82">
        <f t="shared" si="145"/>
        <v>25.580911571161035</v>
      </c>
      <c r="GD82">
        <f t="shared" si="146"/>
        <v>0.38400000000000001</v>
      </c>
      <c r="GE82">
        <f t="shared" si="294"/>
        <v>112952.481</v>
      </c>
      <c r="GF82">
        <f t="shared" si="295"/>
        <v>5.1273521709175596E-3</v>
      </c>
      <c r="GG82">
        <f t="shared" si="147"/>
        <v>4.1784914681491977E-3</v>
      </c>
      <c r="GH82">
        <f t="shared" si="148"/>
        <v>1.2123172200581723E-2</v>
      </c>
      <c r="GI82">
        <f t="shared" si="149"/>
        <v>14.186471063186872</v>
      </c>
      <c r="GJ82">
        <f t="shared" si="256"/>
        <v>2.7482502106506984E-6</v>
      </c>
      <c r="GK82">
        <f t="shared" si="227"/>
        <v>2.9003499854190776E-2</v>
      </c>
      <c r="GL82">
        <f t="shared" si="311"/>
        <v>3276.0172662139862</v>
      </c>
      <c r="GM82">
        <f t="shared" si="228"/>
        <v>2.2513558855319292E-6</v>
      </c>
      <c r="GN82">
        <f t="shared" si="151"/>
        <v>5.4569671567310338E-4</v>
      </c>
      <c r="GO82">
        <f t="shared" si="152"/>
        <v>0.22842580318102429</v>
      </c>
      <c r="GQ82">
        <f t="shared" si="153"/>
        <v>27.47860530789405</v>
      </c>
      <c r="GR82">
        <f t="shared" si="154"/>
        <v>0.38400000000000001</v>
      </c>
      <c r="GS82">
        <f t="shared" si="296"/>
        <v>112952.481</v>
      </c>
      <c r="GT82">
        <f t="shared" si="297"/>
        <v>5.1273521709175596E-3</v>
      </c>
      <c r="GU82">
        <f t="shared" si="155"/>
        <v>4.1784914681491977E-3</v>
      </c>
      <c r="GV82">
        <f t="shared" si="156"/>
        <v>1.2123172200581723E-2</v>
      </c>
      <c r="GW82">
        <f t="shared" si="157"/>
        <v>14.186471063186872</v>
      </c>
      <c r="GX82">
        <f t="shared" si="257"/>
        <v>2.6756076313964234E-6</v>
      </c>
      <c r="GY82">
        <f t="shared" si="229"/>
        <v>2.7836309992380966E-2</v>
      </c>
      <c r="GZ82">
        <f t="shared" si="312"/>
        <v>3144.1802755245212</v>
      </c>
      <c r="HA82">
        <f t="shared" si="230"/>
        <v>2.2055899816739105E-6</v>
      </c>
      <c r="HB82">
        <f t="shared" si="159"/>
        <v>5.1618035223215738E-4</v>
      </c>
      <c r="HC82">
        <f t="shared" si="160"/>
        <v>0.22238798339045648</v>
      </c>
      <c r="HE82">
        <f t="shared" si="161"/>
        <v>29.376299044627064</v>
      </c>
      <c r="HF82">
        <f t="shared" si="162"/>
        <v>0.38400000000000001</v>
      </c>
      <c r="HG82">
        <f t="shared" si="33"/>
        <v>112952.481</v>
      </c>
      <c r="HH82">
        <f t="shared" si="34"/>
        <v>5.1273521709175596E-3</v>
      </c>
      <c r="HI82">
        <f t="shared" si="263"/>
        <v>4.1784914681491977E-3</v>
      </c>
      <c r="HJ82">
        <f t="shared" si="164"/>
        <v>1.2123172200581723E-2</v>
      </c>
      <c r="HK82">
        <f t="shared" si="165"/>
        <v>14.186471063186872</v>
      </c>
      <c r="HL82">
        <f t="shared" si="258"/>
        <v>2.606234821042356E-6</v>
      </c>
      <c r="HM82">
        <f t="shared" si="231"/>
        <v>2.6732117192285871E-2</v>
      </c>
      <c r="HN82">
        <f t="shared" si="166"/>
        <v>3019.458959251443</v>
      </c>
      <c r="HO82">
        <f t="shared" si="232"/>
        <v>2.1614023856682245E-6</v>
      </c>
      <c r="HP82">
        <f t="shared" si="167"/>
        <v>4.8852157639455883E-4</v>
      </c>
      <c r="HQ82">
        <f t="shared" si="168"/>
        <v>0.21662193637529015</v>
      </c>
      <c r="HS82">
        <f t="shared" si="169"/>
        <v>31.273992781360079</v>
      </c>
      <c r="HT82">
        <f t="shared" si="170"/>
        <v>0.38400000000000001</v>
      </c>
      <c r="HU82">
        <f t="shared" si="35"/>
        <v>112952.481</v>
      </c>
      <c r="HV82">
        <f t="shared" si="36"/>
        <v>5.1273521709175596E-3</v>
      </c>
      <c r="HW82">
        <f t="shared" si="264"/>
        <v>4.1784914681491977E-3</v>
      </c>
      <c r="HX82">
        <f t="shared" si="172"/>
        <v>1.2123172200581723E-2</v>
      </c>
      <c r="HY82">
        <f t="shared" si="173"/>
        <v>14.186471063186872</v>
      </c>
      <c r="HZ82">
        <f t="shared" si="259"/>
        <v>2.5399393833061629E-6</v>
      </c>
      <c r="IA82">
        <f t="shared" si="233"/>
        <v>2.5686793756751505E-2</v>
      </c>
      <c r="IB82">
        <f t="shared" si="174"/>
        <v>2901.3870837603931</v>
      </c>
      <c r="IC82">
        <f t="shared" si="234"/>
        <v>2.1187216170077784E-6</v>
      </c>
      <c r="ID82">
        <f t="shared" si="175"/>
        <v>4.6258759666302908E-4</v>
      </c>
      <c r="IE82">
        <f t="shared" si="176"/>
        <v>0.21111167076940049</v>
      </c>
      <c r="IG82">
        <f t="shared" si="177"/>
        <v>33.171686518093097</v>
      </c>
      <c r="IH82">
        <f t="shared" si="178"/>
        <v>0.38400000000000001</v>
      </c>
      <c r="II82">
        <f t="shared" si="37"/>
        <v>112952.481</v>
      </c>
      <c r="IJ82">
        <f t="shared" si="38"/>
        <v>5.1273521709175596E-3</v>
      </c>
      <c r="IK82">
        <f t="shared" si="265"/>
        <v>4.1784914681491977E-3</v>
      </c>
      <c r="IL82">
        <f t="shared" si="180"/>
        <v>1.2123172200581723E-2</v>
      </c>
      <c r="IM82">
        <f t="shared" si="181"/>
        <v>14.186471063186872</v>
      </c>
      <c r="IN82">
        <f t="shared" si="260"/>
        <v>2.4765423270702951E-6</v>
      </c>
      <c r="IO82">
        <f t="shared" si="235"/>
        <v>2.4696522357859386E-2</v>
      </c>
      <c r="IP82">
        <f t="shared" si="182"/>
        <v>2789.5334723921874</v>
      </c>
      <c r="IQ82">
        <f t="shared" si="236"/>
        <v>2.0774799903255644E-6</v>
      </c>
      <c r="IR82">
        <f t="shared" si="183"/>
        <v>4.3825617541190927E-4</v>
      </c>
      <c r="IS82">
        <f t="shared" si="184"/>
        <v>0.20584230940125858</v>
      </c>
      <c r="IU82">
        <f t="shared" si="185"/>
        <v>35.069380254826108</v>
      </c>
      <c r="IV82">
        <f t="shared" si="186"/>
        <v>0.38400000000000001</v>
      </c>
      <c r="IW82">
        <f t="shared" si="39"/>
        <v>112952.481</v>
      </c>
      <c r="IX82">
        <f t="shared" si="40"/>
        <v>5.1273521709175596E-3</v>
      </c>
      <c r="IY82">
        <f t="shared" si="266"/>
        <v>4.1784914681491977E-3</v>
      </c>
      <c r="IZ82">
        <f t="shared" si="188"/>
        <v>1.2123172200581723E-2</v>
      </c>
      <c r="JA82">
        <f t="shared" si="189"/>
        <v>14.186471063186872</v>
      </c>
      <c r="JB82">
        <f t="shared" si="261"/>
        <v>2.4158770139072515E-6</v>
      </c>
      <c r="JC82">
        <f t="shared" si="237"/>
        <v>2.3757770195311556E-2</v>
      </c>
      <c r="JD82">
        <f t="shared" si="190"/>
        <v>2683.4990865882946</v>
      </c>
      <c r="JE82">
        <f t="shared" si="238"/>
        <v>2.0376133946256764E-6</v>
      </c>
      <c r="JF82">
        <f t="shared" si="191"/>
        <v>4.1541471549556987E-4</v>
      </c>
      <c r="JG82">
        <f t="shared" si="192"/>
        <v>0.20080000181558369</v>
      </c>
      <c r="JI82">
        <f t="shared" si="193"/>
        <v>36.967073991559126</v>
      </c>
      <c r="JJ82">
        <f t="shared" si="194"/>
        <v>0.38400000000000001</v>
      </c>
      <c r="JK82">
        <f t="shared" si="41"/>
        <v>112952.481</v>
      </c>
      <c r="JL82">
        <f t="shared" si="42"/>
        <v>5.1273521709175596E-3</v>
      </c>
      <c r="JM82">
        <f t="shared" si="267"/>
        <v>4.1784914681491977E-3</v>
      </c>
      <c r="JN82">
        <f t="shared" si="196"/>
        <v>1.2123172200581723E-2</v>
      </c>
      <c r="JO82">
        <f t="shared" si="197"/>
        <v>14.186471063186872</v>
      </c>
      <c r="JP82">
        <f t="shared" si="262"/>
        <v>2.3577881959847586E-6</v>
      </c>
      <c r="JQ82">
        <f t="shared" si="239"/>
        <v>2.2867265479869295E-2</v>
      </c>
      <c r="JR82">
        <f t="shared" si="198"/>
        <v>2582.9143696368924</v>
      </c>
      <c r="JS82">
        <f t="shared" si="240"/>
        <v>1.999061085910863E-6</v>
      </c>
      <c r="JT82">
        <f t="shared" si="199"/>
        <v>3.9395943140111008E-4</v>
      </c>
      <c r="JU82">
        <f t="shared" si="200"/>
        <v>0.19597184430708667</v>
      </c>
    </row>
    <row r="83" spans="2:281">
      <c r="B83">
        <v>0.49</v>
      </c>
      <c r="C83">
        <f t="shared" si="43"/>
        <v>0.92986993099917703</v>
      </c>
      <c r="D83">
        <f t="shared" si="44"/>
        <v>0.39200000000000002</v>
      </c>
      <c r="E83">
        <f t="shared" si="268"/>
        <v>112768.05300000001</v>
      </c>
      <c r="F83">
        <f t="shared" si="269"/>
        <v>5.1301458470697156E-3</v>
      </c>
      <c r="G83">
        <f t="shared" si="45"/>
        <v>4.1773535919601163E-3</v>
      </c>
      <c r="H83">
        <f t="shared" si="46"/>
        <v>1.2142999202495189E-2</v>
      </c>
      <c r="I83">
        <f t="shared" si="47"/>
        <v>14.201934484296746</v>
      </c>
      <c r="J83">
        <f t="shared" si="241"/>
        <v>4.1096180483356256E-6</v>
      </c>
      <c r="K83">
        <f t="shared" si="201"/>
        <v>5.3208479761010674E-2</v>
      </c>
      <c r="L83">
        <f t="shared" si="298"/>
        <v>6000.2166657390799</v>
      </c>
      <c r="M83">
        <f t="shared" si="202"/>
        <v>3.0468742286030067E-6</v>
      </c>
      <c r="N83">
        <f t="shared" si="203"/>
        <v>1.1680750227723573E-3</v>
      </c>
      <c r="O83">
        <f t="shared" si="49"/>
        <v>0.34157836132250652</v>
      </c>
      <c r="Q83">
        <f t="shared" si="50"/>
        <v>2.8275636677321914</v>
      </c>
      <c r="R83">
        <f t="shared" si="51"/>
        <v>0.39200000000000002</v>
      </c>
      <c r="S83">
        <f t="shared" si="270"/>
        <v>112768.05300000001</v>
      </c>
      <c r="T83">
        <f t="shared" si="271"/>
        <v>5.1301458470697156E-3</v>
      </c>
      <c r="U83">
        <f t="shared" si="52"/>
        <v>4.1773535919601163E-3</v>
      </c>
      <c r="V83">
        <f t="shared" si="53"/>
        <v>1.2142999202495189E-2</v>
      </c>
      <c r="W83">
        <f t="shared" si="54"/>
        <v>14.201934484296746</v>
      </c>
      <c r="X83">
        <f t="shared" si="242"/>
        <v>3.9682524094720746E-6</v>
      </c>
      <c r="Y83">
        <f t="shared" si="204"/>
        <v>5.0599211023166446E-2</v>
      </c>
      <c r="Z83">
        <f t="shared" si="299"/>
        <v>5705.9745104186186</v>
      </c>
      <c r="AA83">
        <f t="shared" si="205"/>
        <v>2.9712279693998522E-6</v>
      </c>
      <c r="AB83">
        <f t="shared" si="56"/>
        <v>1.0958420307115645E-3</v>
      </c>
      <c r="AC83">
        <f t="shared" si="57"/>
        <v>0.32982849972895106</v>
      </c>
      <c r="AE83">
        <f t="shared" si="58"/>
        <v>4.7252574044652063</v>
      </c>
      <c r="AF83">
        <f t="shared" si="59"/>
        <v>0.39200000000000002</v>
      </c>
      <c r="AG83">
        <f t="shared" si="272"/>
        <v>112768.05300000001</v>
      </c>
      <c r="AH83">
        <f t="shared" si="273"/>
        <v>5.1301458470697156E-3</v>
      </c>
      <c r="AI83">
        <f t="shared" si="60"/>
        <v>4.1773535919601163E-3</v>
      </c>
      <c r="AJ83">
        <f t="shared" si="61"/>
        <v>1.2142999202495189E-2</v>
      </c>
      <c r="AK83">
        <f t="shared" si="62"/>
        <v>14.201934484296746</v>
      </c>
      <c r="AL83">
        <f t="shared" si="243"/>
        <v>3.8345875951053782E-6</v>
      </c>
      <c r="AM83">
        <f t="shared" si="206"/>
        <v>4.8155563993829122E-2</v>
      </c>
      <c r="AN83">
        <f t="shared" si="300"/>
        <v>5430.4091927010149</v>
      </c>
      <c r="AO83">
        <f t="shared" si="207"/>
        <v>2.8985936662593375E-6</v>
      </c>
      <c r="AP83">
        <f t="shared" si="64"/>
        <v>1.0287626325850559E-3</v>
      </c>
      <c r="AQ83">
        <f t="shared" si="65"/>
        <v>0.31871870613722203</v>
      </c>
      <c r="AS83">
        <f t="shared" si="66"/>
        <v>6.6229511411982207</v>
      </c>
      <c r="AT83">
        <f t="shared" si="67"/>
        <v>0.39200000000000002</v>
      </c>
      <c r="AU83">
        <f t="shared" si="274"/>
        <v>112768.05300000001</v>
      </c>
      <c r="AV83">
        <f t="shared" si="275"/>
        <v>5.1301458470697156E-3</v>
      </c>
      <c r="AW83">
        <f t="shared" si="68"/>
        <v>4.1773535919601163E-3</v>
      </c>
      <c r="AX83">
        <f t="shared" si="69"/>
        <v>1.2142999202495189E-2</v>
      </c>
      <c r="AY83">
        <f t="shared" si="70"/>
        <v>14.201934484296746</v>
      </c>
      <c r="AZ83">
        <f t="shared" si="244"/>
        <v>3.7080982418506663E-6</v>
      </c>
      <c r="BA83">
        <f t="shared" si="208"/>
        <v>4.5865143517269537E-2</v>
      </c>
      <c r="BB83">
        <f t="shared" si="301"/>
        <v>5172.1229350080584</v>
      </c>
      <c r="BC83">
        <f t="shared" si="209"/>
        <v>2.8288210853368109E-6</v>
      </c>
      <c r="BD83">
        <f t="shared" si="72"/>
        <v>9.6642451882386756E-4</v>
      </c>
      <c r="BE83">
        <f t="shared" si="73"/>
        <v>0.30820531401627144</v>
      </c>
      <c r="BG83">
        <f t="shared" si="74"/>
        <v>8.520644877931236</v>
      </c>
      <c r="BH83">
        <f t="shared" si="75"/>
        <v>0.39200000000000002</v>
      </c>
      <c r="BI83">
        <f t="shared" si="276"/>
        <v>112768.05300000001</v>
      </c>
      <c r="BJ83">
        <f t="shared" si="277"/>
        <v>5.1301458470697156E-3</v>
      </c>
      <c r="BK83">
        <f t="shared" si="76"/>
        <v>4.1773535919601163E-3</v>
      </c>
      <c r="BL83">
        <f t="shared" si="77"/>
        <v>1.2142999202495189E-2</v>
      </c>
      <c r="BM83">
        <f t="shared" si="78"/>
        <v>14.201934484296746</v>
      </c>
      <c r="BN83">
        <f t="shared" si="245"/>
        <v>3.5883002389885965E-6</v>
      </c>
      <c r="BO83">
        <f t="shared" si="210"/>
        <v>4.3716593638986667E-2</v>
      </c>
      <c r="BP83">
        <f t="shared" si="302"/>
        <v>4929.8351484607119</v>
      </c>
      <c r="BQ83">
        <f t="shared" si="211"/>
        <v>2.7617684209774694E-6</v>
      </c>
      <c r="BR83">
        <f t="shared" si="80"/>
        <v>9.084514576507515E-4</v>
      </c>
      <c r="BS83">
        <f t="shared" si="81"/>
        <v>0.298248085625203</v>
      </c>
      <c r="BU83">
        <f t="shared" si="82"/>
        <v>10.41833861466425</v>
      </c>
      <c r="BV83">
        <f t="shared" si="83"/>
        <v>0.39200000000000002</v>
      </c>
      <c r="BW83">
        <f t="shared" si="278"/>
        <v>112768.05300000001</v>
      </c>
      <c r="BX83">
        <f t="shared" si="279"/>
        <v>5.1301458470697156E-3</v>
      </c>
      <c r="BY83">
        <f t="shared" si="84"/>
        <v>4.1773535919601163E-3</v>
      </c>
      <c r="BZ83">
        <f t="shared" si="85"/>
        <v>1.2142999202495189E-2</v>
      </c>
      <c r="CA83">
        <f t="shared" si="86"/>
        <v>14.201934484296746</v>
      </c>
      <c r="CB83">
        <f t="shared" si="246"/>
        <v>3.4747471558898861E-6</v>
      </c>
      <c r="CC83">
        <f t="shared" si="247"/>
        <v>4.1699503077545157E-2</v>
      </c>
      <c r="CD83">
        <f t="shared" si="303"/>
        <v>4702.371773122276</v>
      </c>
      <c r="CE83">
        <f t="shared" si="248"/>
        <v>2.6973017979941088E-6</v>
      </c>
      <c r="CF83">
        <f t="shared" si="212"/>
        <v>8.5449991547055103E-4</v>
      </c>
      <c r="CG83">
        <f t="shared" si="88"/>
        <v>0.28880991507217929</v>
      </c>
      <c r="CI83">
        <f t="shared" si="89"/>
        <v>12.316032351397265</v>
      </c>
      <c r="CJ83">
        <f t="shared" si="90"/>
        <v>0.39200000000000002</v>
      </c>
      <c r="CK83">
        <f t="shared" si="280"/>
        <v>112768.05300000001</v>
      </c>
      <c r="CL83">
        <f t="shared" si="281"/>
        <v>5.1301458470697156E-3</v>
      </c>
      <c r="CM83">
        <f t="shared" si="91"/>
        <v>4.1773535919601163E-3</v>
      </c>
      <c r="CN83">
        <f t="shared" si="92"/>
        <v>1.2142999202495189E-2</v>
      </c>
      <c r="CO83">
        <f t="shared" si="93"/>
        <v>14.201934484296746</v>
      </c>
      <c r="CP83">
        <f t="shared" si="249"/>
        <v>3.3670270017496256E-6</v>
      </c>
      <c r="CQ83">
        <f t="shared" si="213"/>
        <v>3.9804319821614101E-2</v>
      </c>
      <c r="CR83">
        <f t="shared" si="304"/>
        <v>4488.6556472727298</v>
      </c>
      <c r="CS83">
        <f t="shared" si="214"/>
        <v>2.6352948032295996E-6</v>
      </c>
      <c r="CT83">
        <f t="shared" si="95"/>
        <v>8.04256010319203E-4</v>
      </c>
      <c r="CU83">
        <f t="shared" si="96"/>
        <v>0.27985655899385964</v>
      </c>
      <c r="CW83">
        <f t="shared" si="97"/>
        <v>14.213726088130279</v>
      </c>
      <c r="CX83">
        <f t="shared" si="98"/>
        <v>0.39200000000000002</v>
      </c>
      <c r="CY83">
        <f t="shared" si="282"/>
        <v>112768.05300000001</v>
      </c>
      <c r="CZ83">
        <f t="shared" si="283"/>
        <v>5.1301458470697156E-3</v>
      </c>
      <c r="DA83">
        <f t="shared" si="99"/>
        <v>4.1773535919601163E-3</v>
      </c>
      <c r="DB83">
        <f t="shared" si="100"/>
        <v>1.2142999202495189E-2</v>
      </c>
      <c r="DC83">
        <f t="shared" si="101"/>
        <v>14.201934484296746</v>
      </c>
      <c r="DD83">
        <f t="shared" si="250"/>
        <v>3.2647592850522099E-6</v>
      </c>
      <c r="DE83">
        <f t="shared" si="215"/>
        <v>3.8022273932802025E-2</v>
      </c>
      <c r="DF83">
        <f t="shared" si="305"/>
        <v>4287.6978020347378</v>
      </c>
      <c r="DG83">
        <f t="shared" si="216"/>
        <v>2.5756280447948803E-6</v>
      </c>
      <c r="DH83">
        <f t="shared" si="103"/>
        <v>7.5743276433190294E-4</v>
      </c>
      <c r="DI83">
        <f t="shared" si="104"/>
        <v>0.27135639214749174</v>
      </c>
      <c r="DK83">
        <f t="shared" si="105"/>
        <v>16.111419824863294</v>
      </c>
      <c r="DL83">
        <f t="shared" si="106"/>
        <v>0.39200000000000002</v>
      </c>
      <c r="DM83">
        <f t="shared" si="284"/>
        <v>112768.05300000001</v>
      </c>
      <c r="DN83">
        <f t="shared" si="285"/>
        <v>5.1301458470697156E-3</v>
      </c>
      <c r="DO83">
        <f t="shared" si="107"/>
        <v>4.1773535919601163E-3</v>
      </c>
      <c r="DP83">
        <f t="shared" si="108"/>
        <v>1.2142999202495189E-2</v>
      </c>
      <c r="DQ83">
        <f t="shared" si="109"/>
        <v>14.201934484296746</v>
      </c>
      <c r="DR83">
        <f t="shared" si="251"/>
        <v>3.1675923435048581E-6</v>
      </c>
      <c r="DS83">
        <f t="shared" si="217"/>
        <v>3.6345307730269727E-2</v>
      </c>
      <c r="DT83">
        <f t="shared" si="306"/>
        <v>4098.5895884283664</v>
      </c>
      <c r="DU83">
        <f t="shared" si="218"/>
        <v>2.5181887374475125E-6</v>
      </c>
      <c r="DV83">
        <f t="shared" si="111"/>
        <v>7.1376762475526122E-4</v>
      </c>
      <c r="DW83">
        <f t="shared" si="112"/>
        <v>0.26328018548349141</v>
      </c>
      <c r="DY83">
        <f t="shared" si="113"/>
        <v>18.009113561596308</v>
      </c>
      <c r="DZ83">
        <f t="shared" si="114"/>
        <v>0.39200000000000002</v>
      </c>
      <c r="EA83">
        <f t="shared" si="286"/>
        <v>112768.05300000001</v>
      </c>
      <c r="EB83">
        <f t="shared" si="287"/>
        <v>5.1301458470697156E-3</v>
      </c>
      <c r="EC83">
        <f t="shared" si="115"/>
        <v>4.1773535919601163E-3</v>
      </c>
      <c r="ED83">
        <f t="shared" si="116"/>
        <v>1.2142999202495189E-2</v>
      </c>
      <c r="EE83">
        <f t="shared" si="117"/>
        <v>14.201934484296746</v>
      </c>
      <c r="EF83">
        <f t="shared" si="252"/>
        <v>3.0752009181483141E-6</v>
      </c>
      <c r="EG83">
        <f t="shared" si="219"/>
        <v>3.4766012618413632E-2</v>
      </c>
      <c r="EH83">
        <f t="shared" si="307"/>
        <v>3920.4955535519375</v>
      </c>
      <c r="EI83">
        <f t="shared" si="220"/>
        <v>2.4628703126478282E-6</v>
      </c>
      <c r="EJ83">
        <f t="shared" si="119"/>
        <v>6.7302022621420121E-4</v>
      </c>
      <c r="EK83">
        <f t="shared" si="120"/>
        <v>0.25560090451325135</v>
      </c>
      <c r="EM83">
        <f t="shared" si="121"/>
        <v>19.906807298329323</v>
      </c>
      <c r="EN83">
        <f t="shared" si="122"/>
        <v>0.39200000000000002</v>
      </c>
      <c r="EO83">
        <f t="shared" si="288"/>
        <v>112768.05300000001</v>
      </c>
      <c r="EP83">
        <f t="shared" si="289"/>
        <v>5.1301458470697156E-3</v>
      </c>
      <c r="EQ83">
        <f t="shared" si="123"/>
        <v>4.1773535919601163E-3</v>
      </c>
      <c r="ER83">
        <f t="shared" si="124"/>
        <v>1.2142999202495189E-2</v>
      </c>
      <c r="ES83">
        <f t="shared" si="125"/>
        <v>14.201934484296746</v>
      </c>
      <c r="ET83">
        <f t="shared" si="253"/>
        <v>2.9872839480142225E-6</v>
      </c>
      <c r="EU83">
        <f t="shared" si="221"/>
        <v>3.3277571895224352E-2</v>
      </c>
      <c r="EV83">
        <f t="shared" si="308"/>
        <v>3752.6469911919708</v>
      </c>
      <c r="EW83">
        <f t="shared" si="222"/>
        <v>2.4095720518994521E-6</v>
      </c>
      <c r="EX83">
        <f t="shared" si="127"/>
        <v>6.3497036979231851E-4</v>
      </c>
      <c r="EY83">
        <f t="shared" si="128"/>
        <v>0.2482935260080871</v>
      </c>
      <c r="FA83">
        <f t="shared" si="129"/>
        <v>21.804501035062337</v>
      </c>
      <c r="FB83">
        <f t="shared" si="130"/>
        <v>0.39200000000000002</v>
      </c>
      <c r="FC83">
        <f t="shared" si="290"/>
        <v>112768.05300000001</v>
      </c>
      <c r="FD83">
        <f t="shared" si="291"/>
        <v>5.1301458470697156E-3</v>
      </c>
      <c r="FE83">
        <f t="shared" si="131"/>
        <v>4.1773535919601163E-3</v>
      </c>
      <c r="FF83">
        <f t="shared" si="132"/>
        <v>1.2142999202495189E-2</v>
      </c>
      <c r="FG83">
        <f t="shared" si="133"/>
        <v>14.201934484296746</v>
      </c>
      <c r="FH83">
        <f t="shared" si="254"/>
        <v>2.9035625640826016E-6</v>
      </c>
      <c r="FI83">
        <f t="shared" si="223"/>
        <v>3.187370894719245E-2</v>
      </c>
      <c r="FJ83">
        <f t="shared" si="309"/>
        <v>3594.3360998635731</v>
      </c>
      <c r="FK83">
        <f t="shared" si="224"/>
        <v>2.3581987420485371E-6</v>
      </c>
      <c r="FL83">
        <f t="shared" si="135"/>
        <v>5.9941619703037386E-4</v>
      </c>
      <c r="FM83">
        <f t="shared" si="136"/>
        <v>0.2413348712633725</v>
      </c>
      <c r="FO83">
        <f t="shared" si="137"/>
        <v>23.702194771795352</v>
      </c>
      <c r="FP83">
        <f t="shared" si="138"/>
        <v>0.39200000000000002</v>
      </c>
      <c r="FQ83">
        <f t="shared" si="292"/>
        <v>112768.05300000001</v>
      </c>
      <c r="FR83">
        <f t="shared" si="293"/>
        <v>5.1301458470697156E-3</v>
      </c>
      <c r="FS83">
        <f t="shared" si="139"/>
        <v>4.1773535919601163E-3</v>
      </c>
      <c r="FT83">
        <f t="shared" si="140"/>
        <v>1.2142999202495189E-2</v>
      </c>
      <c r="FU83">
        <f t="shared" si="141"/>
        <v>14.201934484296746</v>
      </c>
      <c r="FV83">
        <f t="shared" si="255"/>
        <v>2.8237782634293504E-6</v>
      </c>
      <c r="FW83">
        <f t="shared" si="225"/>
        <v>3.0548640297716628E-2</v>
      </c>
      <c r="FX83">
        <f t="shared" si="310"/>
        <v>3444.9106881708449</v>
      </c>
      <c r="FY83">
        <f t="shared" si="226"/>
        <v>2.3086603512814647E-6</v>
      </c>
      <c r="FZ83">
        <f t="shared" si="143"/>
        <v>5.6617253922396332E-4</v>
      </c>
      <c r="GA83">
        <f t="shared" si="144"/>
        <v>0.23470345433949635</v>
      </c>
      <c r="GC83">
        <f t="shared" si="145"/>
        <v>25.599888508528366</v>
      </c>
      <c r="GD83">
        <f t="shared" si="146"/>
        <v>0.39200000000000002</v>
      </c>
      <c r="GE83">
        <f t="shared" si="294"/>
        <v>112768.05300000001</v>
      </c>
      <c r="GF83">
        <f t="shared" si="295"/>
        <v>5.1301458470697156E-3</v>
      </c>
      <c r="GG83">
        <f t="shared" si="147"/>
        <v>4.1773535919601163E-3</v>
      </c>
      <c r="GH83">
        <f t="shared" si="148"/>
        <v>1.2142999202495189E-2</v>
      </c>
      <c r="GI83">
        <f t="shared" si="149"/>
        <v>14.201934484296746</v>
      </c>
      <c r="GJ83">
        <f t="shared" si="256"/>
        <v>2.747691246368543E-6</v>
      </c>
      <c r="GK83">
        <f t="shared" si="227"/>
        <v>2.9297033030626633E-2</v>
      </c>
      <c r="GL83">
        <f t="shared" si="311"/>
        <v>3303.769373540455</v>
      </c>
      <c r="GM83">
        <f t="shared" si="228"/>
        <v>2.2608717246238861E-6</v>
      </c>
      <c r="GN83">
        <f t="shared" si="151"/>
        <v>5.3506942443663004E-4</v>
      </c>
      <c r="GO83">
        <f t="shared" si="152"/>
        <v>0.22837934385042696</v>
      </c>
      <c r="GQ83">
        <f t="shared" si="153"/>
        <v>27.497582245261381</v>
      </c>
      <c r="GR83">
        <f t="shared" si="154"/>
        <v>0.39200000000000002</v>
      </c>
      <c r="GS83">
        <f t="shared" si="296"/>
        <v>112768.05300000001</v>
      </c>
      <c r="GT83">
        <f t="shared" si="297"/>
        <v>5.1301458470697156E-3</v>
      </c>
      <c r="GU83">
        <f t="shared" si="155"/>
        <v>4.1773535919601163E-3</v>
      </c>
      <c r="GV83">
        <f t="shared" si="156"/>
        <v>1.2142999202495189E-2</v>
      </c>
      <c r="GW83">
        <f t="shared" si="157"/>
        <v>14.201934484296746</v>
      </c>
      <c r="GX83">
        <f t="shared" si="257"/>
        <v>2.6750789011113374E-6</v>
      </c>
      <c r="GY83">
        <f t="shared" si="229"/>
        <v>2.8113966159355682E-2</v>
      </c>
      <c r="GZ83">
        <f t="shared" si="312"/>
        <v>3170.3572258984286</v>
      </c>
      <c r="HA83">
        <f t="shared" si="230"/>
        <v>2.2147522978050439E-6</v>
      </c>
      <c r="HB83">
        <f t="shared" si="159"/>
        <v>5.0595072646482419E-4</v>
      </c>
      <c r="HC83">
        <f t="shared" si="160"/>
        <v>0.22234403701338759</v>
      </c>
      <c r="HE83">
        <f t="shared" si="161"/>
        <v>29.395275981994395</v>
      </c>
      <c r="HF83">
        <f t="shared" si="162"/>
        <v>0.39200000000000002</v>
      </c>
      <c r="HG83">
        <f t="shared" si="33"/>
        <v>112768.05300000001</v>
      </c>
      <c r="HH83">
        <f t="shared" si="34"/>
        <v>5.1301458470697156E-3</v>
      </c>
      <c r="HI83">
        <f t="shared" si="263"/>
        <v>4.1773535919601163E-3</v>
      </c>
      <c r="HJ83">
        <f t="shared" si="164"/>
        <v>1.2142999202495189E-2</v>
      </c>
      <c r="HK83">
        <f t="shared" si="165"/>
        <v>14.201934484296746</v>
      </c>
      <c r="HL83">
        <f t="shared" si="258"/>
        <v>2.6057344220030654E-6</v>
      </c>
      <c r="HM83">
        <f t="shared" si="231"/>
        <v>2.6994895556087587E-2</v>
      </c>
      <c r="HN83">
        <f t="shared" si="166"/>
        <v>3044.1618127983497</v>
      </c>
      <c r="HO83">
        <f t="shared" si="232"/>
        <v>2.1702258284100708E-6</v>
      </c>
      <c r="HP83">
        <f t="shared" si="167"/>
        <v>4.786729416188773E-4</v>
      </c>
      <c r="HQ83">
        <f t="shared" si="168"/>
        <v>0.21658034480112487</v>
      </c>
      <c r="HS83">
        <f t="shared" si="169"/>
        <v>31.292969718727406</v>
      </c>
      <c r="HT83">
        <f t="shared" si="170"/>
        <v>0.39200000000000002</v>
      </c>
      <c r="HU83">
        <f t="shared" si="35"/>
        <v>112768.05300000001</v>
      </c>
      <c r="HV83">
        <f t="shared" si="36"/>
        <v>5.1301458470697156E-3</v>
      </c>
      <c r="HW83">
        <f t="shared" si="264"/>
        <v>4.1773535919601163E-3</v>
      </c>
      <c r="HX83">
        <f t="shared" si="172"/>
        <v>1.2142999202495189E-2</v>
      </c>
      <c r="HY83">
        <f t="shared" si="173"/>
        <v>14.201934484296746</v>
      </c>
      <c r="HZ83">
        <f t="shared" si="259"/>
        <v>2.5394655487814603E-6</v>
      </c>
      <c r="IA83">
        <f t="shared" si="233"/>
        <v>2.5935622094413049E-2</v>
      </c>
      <c r="IB83">
        <f t="shared" si="174"/>
        <v>2924.7096069307422</v>
      </c>
      <c r="IC83">
        <f t="shared" si="234"/>
        <v>2.1272201432995918E-6</v>
      </c>
      <c r="ID83">
        <f t="shared" si="175"/>
        <v>4.5310408064022867E-4</v>
      </c>
      <c r="IE83">
        <f t="shared" si="176"/>
        <v>0.21107228715306869</v>
      </c>
      <c r="IG83">
        <f t="shared" si="177"/>
        <v>33.190663455460417</v>
      </c>
      <c r="IH83">
        <f t="shared" si="178"/>
        <v>0.39200000000000002</v>
      </c>
      <c r="II83">
        <f t="shared" si="37"/>
        <v>112768.05300000001</v>
      </c>
      <c r="IJ83">
        <f t="shared" si="38"/>
        <v>5.1301458470697156E-3</v>
      </c>
      <c r="IK83">
        <f t="shared" si="265"/>
        <v>4.1773535919601163E-3</v>
      </c>
      <c r="IL83">
        <f t="shared" si="180"/>
        <v>1.2142999202495189E-2</v>
      </c>
      <c r="IM83">
        <f t="shared" si="181"/>
        <v>14.201934484296746</v>
      </c>
      <c r="IN83">
        <f t="shared" si="260"/>
        <v>2.4760934155385718E-6</v>
      </c>
      <c r="IO83">
        <f t="shared" si="235"/>
        <v>2.4932262694142223E-2</v>
      </c>
      <c r="IP83">
        <f t="shared" si="182"/>
        <v>2811.5627209029535</v>
      </c>
      <c r="IQ83">
        <f t="shared" si="236"/>
        <v>2.0856669013303864E-6</v>
      </c>
      <c r="IR83">
        <f t="shared" si="183"/>
        <v>4.2912266437775901E-4</v>
      </c>
      <c r="IS83">
        <f t="shared" si="184"/>
        <v>0.20580499730471302</v>
      </c>
      <c r="IU83">
        <f t="shared" si="185"/>
        <v>35.088357192193435</v>
      </c>
      <c r="IV83">
        <f t="shared" si="186"/>
        <v>0.39200000000000002</v>
      </c>
      <c r="IW83">
        <f t="shared" si="39"/>
        <v>112768.05300000001</v>
      </c>
      <c r="IX83">
        <f t="shared" si="40"/>
        <v>5.1301458470697156E-3</v>
      </c>
      <c r="IY83">
        <f t="shared" si="266"/>
        <v>4.1773535919601163E-3</v>
      </c>
      <c r="IZ83">
        <f t="shared" si="188"/>
        <v>1.2142999202495189E-2</v>
      </c>
      <c r="JA83">
        <f t="shared" si="189"/>
        <v>14.201934484296746</v>
      </c>
      <c r="JB83">
        <f t="shared" si="261"/>
        <v>2.4154514991816271E-6</v>
      </c>
      <c r="JC83">
        <f t="shared" si="237"/>
        <v>2.3981223988371651E-2</v>
      </c>
      <c r="JD83">
        <f t="shared" si="190"/>
        <v>2704.3159377255661</v>
      </c>
      <c r="JE83">
        <f t="shared" si="238"/>
        <v>2.0455013704631278E-6</v>
      </c>
      <c r="JF83">
        <f t="shared" si="191"/>
        <v>4.0661681301164303E-4</v>
      </c>
      <c r="JG83">
        <f t="shared" si="192"/>
        <v>0.20076463438703246</v>
      </c>
      <c r="JI83">
        <f t="shared" si="193"/>
        <v>36.986050928926446</v>
      </c>
      <c r="JJ83">
        <f t="shared" si="194"/>
        <v>0.39200000000000002</v>
      </c>
      <c r="JK83">
        <f t="shared" si="41"/>
        <v>112768.05300000001</v>
      </c>
      <c r="JL83">
        <f t="shared" si="42"/>
        <v>5.1301458470697156E-3</v>
      </c>
      <c r="JM83">
        <f t="shared" si="267"/>
        <v>4.1773535919601163E-3</v>
      </c>
      <c r="JN83">
        <f t="shared" si="196"/>
        <v>1.2142999202495189E-2</v>
      </c>
      <c r="JO83">
        <f t="shared" si="197"/>
        <v>14.201934484296746</v>
      </c>
      <c r="JP83">
        <f t="shared" si="262"/>
        <v>2.3573846581872113E-6</v>
      </c>
      <c r="JQ83">
        <f t="shared" si="239"/>
        <v>2.3079178361080845E-2</v>
      </c>
      <c r="JR83">
        <f t="shared" si="198"/>
        <v>2602.594008618818</v>
      </c>
      <c r="JS83">
        <f t="shared" si="240"/>
        <v>2.006662218393195E-6</v>
      </c>
      <c r="JT83">
        <f t="shared" si="199"/>
        <v>3.8548341965634141E-4</v>
      </c>
      <c r="JU83">
        <f t="shared" si="200"/>
        <v>0.19593830353079147</v>
      </c>
    </row>
    <row r="84" spans="2:281">
      <c r="B84">
        <v>0.5</v>
      </c>
      <c r="C84">
        <f t="shared" si="43"/>
        <v>0.94884686836650722</v>
      </c>
      <c r="D84">
        <f t="shared" si="44"/>
        <v>0.4</v>
      </c>
      <c r="E84">
        <f t="shared" si="268"/>
        <v>112583.625</v>
      </c>
      <c r="F84">
        <f t="shared" si="269"/>
        <v>5.1329456218126932E-3</v>
      </c>
      <c r="G84">
        <f t="shared" si="45"/>
        <v>4.176214163917274E-3</v>
      </c>
      <c r="H84">
        <f t="shared" si="46"/>
        <v>1.2162891163310255E-2</v>
      </c>
      <c r="I84">
        <f t="shared" si="47"/>
        <v>14.21744011269881</v>
      </c>
      <c r="J84">
        <f t="shared" si="241"/>
        <v>4.108421573814421E-6</v>
      </c>
      <c r="K84">
        <f t="shared" si="201"/>
        <v>5.3836793551257381E-2</v>
      </c>
      <c r="L84">
        <f t="shared" si="298"/>
        <v>6061.1413763771789</v>
      </c>
      <c r="M84">
        <f t="shared" si="202"/>
        <v>3.0623037629168469E-6</v>
      </c>
      <c r="N84">
        <f t="shared" si="203"/>
        <v>1.1507425521407918E-3</v>
      </c>
      <c r="O84">
        <f t="shared" si="49"/>
        <v>0.34147891417157655</v>
      </c>
      <c r="Q84">
        <f t="shared" si="50"/>
        <v>2.8465406050995217</v>
      </c>
      <c r="R84">
        <f t="shared" si="51"/>
        <v>0.4</v>
      </c>
      <c r="S84">
        <f t="shared" si="270"/>
        <v>112583.625</v>
      </c>
      <c r="T84">
        <f t="shared" si="271"/>
        <v>5.1329456218126932E-3</v>
      </c>
      <c r="U84">
        <f t="shared" si="52"/>
        <v>4.176214163917274E-3</v>
      </c>
      <c r="V84">
        <f t="shared" si="53"/>
        <v>1.2162891163310255E-2</v>
      </c>
      <c r="W84">
        <f t="shared" si="54"/>
        <v>14.21744011269881</v>
      </c>
      <c r="X84">
        <f t="shared" si="242"/>
        <v>3.9671299241492576E-6</v>
      </c>
      <c r="Y84">
        <f t="shared" si="204"/>
        <v>5.118867030138459E-2</v>
      </c>
      <c r="Z84">
        <f t="shared" si="299"/>
        <v>5763.0060614597196</v>
      </c>
      <c r="AA84">
        <f t="shared" si="205"/>
        <v>2.9860398492294772E-6</v>
      </c>
      <c r="AB84">
        <f t="shared" si="56"/>
        <v>1.079211236949036E-3</v>
      </c>
      <c r="AC84">
        <f t="shared" si="57"/>
        <v>0.32973520232450454</v>
      </c>
      <c r="AE84">
        <f t="shared" si="58"/>
        <v>4.7442343418325361</v>
      </c>
      <c r="AF84">
        <f t="shared" si="59"/>
        <v>0.4</v>
      </c>
      <c r="AG84">
        <f t="shared" si="272"/>
        <v>112583.625</v>
      </c>
      <c r="AH84">
        <f t="shared" si="273"/>
        <v>5.1329456218126932E-3</v>
      </c>
      <c r="AI84">
        <f t="shared" si="60"/>
        <v>4.176214163917274E-3</v>
      </c>
      <c r="AJ84">
        <f t="shared" si="61"/>
        <v>1.2162891163310255E-2</v>
      </c>
      <c r="AK84">
        <f t="shared" si="62"/>
        <v>14.21744011269881</v>
      </c>
      <c r="AL84">
        <f t="shared" si="243"/>
        <v>3.833533820087286E-6</v>
      </c>
      <c r="AM84">
        <f t="shared" si="206"/>
        <v>4.8708940905707203E-2</v>
      </c>
      <c r="AN84">
        <f t="shared" si="300"/>
        <v>5483.8291370753004</v>
      </c>
      <c r="AO84">
        <f t="shared" si="207"/>
        <v>2.9128157777414793E-6</v>
      </c>
      <c r="AP84">
        <f t="shared" si="64"/>
        <v>1.012801253180101E-3</v>
      </c>
      <c r="AQ84">
        <f t="shared" si="65"/>
        <v>0.31863111971443309</v>
      </c>
      <c r="AS84">
        <f t="shared" si="66"/>
        <v>6.6419280785655506</v>
      </c>
      <c r="AT84">
        <f t="shared" si="67"/>
        <v>0.4</v>
      </c>
      <c r="AU84">
        <f t="shared" si="274"/>
        <v>112583.625</v>
      </c>
      <c r="AV84">
        <f t="shared" si="275"/>
        <v>5.1329456218126932E-3</v>
      </c>
      <c r="AW84">
        <f t="shared" si="68"/>
        <v>4.176214163917274E-3</v>
      </c>
      <c r="AX84">
        <f t="shared" si="69"/>
        <v>1.2162891163310255E-2</v>
      </c>
      <c r="AY84">
        <f t="shared" si="70"/>
        <v>14.21744011269881</v>
      </c>
      <c r="AZ84">
        <f t="shared" si="244"/>
        <v>3.7071083205777198E-6</v>
      </c>
      <c r="BA84">
        <f t="shared" si="208"/>
        <v>4.6384988424977923E-2</v>
      </c>
      <c r="BB84">
        <f t="shared" si="301"/>
        <v>5222.190142467055</v>
      </c>
      <c r="BC84">
        <f t="shared" si="209"/>
        <v>2.8424798931650305E-6</v>
      </c>
      <c r="BD84">
        <f t="shared" si="72"/>
        <v>9.5110198187016133E-4</v>
      </c>
      <c r="BE84">
        <f t="shared" si="73"/>
        <v>0.30812303491337806</v>
      </c>
      <c r="BG84">
        <f t="shared" si="74"/>
        <v>8.539621815298565</v>
      </c>
      <c r="BH84">
        <f t="shared" si="75"/>
        <v>0.4</v>
      </c>
      <c r="BI84">
        <f t="shared" si="276"/>
        <v>112583.625</v>
      </c>
      <c r="BJ84">
        <f t="shared" si="277"/>
        <v>5.1329456218126932E-3</v>
      </c>
      <c r="BK84">
        <f t="shared" si="76"/>
        <v>4.176214163917274E-3</v>
      </c>
      <c r="BL84">
        <f t="shared" si="77"/>
        <v>1.2162891163310255E-2</v>
      </c>
      <c r="BM84">
        <f t="shared" si="78"/>
        <v>14.21744011269881</v>
      </c>
      <c r="BN84">
        <f t="shared" si="245"/>
        <v>3.5873697002803462E-6</v>
      </c>
      <c r="BO84">
        <f t="shared" si="210"/>
        <v>4.4205254527614278E-2</v>
      </c>
      <c r="BP84">
        <f t="shared" si="302"/>
        <v>4976.7877987664779</v>
      </c>
      <c r="BQ84">
        <f t="shared" si="211"/>
        <v>2.7748890476161064E-6</v>
      </c>
      <c r="BR84">
        <f t="shared" si="80"/>
        <v>8.9373878359806029E-4</v>
      </c>
      <c r="BS84">
        <f t="shared" si="81"/>
        <v>0.29817074221192885</v>
      </c>
      <c r="BU84">
        <f t="shared" si="82"/>
        <v>10.437315552031579</v>
      </c>
      <c r="BV84">
        <f t="shared" si="83"/>
        <v>0.4</v>
      </c>
      <c r="BW84">
        <f t="shared" si="278"/>
        <v>112583.625</v>
      </c>
      <c r="BX84">
        <f t="shared" si="279"/>
        <v>5.1329456218126932E-3</v>
      </c>
      <c r="BY84">
        <f t="shared" si="84"/>
        <v>4.176214163917274E-3</v>
      </c>
      <c r="BZ84">
        <f t="shared" si="85"/>
        <v>1.2162891163310255E-2</v>
      </c>
      <c r="CA84">
        <f t="shared" si="86"/>
        <v>14.21744011269881</v>
      </c>
      <c r="CB84">
        <f t="shared" si="246"/>
        <v>3.4738718804518366E-6</v>
      </c>
      <c r="CC84">
        <f t="shared" si="247"/>
        <v>4.2159143143626246E-2</v>
      </c>
      <c r="CD84">
        <f t="shared" si="303"/>
        <v>4746.4291620033382</v>
      </c>
      <c r="CE84">
        <f t="shared" si="248"/>
        <v>2.7099080982882809E-6</v>
      </c>
      <c r="CF84">
        <f t="shared" si="212"/>
        <v>8.4036962498107925E-4</v>
      </c>
      <c r="CG84">
        <f t="shared" si="88"/>
        <v>0.28873716496588758</v>
      </c>
      <c r="CI84">
        <f t="shared" si="89"/>
        <v>12.335009288764594</v>
      </c>
      <c r="CJ84">
        <f t="shared" si="90"/>
        <v>0.4</v>
      </c>
      <c r="CK84">
        <f t="shared" si="280"/>
        <v>112583.625</v>
      </c>
      <c r="CL84">
        <f t="shared" si="281"/>
        <v>5.1329456218126932E-3</v>
      </c>
      <c r="CM84">
        <f t="shared" si="91"/>
        <v>4.176214163917274E-3</v>
      </c>
      <c r="CN84">
        <f t="shared" si="92"/>
        <v>1.2162891163310255E-2</v>
      </c>
      <c r="CO84">
        <f t="shared" si="93"/>
        <v>14.21744011269881</v>
      </c>
      <c r="CP84">
        <f t="shared" si="249"/>
        <v>3.3662031918006819E-6</v>
      </c>
      <c r="CQ84">
        <f t="shared" si="213"/>
        <v>4.0236933422898857E-2</v>
      </c>
      <c r="CR84">
        <f t="shared" si="304"/>
        <v>4530.0198236336109</v>
      </c>
      <c r="CS84">
        <f t="shared" si="214"/>
        <v>2.647409434676601E-6</v>
      </c>
      <c r="CT84">
        <f t="shared" si="95"/>
        <v>7.9068203783485679E-4</v>
      </c>
      <c r="CU84">
        <f t="shared" si="96"/>
        <v>0.27978808653508325</v>
      </c>
      <c r="CW84">
        <f t="shared" si="97"/>
        <v>14.232703025497608</v>
      </c>
      <c r="CX84">
        <f t="shared" si="98"/>
        <v>0.4</v>
      </c>
      <c r="CY84">
        <f t="shared" si="282"/>
        <v>112583.625</v>
      </c>
      <c r="CZ84">
        <f t="shared" si="283"/>
        <v>5.1329456218126932E-3</v>
      </c>
      <c r="DA84">
        <f t="shared" si="99"/>
        <v>4.176214163917274E-3</v>
      </c>
      <c r="DB84">
        <f t="shared" si="100"/>
        <v>1.2162891163310255E-2</v>
      </c>
      <c r="DC84">
        <f t="shared" si="101"/>
        <v>14.21744011269881</v>
      </c>
      <c r="DD84">
        <f t="shared" si="250"/>
        <v>3.2639834367664573E-6</v>
      </c>
      <c r="DE84">
        <f t="shared" si="215"/>
        <v>3.842970106011518E-2</v>
      </c>
      <c r="DF84">
        <f t="shared" si="305"/>
        <v>4326.5550530141099</v>
      </c>
      <c r="DG84">
        <f t="shared" si="216"/>
        <v>2.5872725337280159E-6</v>
      </c>
      <c r="DH84">
        <f t="shared" si="103"/>
        <v>7.4439037698422362E-4</v>
      </c>
      <c r="DI84">
        <f t="shared" si="104"/>
        <v>0.27129190610938181</v>
      </c>
      <c r="DK84">
        <f t="shared" si="105"/>
        <v>16.130396762230625</v>
      </c>
      <c r="DL84">
        <f t="shared" si="106"/>
        <v>0.4</v>
      </c>
      <c r="DM84">
        <f t="shared" si="284"/>
        <v>112583.625</v>
      </c>
      <c r="DN84">
        <f t="shared" si="285"/>
        <v>5.1329456218126932E-3</v>
      </c>
      <c r="DO84">
        <f t="shared" si="107"/>
        <v>4.176214163917274E-3</v>
      </c>
      <c r="DP84">
        <f t="shared" si="108"/>
        <v>1.2162891163310255E-2</v>
      </c>
      <c r="DQ84">
        <f t="shared" si="109"/>
        <v>14.21744011269881</v>
      </c>
      <c r="DR84">
        <f t="shared" si="251"/>
        <v>3.1668612219926002E-6</v>
      </c>
      <c r="DS84">
        <f t="shared" si="217"/>
        <v>3.6729247145908431E-2</v>
      </c>
      <c r="DT84">
        <f t="shared" si="306"/>
        <v>4135.1117872072755</v>
      </c>
      <c r="DU84">
        <f t="shared" si="218"/>
        <v>2.5293835413697618E-6</v>
      </c>
      <c r="DV84">
        <f t="shared" si="111"/>
        <v>7.012333462741722E-4</v>
      </c>
      <c r="DW84">
        <f t="shared" si="112"/>
        <v>0.26321941699232088</v>
      </c>
      <c r="DY84">
        <f t="shared" si="113"/>
        <v>18.028090498963635</v>
      </c>
      <c r="DZ84">
        <f t="shared" si="114"/>
        <v>0.4</v>
      </c>
      <c r="EA84">
        <f t="shared" si="286"/>
        <v>112583.625</v>
      </c>
      <c r="EB84">
        <f t="shared" si="287"/>
        <v>5.1329456218126932E-3</v>
      </c>
      <c r="EC84">
        <f t="shared" si="115"/>
        <v>4.176214163917274E-3</v>
      </c>
      <c r="ED84">
        <f t="shared" si="116"/>
        <v>1.2162891163310255E-2</v>
      </c>
      <c r="EE84">
        <f t="shared" si="117"/>
        <v>14.21744011269881</v>
      </c>
      <c r="EF84">
        <f t="shared" si="252"/>
        <v>3.0745115347292518E-6</v>
      </c>
      <c r="EG84">
        <f t="shared" si="219"/>
        <v>3.5128033790856494E-2</v>
      </c>
      <c r="EH84">
        <f t="shared" si="307"/>
        <v>3954.841383297116</v>
      </c>
      <c r="EI84">
        <f t="shared" si="220"/>
        <v>2.4736348789397056E-6</v>
      </c>
      <c r="EJ84">
        <f t="shared" si="119"/>
        <v>6.6097176551445521E-4</v>
      </c>
      <c r="EK84">
        <f t="shared" si="120"/>
        <v>0.25554360515943386</v>
      </c>
      <c r="EM84">
        <f t="shared" si="121"/>
        <v>19.925784235696653</v>
      </c>
      <c r="EN84">
        <f t="shared" si="122"/>
        <v>0.4</v>
      </c>
      <c r="EO84">
        <f t="shared" si="288"/>
        <v>112583.625</v>
      </c>
      <c r="EP84">
        <f t="shared" si="289"/>
        <v>5.1329456218126932E-3</v>
      </c>
      <c r="EQ84">
        <f t="shared" si="123"/>
        <v>4.176214163917274E-3</v>
      </c>
      <c r="ER84">
        <f t="shared" si="124"/>
        <v>1.2162891163310255E-2</v>
      </c>
      <c r="ES84">
        <f t="shared" si="125"/>
        <v>14.21744011269881</v>
      </c>
      <c r="ET84">
        <f t="shared" si="253"/>
        <v>2.986633539560686E-6</v>
      </c>
      <c r="EU84">
        <f t="shared" si="221"/>
        <v>3.3619125846777627E-2</v>
      </c>
      <c r="EV84">
        <f t="shared" si="308"/>
        <v>3784.9630571614198</v>
      </c>
      <c r="EW84">
        <f t="shared" si="222"/>
        <v>2.4199248731131016E-6</v>
      </c>
      <c r="EX84">
        <f t="shared" si="127"/>
        <v>6.2338655393761276E-4</v>
      </c>
      <c r="EY84">
        <f t="shared" si="128"/>
        <v>0.24823946612925255</v>
      </c>
      <c r="FA84">
        <f t="shared" si="129"/>
        <v>21.823477972429664</v>
      </c>
      <c r="FB84">
        <f t="shared" si="130"/>
        <v>0.4</v>
      </c>
      <c r="FC84">
        <f t="shared" si="290"/>
        <v>112583.625</v>
      </c>
      <c r="FD84">
        <f t="shared" si="291"/>
        <v>5.1329456218126932E-3</v>
      </c>
      <c r="FE84">
        <f t="shared" si="131"/>
        <v>4.176214163917274E-3</v>
      </c>
      <c r="FF84">
        <f t="shared" si="132"/>
        <v>1.2162891163310255E-2</v>
      </c>
      <c r="FG84">
        <f t="shared" si="133"/>
        <v>14.21744011269881</v>
      </c>
      <c r="FH84">
        <f t="shared" si="254"/>
        <v>2.902948574233181E-6</v>
      </c>
      <c r="FI84">
        <f t="shared" si="223"/>
        <v>3.2196138119419314E-2</v>
      </c>
      <c r="FJ84">
        <f t="shared" si="309"/>
        <v>3624.7579404849093</v>
      </c>
      <c r="FK84">
        <f t="shared" si="224"/>
        <v>2.3681574079882069E-6</v>
      </c>
      <c r="FL84">
        <f t="shared" si="135"/>
        <v>5.8827690829493654E-4</v>
      </c>
      <c r="FM84">
        <f t="shared" si="136"/>
        <v>0.24128383838290354</v>
      </c>
      <c r="FO84">
        <f t="shared" si="137"/>
        <v>23.721171709162682</v>
      </c>
      <c r="FP84">
        <f t="shared" si="138"/>
        <v>0.4</v>
      </c>
      <c r="FQ84">
        <f t="shared" si="292"/>
        <v>112583.625</v>
      </c>
      <c r="FR84">
        <f t="shared" si="293"/>
        <v>5.1329456218126932E-3</v>
      </c>
      <c r="FS84">
        <f t="shared" si="139"/>
        <v>4.176214163917274E-3</v>
      </c>
      <c r="FT84">
        <f t="shared" si="140"/>
        <v>1.2162891163310255E-2</v>
      </c>
      <c r="FU84">
        <f t="shared" si="141"/>
        <v>14.21744011269881</v>
      </c>
      <c r="FV84">
        <f t="shared" si="255"/>
        <v>2.8231983254933612E-6</v>
      </c>
      <c r="FW84">
        <f t="shared" si="225"/>
        <v>3.0853187528945926E-2</v>
      </c>
      <c r="FX84">
        <f t="shared" si="310"/>
        <v>3473.5636948135248</v>
      </c>
      <c r="FY84">
        <f t="shared" si="226"/>
        <v>2.3182415980594418E-6</v>
      </c>
      <c r="FZ84">
        <f t="shared" si="143"/>
        <v>5.5545865598962058E-4</v>
      </c>
      <c r="GA84">
        <f t="shared" si="144"/>
        <v>0.2346552517456022</v>
      </c>
      <c r="GC84">
        <f t="shared" si="145"/>
        <v>25.618865445895693</v>
      </c>
      <c r="GD84">
        <f t="shared" si="146"/>
        <v>0.4</v>
      </c>
      <c r="GE84">
        <f t="shared" si="294"/>
        <v>112583.625</v>
      </c>
      <c r="GF84">
        <f t="shared" si="295"/>
        <v>5.1329456218126932E-3</v>
      </c>
      <c r="GG84">
        <f t="shared" si="147"/>
        <v>4.176214163917274E-3</v>
      </c>
      <c r="GH84">
        <f t="shared" si="148"/>
        <v>1.2162891163310255E-2</v>
      </c>
      <c r="GI84">
        <f t="shared" si="149"/>
        <v>14.21744011269881</v>
      </c>
      <c r="GJ84">
        <f t="shared" si="256"/>
        <v>2.7471431677597783E-6</v>
      </c>
      <c r="GK84">
        <f t="shared" si="227"/>
        <v>2.958484973037501E-2</v>
      </c>
      <c r="GL84">
        <f t="shared" si="311"/>
        <v>3330.7696277258915</v>
      </c>
      <c r="GM84">
        <f t="shared" si="228"/>
        <v>2.2700914808701532E-6</v>
      </c>
      <c r="GN84">
        <f t="shared" si="151"/>
        <v>5.2476276568068716E-4</v>
      </c>
      <c r="GO84">
        <f t="shared" si="152"/>
        <v>0.22833378930232642</v>
      </c>
      <c r="GQ84">
        <f t="shared" si="153"/>
        <v>27.516559182628711</v>
      </c>
      <c r="GR84">
        <f t="shared" si="154"/>
        <v>0.4</v>
      </c>
      <c r="GS84">
        <f t="shared" si="296"/>
        <v>112583.625</v>
      </c>
      <c r="GT84">
        <f t="shared" si="297"/>
        <v>5.1329456218126932E-3</v>
      </c>
      <c r="GU84">
        <f t="shared" si="155"/>
        <v>4.176214163917274E-3</v>
      </c>
      <c r="GV84">
        <f t="shared" si="156"/>
        <v>1.2162891163310255E-2</v>
      </c>
      <c r="GW84">
        <f t="shared" si="157"/>
        <v>14.21744011269881</v>
      </c>
      <c r="GX84">
        <f t="shared" si="257"/>
        <v>2.6745606491657017E-6</v>
      </c>
      <c r="GY84">
        <f t="shared" si="229"/>
        <v>2.8386119756021667E-2</v>
      </c>
      <c r="GZ84">
        <f t="shared" si="312"/>
        <v>3195.8122618170346</v>
      </c>
      <c r="HA84">
        <f t="shared" si="230"/>
        <v>2.223625728198943E-6</v>
      </c>
      <c r="HB84">
        <f t="shared" si="159"/>
        <v>4.9603399960991676E-4</v>
      </c>
      <c r="HC84">
        <f t="shared" si="160"/>
        <v>0.22230096156251591</v>
      </c>
      <c r="HE84">
        <f t="shared" si="161"/>
        <v>29.414252919361722</v>
      </c>
      <c r="HF84">
        <f t="shared" si="162"/>
        <v>0.4</v>
      </c>
      <c r="HG84">
        <f t="shared" si="33"/>
        <v>112583.625</v>
      </c>
      <c r="HH84">
        <f t="shared" si="34"/>
        <v>5.1329456218126932E-3</v>
      </c>
      <c r="HI84">
        <f t="shared" si="263"/>
        <v>4.176214163917274E-3</v>
      </c>
      <c r="HJ84">
        <f t="shared" si="164"/>
        <v>1.2162891163310255E-2</v>
      </c>
      <c r="HK84">
        <f t="shared" si="165"/>
        <v>14.21744011269881</v>
      </c>
      <c r="HL84">
        <f t="shared" si="258"/>
        <v>2.6052441110491699E-6</v>
      </c>
      <c r="HM84">
        <f t="shared" si="231"/>
        <v>2.7252376286668763E-2</v>
      </c>
      <c r="HN84">
        <f t="shared" si="166"/>
        <v>3068.1713122172087</v>
      </c>
      <c r="HO84">
        <f t="shared" si="232"/>
        <v>2.1787673746925115E-6</v>
      </c>
      <c r="HP84">
        <f t="shared" si="167"/>
        <v>4.6912969353103554E-4</v>
      </c>
      <c r="HQ84">
        <f t="shared" si="168"/>
        <v>0.21653959171648288</v>
      </c>
      <c r="HS84">
        <f t="shared" si="169"/>
        <v>31.31194665609474</v>
      </c>
      <c r="HT84">
        <f t="shared" si="170"/>
        <v>0.4</v>
      </c>
      <c r="HU84">
        <f t="shared" si="35"/>
        <v>112583.625</v>
      </c>
      <c r="HV84">
        <f t="shared" si="36"/>
        <v>5.1329456218126932E-3</v>
      </c>
      <c r="HW84">
        <f t="shared" si="264"/>
        <v>4.176214163917274E-3</v>
      </c>
      <c r="HX84">
        <f t="shared" si="172"/>
        <v>1.2162891163310255E-2</v>
      </c>
      <c r="HY84">
        <f t="shared" si="173"/>
        <v>14.21744011269881</v>
      </c>
      <c r="HZ84">
        <f t="shared" si="259"/>
        <v>2.5390014283462394E-6</v>
      </c>
      <c r="IA84">
        <f t="shared" si="233"/>
        <v>2.6179349198180473E-2</v>
      </c>
      <c r="IB84">
        <f t="shared" si="174"/>
        <v>2947.3660328720011</v>
      </c>
      <c r="IC84">
        <f t="shared" si="234"/>
        <v>2.1354435629153468E-6</v>
      </c>
      <c r="ID84">
        <f t="shared" si="175"/>
        <v>4.439186515751851E-4</v>
      </c>
      <c r="IE84">
        <f t="shared" si="176"/>
        <v>0.21103371094091114</v>
      </c>
      <c r="IG84">
        <f t="shared" si="177"/>
        <v>33.209640392827751</v>
      </c>
      <c r="IH84">
        <f t="shared" si="178"/>
        <v>0.4</v>
      </c>
      <c r="II84">
        <f t="shared" si="37"/>
        <v>112583.625</v>
      </c>
      <c r="IJ84">
        <f t="shared" si="38"/>
        <v>5.1329456218126932E-3</v>
      </c>
      <c r="IK84">
        <f t="shared" si="265"/>
        <v>4.176214163917274E-3</v>
      </c>
      <c r="IL84">
        <f t="shared" si="180"/>
        <v>1.2162891163310255E-2</v>
      </c>
      <c r="IM84">
        <f t="shared" si="181"/>
        <v>14.21744011269881</v>
      </c>
      <c r="IN84">
        <f t="shared" si="260"/>
        <v>2.475653859581643E-6</v>
      </c>
      <c r="IO84">
        <f t="shared" si="235"/>
        <v>2.5163090066082836E-2</v>
      </c>
      <c r="IP84">
        <f t="shared" si="182"/>
        <v>2832.9518958410954</v>
      </c>
      <c r="IQ84">
        <f t="shared" si="236"/>
        <v>2.0935853038412518E-6</v>
      </c>
      <c r="IR84">
        <f t="shared" si="183"/>
        <v>4.2028014468868614E-4</v>
      </c>
      <c r="IS84">
        <f t="shared" si="184"/>
        <v>0.20576846281374297</v>
      </c>
      <c r="IU84">
        <f t="shared" si="185"/>
        <v>35.107334129560769</v>
      </c>
      <c r="IV84">
        <f t="shared" si="186"/>
        <v>0.4</v>
      </c>
      <c r="IW84">
        <f t="shared" si="39"/>
        <v>112583.625</v>
      </c>
      <c r="IX84">
        <f t="shared" si="40"/>
        <v>5.1329456218126932E-3</v>
      </c>
      <c r="IY84">
        <f t="shared" si="266"/>
        <v>4.176214163917274E-3</v>
      </c>
      <c r="IZ84">
        <f t="shared" si="188"/>
        <v>1.2162891163310255E-2</v>
      </c>
      <c r="JA84">
        <f t="shared" si="189"/>
        <v>14.21744011269881</v>
      </c>
      <c r="JB84">
        <f t="shared" si="261"/>
        <v>2.4150349962625705E-6</v>
      </c>
      <c r="JC84">
        <f t="shared" si="237"/>
        <v>2.4199945342720162E-2</v>
      </c>
      <c r="JD84">
        <f t="shared" si="190"/>
        <v>2724.5175714853031</v>
      </c>
      <c r="JE84">
        <f t="shared" si="238"/>
        <v>2.0531272518646446E-6</v>
      </c>
      <c r="JF84">
        <f t="shared" si="191"/>
        <v>3.9810300244353899E-4</v>
      </c>
      <c r="JG84">
        <f t="shared" si="192"/>
        <v>0.20073001599113677</v>
      </c>
      <c r="JI84">
        <f t="shared" si="193"/>
        <v>37.00502786629378</v>
      </c>
      <c r="JJ84">
        <f t="shared" si="194"/>
        <v>0.4</v>
      </c>
      <c r="JK84">
        <f t="shared" si="41"/>
        <v>112583.625</v>
      </c>
      <c r="JL84">
        <f t="shared" si="42"/>
        <v>5.1329456218126932E-3</v>
      </c>
      <c r="JM84">
        <f t="shared" si="267"/>
        <v>4.176214163917274E-3</v>
      </c>
      <c r="JN84">
        <f t="shared" si="196"/>
        <v>1.2162891163310255E-2</v>
      </c>
      <c r="JO84">
        <f t="shared" si="197"/>
        <v>14.21744011269881</v>
      </c>
      <c r="JP84">
        <f t="shared" si="262"/>
        <v>2.3569898024793382E-6</v>
      </c>
      <c r="JQ84">
        <f t="shared" si="239"/>
        <v>2.3286531950327819E-2</v>
      </c>
      <c r="JR84">
        <f t="shared" si="198"/>
        <v>2621.6821806462258</v>
      </c>
      <c r="JS84">
        <f t="shared" si="240"/>
        <v>2.0140074934597861E-6</v>
      </c>
      <c r="JT84">
        <f t="shared" si="199"/>
        <v>3.7728478906372888E-4</v>
      </c>
      <c r="JU84">
        <f t="shared" si="200"/>
        <v>0.19590548438213393</v>
      </c>
    </row>
    <row r="85" spans="2:281">
      <c r="B85">
        <v>0.51</v>
      </c>
      <c r="C85">
        <f t="shared" si="43"/>
        <v>0.96782380573383742</v>
      </c>
      <c r="D85">
        <f t="shared" si="44"/>
        <v>0.40800000000000003</v>
      </c>
      <c r="E85">
        <f t="shared" si="268"/>
        <v>112399.197</v>
      </c>
      <c r="F85">
        <f t="shared" si="269"/>
        <v>5.1357515184828288E-3</v>
      </c>
      <c r="G85">
        <f t="shared" si="45"/>
        <v>4.1750731793568632E-3</v>
      </c>
      <c r="H85">
        <f t="shared" si="46"/>
        <v>1.2182848402786502E-2</v>
      </c>
      <c r="I85">
        <f t="shared" si="47"/>
        <v>14.232988133022621</v>
      </c>
      <c r="J85">
        <f t="shared" si="241"/>
        <v>4.1072428531695478E-6</v>
      </c>
      <c r="K85">
        <f t="shared" si="201"/>
        <v>5.4455784113025998E-2</v>
      </c>
      <c r="L85">
        <f t="shared" si="298"/>
        <v>6120.7864063094794</v>
      </c>
      <c r="M85">
        <f t="shared" si="202"/>
        <v>3.0773342693958472E-6</v>
      </c>
      <c r="N85">
        <f t="shared" si="203"/>
        <v>1.1338412788259151E-3</v>
      </c>
      <c r="O85">
        <f t="shared" si="49"/>
        <v>0.34138094266629376</v>
      </c>
      <c r="Q85">
        <f t="shared" si="50"/>
        <v>2.865517542466852</v>
      </c>
      <c r="R85">
        <f t="shared" si="51"/>
        <v>0.40800000000000003</v>
      </c>
      <c r="S85">
        <f t="shared" si="270"/>
        <v>112399.197</v>
      </c>
      <c r="T85">
        <f t="shared" si="271"/>
        <v>5.1357515184828288E-3</v>
      </c>
      <c r="U85">
        <f t="shared" si="52"/>
        <v>4.1750731793568632E-3</v>
      </c>
      <c r="V85">
        <f t="shared" si="53"/>
        <v>1.2182848402786502E-2</v>
      </c>
      <c r="W85">
        <f t="shared" si="54"/>
        <v>14.232988133022621</v>
      </c>
      <c r="X85">
        <f t="shared" si="242"/>
        <v>3.9660244739659792E-6</v>
      </c>
      <c r="Y85">
        <f t="shared" si="204"/>
        <v>5.1769183786858235E-2</v>
      </c>
      <c r="Z85">
        <f t="shared" si="299"/>
        <v>5818.8146869882848</v>
      </c>
      <c r="AA85">
        <f t="shared" si="205"/>
        <v>3.0004633350136542E-6</v>
      </c>
      <c r="AB85">
        <f t="shared" si="56"/>
        <v>1.0630002447041139E-3</v>
      </c>
      <c r="AC85">
        <f t="shared" si="57"/>
        <v>0.32964332082659237</v>
      </c>
      <c r="AE85">
        <f t="shared" si="58"/>
        <v>4.763211279199866</v>
      </c>
      <c r="AF85">
        <f t="shared" si="59"/>
        <v>0.40800000000000003</v>
      </c>
      <c r="AG85">
        <f t="shared" si="272"/>
        <v>112399.197</v>
      </c>
      <c r="AH85">
        <f t="shared" si="273"/>
        <v>5.1357515184828288E-3</v>
      </c>
      <c r="AI85">
        <f t="shared" si="60"/>
        <v>4.1750731793568632E-3</v>
      </c>
      <c r="AJ85">
        <f t="shared" si="61"/>
        <v>1.2182848402786502E-2</v>
      </c>
      <c r="AK85">
        <f t="shared" si="62"/>
        <v>14.232988133022621</v>
      </c>
      <c r="AL85">
        <f t="shared" si="243"/>
        <v>3.8324963945188513E-6</v>
      </c>
      <c r="AM85">
        <f t="shared" si="206"/>
        <v>4.925373210639724E-2</v>
      </c>
      <c r="AN85">
        <f t="shared" si="300"/>
        <v>5536.079938012168</v>
      </c>
      <c r="AO85">
        <f t="shared" si="207"/>
        <v>2.9266597662470353E-6</v>
      </c>
      <c r="AP85">
        <f t="shared" si="64"/>
        <v>9.9724866574444205E-4</v>
      </c>
      <c r="AQ85">
        <f t="shared" si="65"/>
        <v>0.31854489220581983</v>
      </c>
      <c r="AS85">
        <f t="shared" si="66"/>
        <v>6.6609050159328804</v>
      </c>
      <c r="AT85">
        <f t="shared" si="67"/>
        <v>0.40800000000000003</v>
      </c>
      <c r="AU85">
        <f t="shared" si="274"/>
        <v>112399.197</v>
      </c>
      <c r="AV85">
        <f t="shared" si="275"/>
        <v>5.1357515184828288E-3</v>
      </c>
      <c r="AW85">
        <f t="shared" si="68"/>
        <v>4.1750731793568632E-3</v>
      </c>
      <c r="AX85">
        <f t="shared" si="69"/>
        <v>1.2182848402786502E-2</v>
      </c>
      <c r="AY85">
        <f t="shared" si="70"/>
        <v>14.232988133022621</v>
      </c>
      <c r="AZ85">
        <f t="shared" si="244"/>
        <v>3.7061340943797539E-6</v>
      </c>
      <c r="BA85">
        <f t="shared" si="208"/>
        <v>4.68965912582631E-2</v>
      </c>
      <c r="BB85">
        <f t="shared" si="301"/>
        <v>5271.1391994659916</v>
      </c>
      <c r="BC85">
        <f t="shared" si="209"/>
        <v>2.8557705034061177E-6</v>
      </c>
      <c r="BD85">
        <f t="shared" si="72"/>
        <v>9.3617759541695538E-4</v>
      </c>
      <c r="BE85">
        <f t="shared" si="73"/>
        <v>0.30804206033512171</v>
      </c>
      <c r="BG85">
        <f t="shared" si="74"/>
        <v>8.558598752665894</v>
      </c>
      <c r="BH85">
        <f t="shared" si="75"/>
        <v>0.40800000000000003</v>
      </c>
      <c r="BI85">
        <f t="shared" si="276"/>
        <v>112399.197</v>
      </c>
      <c r="BJ85">
        <f t="shared" si="277"/>
        <v>5.1357515184828288E-3</v>
      </c>
      <c r="BK85">
        <f t="shared" si="76"/>
        <v>4.1750731793568632E-3</v>
      </c>
      <c r="BL85">
        <f t="shared" si="77"/>
        <v>1.2182848402786502E-2</v>
      </c>
      <c r="BM85">
        <f t="shared" si="78"/>
        <v>14.232988133022621</v>
      </c>
      <c r="BN85">
        <f t="shared" si="245"/>
        <v>3.5864542319565314E-6</v>
      </c>
      <c r="BO85">
        <f t="shared" si="210"/>
        <v>4.4686001390328751E-2</v>
      </c>
      <c r="BP85">
        <f t="shared" si="302"/>
        <v>5022.6706734138352</v>
      </c>
      <c r="BQ85">
        <f t="shared" si="211"/>
        <v>2.7876510724394707E-6</v>
      </c>
      <c r="BR85">
        <f t="shared" si="80"/>
        <v>8.7941396953733551E-4</v>
      </c>
      <c r="BS85">
        <f t="shared" si="81"/>
        <v>0.2980946514010035</v>
      </c>
      <c r="BU85">
        <f t="shared" si="82"/>
        <v>10.456292489398908</v>
      </c>
      <c r="BV85">
        <f t="shared" si="83"/>
        <v>0.40800000000000003</v>
      </c>
      <c r="BW85">
        <f t="shared" si="278"/>
        <v>112399.197</v>
      </c>
      <c r="BX85">
        <f t="shared" si="279"/>
        <v>5.1357515184828288E-3</v>
      </c>
      <c r="BY85">
        <f t="shared" si="84"/>
        <v>4.1750731793568632E-3</v>
      </c>
      <c r="BZ85">
        <f t="shared" si="85"/>
        <v>1.2182848402786502E-2</v>
      </c>
      <c r="CA85">
        <f t="shared" si="86"/>
        <v>14.232988133022621</v>
      </c>
      <c r="CB85">
        <f t="shared" si="246"/>
        <v>3.4730110788551227E-6</v>
      </c>
      <c r="CC85">
        <f t="shared" si="247"/>
        <v>4.2611182451021773E-2</v>
      </c>
      <c r="CD85">
        <f t="shared" si="303"/>
        <v>4789.4626907153388</v>
      </c>
      <c r="CE85">
        <f t="shared" si="248"/>
        <v>2.7221650780642027E-6</v>
      </c>
      <c r="CF85">
        <f t="shared" si="212"/>
        <v>8.2661723880258847E-4</v>
      </c>
      <c r="CG85">
        <f t="shared" si="88"/>
        <v>0.28866561787918243</v>
      </c>
      <c r="CI85">
        <f t="shared" si="89"/>
        <v>12.353986226131923</v>
      </c>
      <c r="CJ85">
        <f t="shared" si="90"/>
        <v>0.40800000000000003</v>
      </c>
      <c r="CK85">
        <f t="shared" si="280"/>
        <v>112399.197</v>
      </c>
      <c r="CL85">
        <f t="shared" si="281"/>
        <v>5.1357515184828288E-3</v>
      </c>
      <c r="CM85">
        <f t="shared" si="91"/>
        <v>4.1750731793568632E-3</v>
      </c>
      <c r="CN85">
        <f t="shared" si="92"/>
        <v>1.2182848402786502E-2</v>
      </c>
      <c r="CO85">
        <f t="shared" si="93"/>
        <v>14.232988133022621</v>
      </c>
      <c r="CP85">
        <f t="shared" si="249"/>
        <v>3.3653932858492662E-6</v>
      </c>
      <c r="CQ85">
        <f t="shared" si="213"/>
        <v>4.0662245511922782E-2</v>
      </c>
      <c r="CR85">
        <f t="shared" si="304"/>
        <v>4570.403743756975</v>
      </c>
      <c r="CS85">
        <f t="shared" si="214"/>
        <v>2.6591837267078158E-6</v>
      </c>
      <c r="CT85">
        <f t="shared" si="95"/>
        <v>7.7747633360046857E-4</v>
      </c>
      <c r="CU85">
        <f t="shared" si="96"/>
        <v>0.27972076973229132</v>
      </c>
      <c r="CW85">
        <f t="shared" si="97"/>
        <v>14.251679962864937</v>
      </c>
      <c r="CX85">
        <f t="shared" si="98"/>
        <v>0.40800000000000003</v>
      </c>
      <c r="CY85">
        <f t="shared" si="282"/>
        <v>112399.197</v>
      </c>
      <c r="CZ85">
        <f t="shared" si="283"/>
        <v>5.1357515184828288E-3</v>
      </c>
      <c r="DA85">
        <f t="shared" si="99"/>
        <v>4.1750731793568632E-3</v>
      </c>
      <c r="DB85">
        <f t="shared" si="100"/>
        <v>1.2182848402786502E-2</v>
      </c>
      <c r="DC85">
        <f t="shared" si="101"/>
        <v>14.232988133022621</v>
      </c>
      <c r="DD85">
        <f t="shared" si="250"/>
        <v>3.2632209479686252E-6</v>
      </c>
      <c r="DE85">
        <f t="shared" si="215"/>
        <v>3.8830112617650264E-2</v>
      </c>
      <c r="DF85">
        <f t="shared" si="305"/>
        <v>4364.473477643458</v>
      </c>
      <c r="DG85">
        <f t="shared" si="216"/>
        <v>2.5985853776241902E-6</v>
      </c>
      <c r="DH85">
        <f t="shared" si="103"/>
        <v>7.3170692710539673E-4</v>
      </c>
      <c r="DI85">
        <f t="shared" si="104"/>
        <v>0.27122853046935225</v>
      </c>
      <c r="DK85">
        <f t="shared" si="105"/>
        <v>16.149373699597952</v>
      </c>
      <c r="DL85">
        <f t="shared" si="106"/>
        <v>0.40800000000000003</v>
      </c>
      <c r="DM85">
        <f t="shared" si="284"/>
        <v>112399.197</v>
      </c>
      <c r="DN85">
        <f t="shared" si="285"/>
        <v>5.1357515184828288E-3</v>
      </c>
      <c r="DO85">
        <f t="shared" si="107"/>
        <v>4.1750731793568632E-3</v>
      </c>
      <c r="DP85">
        <f t="shared" si="108"/>
        <v>1.2182848402786502E-2</v>
      </c>
      <c r="DQ85">
        <f t="shared" si="109"/>
        <v>14.232988133022621</v>
      </c>
      <c r="DR85">
        <f t="shared" si="251"/>
        <v>3.1661429395057063E-6</v>
      </c>
      <c r="DS85">
        <f t="shared" si="217"/>
        <v>3.710644430624075E-2</v>
      </c>
      <c r="DT85">
        <f t="shared" si="306"/>
        <v>4170.7345435466823</v>
      </c>
      <c r="DU85">
        <f t="shared" si="218"/>
        <v>2.5402551206216501E-6</v>
      </c>
      <c r="DV85">
        <f t="shared" si="111"/>
        <v>6.890489662342617E-4</v>
      </c>
      <c r="DW85">
        <f t="shared" si="112"/>
        <v>0.26315971564004087</v>
      </c>
      <c r="DY85">
        <f t="shared" si="113"/>
        <v>18.047067436330966</v>
      </c>
      <c r="DZ85">
        <f t="shared" si="114"/>
        <v>0.40800000000000003</v>
      </c>
      <c r="EA85">
        <f t="shared" si="286"/>
        <v>112399.197</v>
      </c>
      <c r="EB85">
        <f t="shared" si="287"/>
        <v>5.1357515184828288E-3</v>
      </c>
      <c r="EC85">
        <f t="shared" si="115"/>
        <v>4.1750731793568632E-3</v>
      </c>
      <c r="ED85">
        <f t="shared" si="116"/>
        <v>1.2182848402786502E-2</v>
      </c>
      <c r="EE85">
        <f t="shared" si="117"/>
        <v>14.232988133022621</v>
      </c>
      <c r="EF85">
        <f t="shared" si="252"/>
        <v>3.0738344927060463E-6</v>
      </c>
      <c r="EG85">
        <f t="shared" si="219"/>
        <v>3.5483574031971124E-2</v>
      </c>
      <c r="EH85">
        <f t="shared" si="307"/>
        <v>3988.3252278836067</v>
      </c>
      <c r="EI85">
        <f t="shared" si="220"/>
        <v>2.4840843789143034E-6</v>
      </c>
      <c r="EJ85">
        <f t="shared" si="119"/>
        <v>6.4926444321808548E-4</v>
      </c>
      <c r="EK85">
        <f t="shared" si="120"/>
        <v>0.25548733158312753</v>
      </c>
      <c r="EM85">
        <f t="shared" si="121"/>
        <v>19.944761173063981</v>
      </c>
      <c r="EN85">
        <f t="shared" si="122"/>
        <v>0.40800000000000003</v>
      </c>
      <c r="EO85">
        <f t="shared" si="288"/>
        <v>112399.197</v>
      </c>
      <c r="EP85">
        <f t="shared" si="289"/>
        <v>5.1357515184828288E-3</v>
      </c>
      <c r="EQ85">
        <f t="shared" si="123"/>
        <v>4.1750731793568632E-3</v>
      </c>
      <c r="ER85">
        <f t="shared" si="124"/>
        <v>1.2182848402786502E-2</v>
      </c>
      <c r="ES85">
        <f t="shared" si="125"/>
        <v>14.232988133022621</v>
      </c>
      <c r="ET85">
        <f t="shared" si="253"/>
        <v>2.9859949965612156E-6</v>
      </c>
      <c r="EU85">
        <f t="shared" si="221"/>
        <v>3.3954448801945078E-2</v>
      </c>
      <c r="EV85">
        <f t="shared" si="308"/>
        <v>3816.4527799162388</v>
      </c>
      <c r="EW85">
        <f t="shared" si="222"/>
        <v>2.4299705356788554E-6</v>
      </c>
      <c r="EX85">
        <f t="shared" si="127"/>
        <v>6.1213538339036804E-4</v>
      </c>
      <c r="EY85">
        <f t="shared" si="128"/>
        <v>0.24818639246916352</v>
      </c>
      <c r="FA85">
        <f t="shared" si="129"/>
        <v>21.842454909796995</v>
      </c>
      <c r="FB85">
        <f t="shared" si="130"/>
        <v>0.40800000000000003</v>
      </c>
      <c r="FC85">
        <f t="shared" si="290"/>
        <v>112399.197</v>
      </c>
      <c r="FD85">
        <f t="shared" si="291"/>
        <v>5.1357515184828288E-3</v>
      </c>
      <c r="FE85">
        <f t="shared" si="131"/>
        <v>4.1750731793568632E-3</v>
      </c>
      <c r="FF85">
        <f t="shared" si="132"/>
        <v>1.2182848402786502E-2</v>
      </c>
      <c r="FG85">
        <f t="shared" si="133"/>
        <v>14.232988133022621</v>
      </c>
      <c r="FH85">
        <f t="shared" si="254"/>
        <v>2.9023459945028851E-6</v>
      </c>
      <c r="FI85">
        <f t="shared" si="223"/>
        <v>3.2512575408770936E-2</v>
      </c>
      <c r="FJ85">
        <f t="shared" si="309"/>
        <v>3654.3873683478</v>
      </c>
      <c r="FK85">
        <f t="shared" si="224"/>
        <v>2.3778165829678213E-6</v>
      </c>
      <c r="FL85">
        <f t="shared" si="135"/>
        <v>5.7746202733601132E-4</v>
      </c>
      <c r="FM85">
        <f t="shared" si="136"/>
        <v>0.24123375387519022</v>
      </c>
      <c r="FO85">
        <f t="shared" si="137"/>
        <v>23.74014864653001</v>
      </c>
      <c r="FP85">
        <f t="shared" si="138"/>
        <v>0.40800000000000003</v>
      </c>
      <c r="FQ85">
        <f t="shared" si="292"/>
        <v>112399.197</v>
      </c>
      <c r="FR85">
        <f t="shared" si="293"/>
        <v>5.1357515184828288E-3</v>
      </c>
      <c r="FS85">
        <f t="shared" si="139"/>
        <v>4.1750731793568632E-3</v>
      </c>
      <c r="FT85">
        <f t="shared" si="140"/>
        <v>1.2182848402786502E-2</v>
      </c>
      <c r="FU85">
        <f t="shared" si="141"/>
        <v>14.232988133022621</v>
      </c>
      <c r="FV85">
        <f t="shared" si="255"/>
        <v>2.8226293619280787E-6</v>
      </c>
      <c r="FW85">
        <f t="shared" si="225"/>
        <v>3.1151971705189838E-2</v>
      </c>
      <c r="FX85">
        <f t="shared" si="310"/>
        <v>3501.4566046300583</v>
      </c>
      <c r="FY85">
        <f t="shared" si="226"/>
        <v>2.3275307916966344E-6</v>
      </c>
      <c r="FZ85">
        <f t="shared" si="143"/>
        <v>5.4506118781844234E-4</v>
      </c>
      <c r="GA85">
        <f t="shared" si="144"/>
        <v>0.23460796130644324</v>
      </c>
      <c r="GC85">
        <f t="shared" si="145"/>
        <v>25.637842383263024</v>
      </c>
      <c r="GD85">
        <f t="shared" si="146"/>
        <v>0.40800000000000003</v>
      </c>
      <c r="GE85">
        <f t="shared" si="294"/>
        <v>112399.197</v>
      </c>
      <c r="GF85">
        <f t="shared" si="295"/>
        <v>5.1357515184828288E-3</v>
      </c>
      <c r="GG85">
        <f t="shared" si="147"/>
        <v>4.1750731793568632E-3</v>
      </c>
      <c r="GH85">
        <f t="shared" si="148"/>
        <v>1.2182848402786502E-2</v>
      </c>
      <c r="GI85">
        <f t="shared" si="149"/>
        <v>14.232988133022621</v>
      </c>
      <c r="GJ85">
        <f t="shared" si="256"/>
        <v>2.7466056463963615E-6</v>
      </c>
      <c r="GK85">
        <f t="shared" si="227"/>
        <v>2.9867122423358913E-2</v>
      </c>
      <c r="GL85">
        <f t="shared" si="311"/>
        <v>3357.0405770862358</v>
      </c>
      <c r="GM85">
        <f t="shared" si="228"/>
        <v>2.2790264014863566E-6</v>
      </c>
      <c r="GN85">
        <f t="shared" si="151"/>
        <v>5.1476476393530729E-4</v>
      </c>
      <c r="GO85">
        <f t="shared" si="152"/>
        <v>0.22828911223882994</v>
      </c>
      <c r="GQ85">
        <f t="shared" si="153"/>
        <v>27.535536119996038</v>
      </c>
      <c r="GR85">
        <f t="shared" si="154"/>
        <v>0.40800000000000003</v>
      </c>
      <c r="GS85">
        <f t="shared" si="296"/>
        <v>112399.197</v>
      </c>
      <c r="GT85">
        <f t="shared" si="297"/>
        <v>5.1357515184828288E-3</v>
      </c>
      <c r="GU85">
        <f t="shared" si="155"/>
        <v>4.1750731793568632E-3</v>
      </c>
      <c r="GV85">
        <f t="shared" si="156"/>
        <v>1.2182848402786502E-2</v>
      </c>
      <c r="GW85">
        <f t="shared" si="157"/>
        <v>14.232988133022621</v>
      </c>
      <c r="GX85">
        <f t="shared" si="257"/>
        <v>2.6740525550530686E-6</v>
      </c>
      <c r="GY85">
        <f t="shared" si="229"/>
        <v>2.8652939092374201E-2</v>
      </c>
      <c r="GZ85">
        <f t="shared" si="312"/>
        <v>3220.5673456727691</v>
      </c>
      <c r="HA85">
        <f t="shared" si="230"/>
        <v>2.2322213292058211E-6</v>
      </c>
      <c r="HB85">
        <f t="shared" si="159"/>
        <v>4.8641839677097102E-4</v>
      </c>
      <c r="HC85">
        <f t="shared" si="160"/>
        <v>0.22225873039836647</v>
      </c>
      <c r="HE85">
        <f t="shared" si="161"/>
        <v>29.433229856729053</v>
      </c>
      <c r="HF85">
        <f t="shared" si="162"/>
        <v>0.40800000000000003</v>
      </c>
      <c r="HG85">
        <f t="shared" si="33"/>
        <v>112399.197</v>
      </c>
      <c r="HH85">
        <f t="shared" si="34"/>
        <v>5.1357515184828288E-3</v>
      </c>
      <c r="HI85">
        <f t="shared" si="263"/>
        <v>4.1750731793568632E-3</v>
      </c>
      <c r="HJ85">
        <f t="shared" si="164"/>
        <v>1.2182848402786502E-2</v>
      </c>
      <c r="HK85">
        <f t="shared" si="165"/>
        <v>14.232988133022621</v>
      </c>
      <c r="HL85">
        <f t="shared" si="258"/>
        <v>2.6047635753690918E-6</v>
      </c>
      <c r="HM85">
        <f t="shared" si="231"/>
        <v>2.7504723653159122E-2</v>
      </c>
      <c r="HN85">
        <f t="shared" si="166"/>
        <v>3091.508852321992</v>
      </c>
      <c r="HO85">
        <f t="shared" si="232"/>
        <v>2.1870378951168248E-6</v>
      </c>
      <c r="HP85">
        <f t="shared" si="167"/>
        <v>4.5988025243969254E-4</v>
      </c>
      <c r="HQ85">
        <f t="shared" si="168"/>
        <v>0.21649965112146224</v>
      </c>
      <c r="HS85">
        <f t="shared" si="169"/>
        <v>31.330923593462071</v>
      </c>
      <c r="HT85">
        <f t="shared" si="170"/>
        <v>0.40800000000000003</v>
      </c>
      <c r="HU85">
        <f t="shared" si="35"/>
        <v>112399.197</v>
      </c>
      <c r="HV85">
        <f t="shared" si="36"/>
        <v>5.1357515184828288E-3</v>
      </c>
      <c r="HW85">
        <f t="shared" si="264"/>
        <v>4.1750731793568632E-3</v>
      </c>
      <c r="HX85">
        <f t="shared" si="172"/>
        <v>1.2182848402786502E-2</v>
      </c>
      <c r="HY85">
        <f t="shared" si="173"/>
        <v>14.232988133022621</v>
      </c>
      <c r="HZ85">
        <f t="shared" si="259"/>
        <v>2.5385467166661312E-6</v>
      </c>
      <c r="IA85">
        <f t="shared" si="233"/>
        <v>2.6418135410619482E-2</v>
      </c>
      <c r="IB85">
        <f t="shared" si="174"/>
        <v>2969.377206390895</v>
      </c>
      <c r="IC85">
        <f t="shared" si="234"/>
        <v>2.1434025655835828E-6</v>
      </c>
      <c r="ID85">
        <f t="shared" si="175"/>
        <v>4.3501991986743361E-4</v>
      </c>
      <c r="IE85">
        <f t="shared" si="176"/>
        <v>0.21099591675450777</v>
      </c>
      <c r="IG85">
        <f t="shared" si="177"/>
        <v>33.228617330195085</v>
      </c>
      <c r="IH85">
        <f t="shared" si="178"/>
        <v>0.40800000000000003</v>
      </c>
      <c r="II85">
        <f t="shared" si="37"/>
        <v>112399.197</v>
      </c>
      <c r="IJ85">
        <f t="shared" si="38"/>
        <v>5.1357515184828288E-3</v>
      </c>
      <c r="IK85">
        <f t="shared" si="265"/>
        <v>4.1750731793568632E-3</v>
      </c>
      <c r="IL85">
        <f t="shared" si="180"/>
        <v>1.2182848402786502E-2</v>
      </c>
      <c r="IM85">
        <f t="shared" si="181"/>
        <v>14.232988133022621</v>
      </c>
      <c r="IN85">
        <f t="shared" si="260"/>
        <v>2.4752233611332687E-6</v>
      </c>
      <c r="IO85">
        <f t="shared" si="235"/>
        <v>2.5389160999478955E-2</v>
      </c>
      <c r="IP85">
        <f t="shared" si="182"/>
        <v>2853.7213088451522</v>
      </c>
      <c r="IQ85">
        <f t="shared" si="236"/>
        <v>2.1012457113630233E-6</v>
      </c>
      <c r="IR85">
        <f t="shared" si="183"/>
        <v>4.1171741196107623E-4</v>
      </c>
      <c r="IS85">
        <f t="shared" si="184"/>
        <v>0.20573268115403204</v>
      </c>
      <c r="IU85">
        <f t="shared" si="185"/>
        <v>35.126311066928103</v>
      </c>
      <c r="IV85">
        <f t="shared" si="186"/>
        <v>0.40800000000000003</v>
      </c>
      <c r="IW85">
        <f t="shared" si="39"/>
        <v>112399.197</v>
      </c>
      <c r="IX85">
        <f t="shared" si="40"/>
        <v>5.1357515184828288E-3</v>
      </c>
      <c r="IY85">
        <f t="shared" si="266"/>
        <v>4.1750731793568632E-3</v>
      </c>
      <c r="IZ85">
        <f t="shared" si="188"/>
        <v>1.2182848402786502E-2</v>
      </c>
      <c r="JA85">
        <f t="shared" si="189"/>
        <v>14.232988133022621</v>
      </c>
      <c r="JB85">
        <f t="shared" si="261"/>
        <v>2.4146272141510175E-6</v>
      </c>
      <c r="JC85">
        <f t="shared" si="237"/>
        <v>2.4414087072915088E-2</v>
      </c>
      <c r="JD85">
        <f t="shared" si="190"/>
        <v>2744.1237824837362</v>
      </c>
      <c r="JE85">
        <f t="shared" si="238"/>
        <v>2.0605013805456975E-6</v>
      </c>
      <c r="JF85">
        <f t="shared" si="191"/>
        <v>3.898622599776047E-4</v>
      </c>
      <c r="JG85">
        <f t="shared" si="192"/>
        <v>0.20069612244098134</v>
      </c>
      <c r="JI85">
        <f t="shared" si="193"/>
        <v>37.024004803661114</v>
      </c>
      <c r="JJ85">
        <f t="shared" si="194"/>
        <v>0.40800000000000003</v>
      </c>
      <c r="JK85">
        <f t="shared" si="41"/>
        <v>112399.197</v>
      </c>
      <c r="JL85">
        <f t="shared" si="42"/>
        <v>5.1357515184828288E-3</v>
      </c>
      <c r="JM85">
        <f t="shared" si="267"/>
        <v>4.1750731793568632E-3</v>
      </c>
      <c r="JN85">
        <f t="shared" si="196"/>
        <v>1.2182848402786502E-2</v>
      </c>
      <c r="JO85">
        <f t="shared" si="197"/>
        <v>14.232988133022621</v>
      </c>
      <c r="JP85">
        <f t="shared" si="262"/>
        <v>2.3566033447359978E-6</v>
      </c>
      <c r="JQ85">
        <f t="shared" si="239"/>
        <v>2.3489475452412541E-2</v>
      </c>
      <c r="JR85">
        <f t="shared" si="198"/>
        <v>2640.1981788023813</v>
      </c>
      <c r="JS85">
        <f t="shared" si="240"/>
        <v>2.0211070852678799E-6</v>
      </c>
      <c r="JT85">
        <f t="shared" si="199"/>
        <v>3.6935269194748855E-4</v>
      </c>
      <c r="JU85">
        <f t="shared" si="200"/>
        <v>0.19587336324553728</v>
      </c>
    </row>
    <row r="86" spans="2:281">
      <c r="B86">
        <v>0.52</v>
      </c>
      <c r="C86">
        <f t="shared" si="43"/>
        <v>0.9868007431011675</v>
      </c>
      <c r="D86">
        <f t="shared" si="44"/>
        <v>0.41600000000000004</v>
      </c>
      <c r="E86">
        <f t="shared" si="268"/>
        <v>112214.769</v>
      </c>
      <c r="F86">
        <f t="shared" si="269"/>
        <v>5.1385635605442331E-3</v>
      </c>
      <c r="G86">
        <f t="shared" si="45"/>
        <v>4.1739306335933767E-3</v>
      </c>
      <c r="H86">
        <f t="shared" si="46"/>
        <v>1.2202871242785655E-2</v>
      </c>
      <c r="I86">
        <f t="shared" si="47"/>
        <v>14.248578731010069</v>
      </c>
      <c r="J86">
        <f t="shared" si="241"/>
        <v>4.1060814447199564E-6</v>
      </c>
      <c r="K86">
        <f t="shared" si="201"/>
        <v>5.5065683389655014E-2</v>
      </c>
      <c r="L86">
        <f t="shared" si="298"/>
        <v>6179.1829413972746</v>
      </c>
      <c r="M86">
        <f t="shared" si="202"/>
        <v>3.0919793697368579E-6</v>
      </c>
      <c r="N86">
        <f t="shared" si="203"/>
        <v>1.1173567370291366E-3</v>
      </c>
      <c r="O86">
        <f t="shared" si="49"/>
        <v>0.34128441009553617</v>
      </c>
      <c r="Q86">
        <f t="shared" si="50"/>
        <v>2.8844944798341818</v>
      </c>
      <c r="R86">
        <f t="shared" si="51"/>
        <v>0.41600000000000004</v>
      </c>
      <c r="S86">
        <f t="shared" si="270"/>
        <v>112214.769</v>
      </c>
      <c r="T86">
        <f t="shared" si="271"/>
        <v>5.1385635605442331E-3</v>
      </c>
      <c r="U86">
        <f t="shared" si="52"/>
        <v>4.1739306335933767E-3</v>
      </c>
      <c r="V86">
        <f t="shared" si="53"/>
        <v>1.2202871242785655E-2</v>
      </c>
      <c r="W86">
        <f t="shared" si="54"/>
        <v>14.248578731010069</v>
      </c>
      <c r="X86">
        <f t="shared" si="242"/>
        <v>3.9649356289140544E-6</v>
      </c>
      <c r="Y86">
        <f t="shared" si="204"/>
        <v>5.2340977293064708E-2</v>
      </c>
      <c r="Z86">
        <f t="shared" si="299"/>
        <v>5873.4306761755015</v>
      </c>
      <c r="AA86">
        <f t="shared" si="205"/>
        <v>3.0145117747002526E-6</v>
      </c>
      <c r="AB86">
        <f t="shared" si="56"/>
        <v>1.0471948758774491E-3</v>
      </c>
      <c r="AC86">
        <f t="shared" si="57"/>
        <v>0.32955281949430404</v>
      </c>
      <c r="AE86">
        <f t="shared" si="58"/>
        <v>4.7821882165671967</v>
      </c>
      <c r="AF86">
        <f t="shared" si="59"/>
        <v>0.41600000000000004</v>
      </c>
      <c r="AG86">
        <f t="shared" si="272"/>
        <v>112214.769</v>
      </c>
      <c r="AH86">
        <f t="shared" si="273"/>
        <v>5.1385635605442331E-3</v>
      </c>
      <c r="AI86">
        <f t="shared" si="60"/>
        <v>4.1739306335933767E-3</v>
      </c>
      <c r="AJ86">
        <f t="shared" si="61"/>
        <v>1.2202871242785655E-2</v>
      </c>
      <c r="AK86">
        <f t="shared" si="62"/>
        <v>14.248578731010069</v>
      </c>
      <c r="AL86">
        <f t="shared" si="243"/>
        <v>3.8314748996691147E-6</v>
      </c>
      <c r="AM86">
        <f t="shared" si="206"/>
        <v>4.9790157487281779E-2</v>
      </c>
      <c r="AN86">
        <f t="shared" si="300"/>
        <v>5587.1910209089456</v>
      </c>
      <c r="AO86">
        <f t="shared" si="207"/>
        <v>2.9401387153546772E-6</v>
      </c>
      <c r="AP86">
        <f t="shared" si="64"/>
        <v>9.8209097000238345E-4</v>
      </c>
      <c r="AQ86">
        <f t="shared" si="65"/>
        <v>0.3184599888077988</v>
      </c>
      <c r="AS86">
        <f t="shared" si="66"/>
        <v>6.6798819533002112</v>
      </c>
      <c r="AT86">
        <f t="shared" si="67"/>
        <v>0.41600000000000004</v>
      </c>
      <c r="AU86">
        <f t="shared" si="274"/>
        <v>112214.769</v>
      </c>
      <c r="AV86">
        <f t="shared" si="275"/>
        <v>5.1385635605442331E-3</v>
      </c>
      <c r="AW86">
        <f t="shared" si="68"/>
        <v>4.1739306335933767E-3</v>
      </c>
      <c r="AX86">
        <f t="shared" si="69"/>
        <v>1.2202871242785655E-2</v>
      </c>
      <c r="AY86">
        <f t="shared" si="70"/>
        <v>14.248578731010069</v>
      </c>
      <c r="AZ86">
        <f t="shared" si="244"/>
        <v>3.7051751554260041E-6</v>
      </c>
      <c r="BA86">
        <f t="shared" si="208"/>
        <v>4.7400166184404749E-2</v>
      </c>
      <c r="BB86">
        <f t="shared" si="301"/>
        <v>5318.9986989445906</v>
      </c>
      <c r="BC86">
        <f t="shared" si="209"/>
        <v>2.8687057441696177E-6</v>
      </c>
      <c r="BD86">
        <f t="shared" si="72"/>
        <v>9.2163772764363567E-4</v>
      </c>
      <c r="BE86">
        <f t="shared" si="73"/>
        <v>0.30796235638390834</v>
      </c>
      <c r="BG86">
        <f t="shared" si="74"/>
        <v>8.5775756900332247</v>
      </c>
      <c r="BH86">
        <f t="shared" si="75"/>
        <v>0.41600000000000004</v>
      </c>
      <c r="BI86">
        <f t="shared" si="276"/>
        <v>112214.769</v>
      </c>
      <c r="BJ86">
        <f t="shared" si="277"/>
        <v>5.1385635605442331E-3</v>
      </c>
      <c r="BK86">
        <f t="shared" si="76"/>
        <v>4.1739306335933767E-3</v>
      </c>
      <c r="BL86">
        <f t="shared" si="77"/>
        <v>1.2202871242785655E-2</v>
      </c>
      <c r="BM86">
        <f t="shared" si="78"/>
        <v>14.248578731010069</v>
      </c>
      <c r="BN86">
        <f t="shared" si="245"/>
        <v>3.5855534367270902E-6</v>
      </c>
      <c r="BO86">
        <f t="shared" si="210"/>
        <v>4.5159042859090309E-2</v>
      </c>
      <c r="BP86">
        <f t="shared" si="302"/>
        <v>5067.5115626939187</v>
      </c>
      <c r="BQ86">
        <f t="shared" si="211"/>
        <v>2.8000670765353088E-6</v>
      </c>
      <c r="BR86">
        <f t="shared" si="80"/>
        <v>8.6546364321304589E-4</v>
      </c>
      <c r="BS86">
        <f t="shared" si="81"/>
        <v>0.29801978017094249</v>
      </c>
      <c r="BU86">
        <f t="shared" si="82"/>
        <v>10.475269426766239</v>
      </c>
      <c r="BV86">
        <f t="shared" si="83"/>
        <v>0.41600000000000004</v>
      </c>
      <c r="BW86">
        <f t="shared" si="278"/>
        <v>112214.769</v>
      </c>
      <c r="BX86">
        <f t="shared" si="279"/>
        <v>5.1385635605442331E-3</v>
      </c>
      <c r="BY86">
        <f t="shared" si="84"/>
        <v>4.1739306335933767E-3</v>
      </c>
      <c r="BZ86">
        <f t="shared" si="85"/>
        <v>1.2202871242785655E-2</v>
      </c>
      <c r="CA86">
        <f t="shared" si="86"/>
        <v>14.248578731010069</v>
      </c>
      <c r="CB86">
        <f t="shared" si="246"/>
        <v>3.4721643640074169E-6</v>
      </c>
      <c r="CC86">
        <f t="shared" si="247"/>
        <v>4.3055824276478014E-2</v>
      </c>
      <c r="CD86">
        <f t="shared" si="303"/>
        <v>4831.4993752895725</v>
      </c>
      <c r="CE86">
        <f t="shared" si="248"/>
        <v>2.7340850794077909E-6</v>
      </c>
      <c r="CF86">
        <f t="shared" si="212"/>
        <v>8.1322963580641766E-4</v>
      </c>
      <c r="CG86">
        <f t="shared" si="88"/>
        <v>0.28859524163818262</v>
      </c>
      <c r="CI86">
        <f t="shared" si="89"/>
        <v>12.372963163499254</v>
      </c>
      <c r="CJ86">
        <f t="shared" si="90"/>
        <v>0.41600000000000004</v>
      </c>
      <c r="CK86">
        <f t="shared" si="280"/>
        <v>112214.769</v>
      </c>
      <c r="CL86">
        <f t="shared" si="281"/>
        <v>5.1385635605442331E-3</v>
      </c>
      <c r="CM86">
        <f t="shared" si="91"/>
        <v>4.1739306335933767E-3</v>
      </c>
      <c r="CN86">
        <f t="shared" si="92"/>
        <v>1.2202871242785655E-2</v>
      </c>
      <c r="CO86">
        <f t="shared" si="93"/>
        <v>14.248578731010069</v>
      </c>
      <c r="CP86">
        <f t="shared" si="249"/>
        <v>3.3645969066733941E-6</v>
      </c>
      <c r="CQ86">
        <f t="shared" si="213"/>
        <v>4.1080454182143483E-2</v>
      </c>
      <c r="CR86">
        <f t="shared" si="304"/>
        <v>4609.8336764643145</v>
      </c>
      <c r="CS86">
        <f t="shared" si="214"/>
        <v>2.6706297900238522E-6</v>
      </c>
      <c r="CT86">
        <f t="shared" si="95"/>
        <v>7.646260196025865E-4</v>
      </c>
      <c r="CU86">
        <f t="shared" si="96"/>
        <v>0.27965457723199416</v>
      </c>
      <c r="CW86">
        <f t="shared" si="97"/>
        <v>14.270656900232268</v>
      </c>
      <c r="CX86">
        <f t="shared" si="98"/>
        <v>0.41600000000000004</v>
      </c>
      <c r="CY86">
        <f t="shared" si="282"/>
        <v>112214.769</v>
      </c>
      <c r="CZ86">
        <f t="shared" si="283"/>
        <v>5.1385635605442331E-3</v>
      </c>
      <c r="DA86">
        <f t="shared" si="99"/>
        <v>4.1739306335933767E-3</v>
      </c>
      <c r="DB86">
        <f t="shared" si="100"/>
        <v>1.2202871242785655E-2</v>
      </c>
      <c r="DC86">
        <f t="shared" si="101"/>
        <v>14.248578731010069</v>
      </c>
      <c r="DD86">
        <f t="shared" si="250"/>
        <v>3.2624714509943706E-6</v>
      </c>
      <c r="DE86">
        <f t="shared" si="215"/>
        <v>3.9223701679787906E-2</v>
      </c>
      <c r="DF86">
        <f t="shared" si="305"/>
        <v>4401.4786233223122</v>
      </c>
      <c r="DG86">
        <f t="shared" si="216"/>
        <v>2.6095784630343128E-6</v>
      </c>
      <c r="DH86">
        <f t="shared" si="103"/>
        <v>7.1936977218827998E-4</v>
      </c>
      <c r="DI86">
        <f t="shared" si="104"/>
        <v>0.27116623466831408</v>
      </c>
      <c r="DK86">
        <f t="shared" si="105"/>
        <v>16.168350636965283</v>
      </c>
      <c r="DL86">
        <f t="shared" si="106"/>
        <v>0.41600000000000004</v>
      </c>
      <c r="DM86">
        <f t="shared" si="284"/>
        <v>112214.769</v>
      </c>
      <c r="DN86">
        <f t="shared" si="285"/>
        <v>5.1385635605442331E-3</v>
      </c>
      <c r="DO86">
        <f t="shared" si="107"/>
        <v>4.1739306335933767E-3</v>
      </c>
      <c r="DP86">
        <f t="shared" si="108"/>
        <v>1.2202871242785655E-2</v>
      </c>
      <c r="DQ86">
        <f t="shared" si="109"/>
        <v>14.248578731010069</v>
      </c>
      <c r="DR86">
        <f t="shared" si="251"/>
        <v>3.165437137638627E-6</v>
      </c>
      <c r="DS86">
        <f t="shared" si="217"/>
        <v>3.7477087423506181E-2</v>
      </c>
      <c r="DT86">
        <f t="shared" si="306"/>
        <v>4205.4827080215509</v>
      </c>
      <c r="DU86">
        <f t="shared" si="218"/>
        <v>2.5508151444803186E-6</v>
      </c>
      <c r="DV86">
        <f t="shared" si="111"/>
        <v>6.7720207040613493E-4</v>
      </c>
      <c r="DW86">
        <f t="shared" si="112"/>
        <v>0.26310105163712388</v>
      </c>
      <c r="DY86">
        <f t="shared" si="113"/>
        <v>18.066044373698297</v>
      </c>
      <c r="DZ86">
        <f t="shared" si="114"/>
        <v>0.41600000000000004</v>
      </c>
      <c r="EA86">
        <f t="shared" si="286"/>
        <v>112214.769</v>
      </c>
      <c r="EB86">
        <f t="shared" si="287"/>
        <v>5.1385635605442331E-3</v>
      </c>
      <c r="EC86">
        <f t="shared" si="115"/>
        <v>4.1739306335933767E-3</v>
      </c>
      <c r="ED86">
        <f t="shared" si="116"/>
        <v>1.2202871242785655E-2</v>
      </c>
      <c r="EE86">
        <f t="shared" si="117"/>
        <v>14.248578731010069</v>
      </c>
      <c r="EF86">
        <f t="shared" si="252"/>
        <v>3.0731694426461705E-6</v>
      </c>
      <c r="EG86">
        <f t="shared" si="219"/>
        <v>3.5832816841925713E-2</v>
      </c>
      <c r="EH86">
        <f t="shared" si="307"/>
        <v>4020.9712645360032</v>
      </c>
      <c r="EI86">
        <f t="shared" si="220"/>
        <v>2.4942302711112222E-6</v>
      </c>
      <c r="EJ86">
        <f t="shared" si="119"/>
        <v>6.3788606650412648E-4</v>
      </c>
      <c r="EK86">
        <f t="shared" si="120"/>
        <v>0.2554320547406137</v>
      </c>
      <c r="EM86">
        <f t="shared" si="121"/>
        <v>19.963738110431311</v>
      </c>
      <c r="EN86">
        <f t="shared" si="122"/>
        <v>0.41600000000000004</v>
      </c>
      <c r="EO86">
        <f t="shared" si="288"/>
        <v>112214.769</v>
      </c>
      <c r="EP86">
        <f t="shared" si="289"/>
        <v>5.1385635605442331E-3</v>
      </c>
      <c r="EQ86">
        <f t="shared" si="123"/>
        <v>4.1739306335933767E-3</v>
      </c>
      <c r="ER86">
        <f t="shared" si="124"/>
        <v>1.2202871242785655E-2</v>
      </c>
      <c r="ES86">
        <f t="shared" si="125"/>
        <v>14.248578731010069</v>
      </c>
      <c r="ET86">
        <f t="shared" si="253"/>
        <v>2.9853679782828725E-6</v>
      </c>
      <c r="EU86">
        <f t="shared" si="221"/>
        <v>3.4283719692413464E-2</v>
      </c>
      <c r="EV86">
        <f t="shared" si="308"/>
        <v>3847.1396857449281</v>
      </c>
      <c r="EW86">
        <f t="shared" si="222"/>
        <v>2.4397202936142009E-6</v>
      </c>
      <c r="EX86">
        <f t="shared" si="127"/>
        <v>6.0120488020799225E-4</v>
      </c>
      <c r="EY86">
        <f t="shared" si="128"/>
        <v>0.24813427670718355</v>
      </c>
      <c r="FA86">
        <f t="shared" si="129"/>
        <v>21.861431847164326</v>
      </c>
      <c r="FB86">
        <f t="shared" si="130"/>
        <v>0.41600000000000004</v>
      </c>
      <c r="FC86">
        <f t="shared" si="290"/>
        <v>112214.769</v>
      </c>
      <c r="FD86">
        <f t="shared" si="291"/>
        <v>5.1385635605442331E-3</v>
      </c>
      <c r="FE86">
        <f t="shared" si="131"/>
        <v>4.1739306335933767E-3</v>
      </c>
      <c r="FF86">
        <f t="shared" si="132"/>
        <v>1.2202871242785655E-2</v>
      </c>
      <c r="FG86">
        <f t="shared" si="133"/>
        <v>14.248578731010069</v>
      </c>
      <c r="FH86">
        <f t="shared" si="254"/>
        <v>2.9017544925965856E-6</v>
      </c>
      <c r="FI86">
        <f t="shared" si="223"/>
        <v>3.2823195315922017E-2</v>
      </c>
      <c r="FJ86">
        <f t="shared" si="309"/>
        <v>3683.2472802180714</v>
      </c>
      <c r="FK86">
        <f t="shared" si="224"/>
        <v>2.3871873223950881E-6</v>
      </c>
      <c r="FL86">
        <f t="shared" si="135"/>
        <v>5.6695978487988409E-4</v>
      </c>
      <c r="FM86">
        <f t="shared" si="136"/>
        <v>0.24118459012092</v>
      </c>
      <c r="FO86">
        <f t="shared" si="137"/>
        <v>23.75912558389734</v>
      </c>
      <c r="FP86">
        <f t="shared" si="138"/>
        <v>0.41600000000000004</v>
      </c>
      <c r="FQ86">
        <f t="shared" si="292"/>
        <v>112214.769</v>
      </c>
      <c r="FR86">
        <f t="shared" si="293"/>
        <v>5.1385635605442331E-3</v>
      </c>
      <c r="FS86">
        <f t="shared" si="139"/>
        <v>4.1739306335933767E-3</v>
      </c>
      <c r="FT86">
        <f t="shared" si="140"/>
        <v>1.2202871242785655E-2</v>
      </c>
      <c r="FU86">
        <f t="shared" si="141"/>
        <v>14.248578731010069</v>
      </c>
      <c r="FV86">
        <f t="shared" si="255"/>
        <v>2.8220710486254157E-6</v>
      </c>
      <c r="FW86">
        <f t="shared" si="225"/>
        <v>3.1445163027800059E-2</v>
      </c>
      <c r="FX86">
        <f t="shared" si="310"/>
        <v>3528.6117053319244</v>
      </c>
      <c r="FY86">
        <f t="shared" si="226"/>
        <v>2.3365387946170236E-6</v>
      </c>
      <c r="FZ86">
        <f t="shared" si="143"/>
        <v>5.3496856819887752E-4</v>
      </c>
      <c r="GA86">
        <f t="shared" si="144"/>
        <v>0.23456155608318766</v>
      </c>
      <c r="GC86">
        <f t="shared" si="145"/>
        <v>25.656819320630355</v>
      </c>
      <c r="GD86">
        <f t="shared" si="146"/>
        <v>0.41600000000000004</v>
      </c>
      <c r="GE86">
        <f t="shared" si="294"/>
        <v>112214.769</v>
      </c>
      <c r="GF86">
        <f t="shared" si="295"/>
        <v>5.1385635605442331E-3</v>
      </c>
      <c r="GG86">
        <f t="shared" si="147"/>
        <v>4.1739306335933767E-3</v>
      </c>
      <c r="GH86">
        <f t="shared" si="148"/>
        <v>1.2202871242785655E-2</v>
      </c>
      <c r="GI86">
        <f t="shared" si="149"/>
        <v>14.248578731010069</v>
      </c>
      <c r="GJ86">
        <f t="shared" si="256"/>
        <v>2.7460783661168803E-6</v>
      </c>
      <c r="GK86">
        <f t="shared" si="227"/>
        <v>3.0144017137831963E-2</v>
      </c>
      <c r="GL86">
        <f t="shared" si="311"/>
        <v>3382.6039198538551</v>
      </c>
      <c r="GM86">
        <f t="shared" si="228"/>
        <v>2.2876871612682617E-6</v>
      </c>
      <c r="GN86">
        <f t="shared" si="151"/>
        <v>5.0506404983052941E-4</v>
      </c>
      <c r="GO86">
        <f t="shared" si="152"/>
        <v>0.22824528638160804</v>
      </c>
      <c r="GQ86">
        <f t="shared" si="153"/>
        <v>27.554513057363369</v>
      </c>
      <c r="GR86">
        <f t="shared" si="154"/>
        <v>0.41600000000000004</v>
      </c>
      <c r="GS86">
        <f t="shared" si="296"/>
        <v>112214.769</v>
      </c>
      <c r="GT86">
        <f t="shared" si="297"/>
        <v>5.1385635605442331E-3</v>
      </c>
      <c r="GU86">
        <f t="shared" si="155"/>
        <v>4.1739306335933767E-3</v>
      </c>
      <c r="GV86">
        <f t="shared" si="156"/>
        <v>1.2202871242785655E-2</v>
      </c>
      <c r="GW86">
        <f t="shared" si="157"/>
        <v>14.248578731010069</v>
      </c>
      <c r="GX86">
        <f t="shared" si="257"/>
        <v>2.6735543103281704E-6</v>
      </c>
      <c r="GY86">
        <f t="shared" si="229"/>
        <v>2.8914586144629051E-2</v>
      </c>
      <c r="GZ86">
        <f t="shared" si="312"/>
        <v>3244.6436049501494</v>
      </c>
      <c r="HA86">
        <f t="shared" si="230"/>
        <v>2.2405495930931463E-6</v>
      </c>
      <c r="HB86">
        <f t="shared" si="159"/>
        <v>4.7709274036936963E-4</v>
      </c>
      <c r="HC86">
        <f t="shared" si="160"/>
        <v>0.2222173178839511</v>
      </c>
      <c r="HE86">
        <f t="shared" si="161"/>
        <v>29.452206794096384</v>
      </c>
      <c r="HF86">
        <f t="shared" si="162"/>
        <v>0.41600000000000004</v>
      </c>
      <c r="HG86">
        <f t="shared" si="33"/>
        <v>112214.769</v>
      </c>
      <c r="HH86">
        <f t="shared" si="34"/>
        <v>5.1385635605442331E-3</v>
      </c>
      <c r="HI86">
        <f t="shared" si="263"/>
        <v>4.1739306335933767E-3</v>
      </c>
      <c r="HJ86">
        <f t="shared" si="164"/>
        <v>1.2202871242785655E-2</v>
      </c>
      <c r="HK86">
        <f t="shared" si="165"/>
        <v>14.248578731010069</v>
      </c>
      <c r="HL86">
        <f t="shared" si="258"/>
        <v>2.6042925140124818E-6</v>
      </c>
      <c r="HM86">
        <f t="shared" si="231"/>
        <v>2.7752095695910452E-2</v>
      </c>
      <c r="HN86">
        <f t="shared" si="166"/>
        <v>3114.1950077824854</v>
      </c>
      <c r="HO86">
        <f t="shared" si="232"/>
        <v>2.1950477042805102E-6</v>
      </c>
      <c r="HP86">
        <f t="shared" si="167"/>
        <v>4.5091362746284367E-4</v>
      </c>
      <c r="HQ86">
        <f t="shared" si="168"/>
        <v>0.2164604980020286</v>
      </c>
      <c r="HS86">
        <f t="shared" si="169"/>
        <v>31.349900530829398</v>
      </c>
      <c r="HT86">
        <f t="shared" si="170"/>
        <v>0.41600000000000004</v>
      </c>
      <c r="HU86">
        <f t="shared" si="35"/>
        <v>112214.769</v>
      </c>
      <c r="HV86">
        <f t="shared" si="36"/>
        <v>5.1385635605442331E-3</v>
      </c>
      <c r="HW86">
        <f t="shared" si="264"/>
        <v>4.1739306335933767E-3</v>
      </c>
      <c r="HX86">
        <f t="shared" si="172"/>
        <v>1.2202871242785655E-2</v>
      </c>
      <c r="HY86">
        <f t="shared" si="173"/>
        <v>14.248578731010069</v>
      </c>
      <c r="HZ86">
        <f t="shared" si="259"/>
        <v>2.5381011200732837E-6</v>
      </c>
      <c r="IA86">
        <f t="shared" si="233"/>
        <v>2.6652134947769034E-2</v>
      </c>
      <c r="IB86">
        <f t="shared" si="174"/>
        <v>2990.7631665207291</v>
      </c>
      <c r="IC86">
        <f t="shared" si="234"/>
        <v>2.1511072928618618E-6</v>
      </c>
      <c r="ID86">
        <f t="shared" si="175"/>
        <v>4.2639707647830092E-4</v>
      </c>
      <c r="IE86">
        <f t="shared" si="176"/>
        <v>0.2109588801851221</v>
      </c>
      <c r="IG86">
        <f t="shared" si="177"/>
        <v>33.247594267562413</v>
      </c>
      <c r="IH86">
        <f t="shared" si="178"/>
        <v>0.41600000000000004</v>
      </c>
      <c r="II86">
        <f t="shared" si="37"/>
        <v>112214.769</v>
      </c>
      <c r="IJ86">
        <f t="shared" si="38"/>
        <v>5.1385635605442331E-3</v>
      </c>
      <c r="IK86">
        <f t="shared" si="265"/>
        <v>4.1739306335933767E-3</v>
      </c>
      <c r="IL86">
        <f t="shared" si="180"/>
        <v>1.2202871242785655E-2</v>
      </c>
      <c r="IM86">
        <f t="shared" si="181"/>
        <v>14.248578731010069</v>
      </c>
      <c r="IN86">
        <f t="shared" si="260"/>
        <v>2.474801633604006E-6</v>
      </c>
      <c r="IO86">
        <f t="shared" si="235"/>
        <v>2.5610625993230648E-2</v>
      </c>
      <c r="IP86">
        <f t="shared" si="182"/>
        <v>2873.8904797757727</v>
      </c>
      <c r="IQ86">
        <f t="shared" si="236"/>
        <v>2.1086580968275396E-6</v>
      </c>
      <c r="IR86">
        <f t="shared" si="183"/>
        <v>4.0342383437454122E-4</v>
      </c>
      <c r="IS86">
        <f t="shared" si="184"/>
        <v>0.20569762850517856</v>
      </c>
      <c r="IU86">
        <f t="shared" si="185"/>
        <v>35.145288004295423</v>
      </c>
      <c r="IV86">
        <f t="shared" si="186"/>
        <v>0.41600000000000004</v>
      </c>
      <c r="IW86">
        <f t="shared" si="39"/>
        <v>112214.769</v>
      </c>
      <c r="IX86">
        <f t="shared" si="40"/>
        <v>5.1385635605442331E-3</v>
      </c>
      <c r="IY86">
        <f t="shared" si="266"/>
        <v>4.1739306335933767E-3</v>
      </c>
      <c r="IZ86">
        <f t="shared" si="188"/>
        <v>1.2202871242785655E-2</v>
      </c>
      <c r="JA86">
        <f t="shared" si="189"/>
        <v>14.248578731010069</v>
      </c>
      <c r="JB86">
        <f t="shared" si="261"/>
        <v>2.41422787313974E-6</v>
      </c>
      <c r="JC86">
        <f t="shared" si="237"/>
        <v>2.4623796063746137E-2</v>
      </c>
      <c r="JD86">
        <f t="shared" si="190"/>
        <v>2763.153587196382</v>
      </c>
      <c r="JE86">
        <f t="shared" si="238"/>
        <v>2.0676335650226213E-6</v>
      </c>
      <c r="JF86">
        <f t="shared" si="191"/>
        <v>3.8188412660241261E-4</v>
      </c>
      <c r="JG86">
        <f t="shared" si="192"/>
        <v>0.20066293048819239</v>
      </c>
      <c r="JI86">
        <f t="shared" si="193"/>
        <v>37.042981741028441</v>
      </c>
      <c r="JJ86">
        <f t="shared" si="194"/>
        <v>0.41600000000000004</v>
      </c>
      <c r="JK86">
        <f t="shared" si="41"/>
        <v>112214.769</v>
      </c>
      <c r="JL86">
        <f t="shared" si="42"/>
        <v>5.1385635605442331E-3</v>
      </c>
      <c r="JM86">
        <f t="shared" si="267"/>
        <v>4.1739306335933767E-3</v>
      </c>
      <c r="JN86">
        <f t="shared" si="196"/>
        <v>1.2202871242785655E-2</v>
      </c>
      <c r="JO86">
        <f t="shared" si="197"/>
        <v>14.248578731010069</v>
      </c>
      <c r="JP86">
        <f t="shared" si="262"/>
        <v>2.3562250119434649E-6</v>
      </c>
      <c r="JQ86">
        <f t="shared" si="239"/>
        <v>2.36881522371147E-2</v>
      </c>
      <c r="JR86">
        <f t="shared" si="198"/>
        <v>2658.1605313246591</v>
      </c>
      <c r="JS86">
        <f t="shared" si="240"/>
        <v>2.0279706419356754E-6</v>
      </c>
      <c r="JT86">
        <f t="shared" si="199"/>
        <v>3.6167683789974634E-4</v>
      </c>
      <c r="JU86">
        <f t="shared" si="200"/>
        <v>0.19584191742897039</v>
      </c>
    </row>
    <row r="87" spans="2:281">
      <c r="B87">
        <v>0.53</v>
      </c>
      <c r="C87">
        <f t="shared" si="43"/>
        <v>1.0057776804684977</v>
      </c>
      <c r="D87">
        <f t="shared" si="44"/>
        <v>0.42400000000000004</v>
      </c>
      <c r="E87">
        <f t="shared" si="268"/>
        <v>112030.341</v>
      </c>
      <c r="F87">
        <f t="shared" si="269"/>
        <v>5.1413817715897075E-3</v>
      </c>
      <c r="G87">
        <f t="shared" si="45"/>
        <v>4.1727865219194776E-3</v>
      </c>
      <c r="H87">
        <f t="shared" si="46"/>
        <v>1.2222960007288876E-2</v>
      </c>
      <c r="I87">
        <f t="shared" si="47"/>
        <v>14.264212093523904</v>
      </c>
      <c r="J87">
        <f t="shared" si="241"/>
        <v>4.1049369216021022E-6</v>
      </c>
      <c r="K87">
        <f t="shared" si="201"/>
        <v>5.5666715543252643E-2</v>
      </c>
      <c r="L87">
        <f t="shared" si="298"/>
        <v>6236.3611246605942</v>
      </c>
      <c r="M87">
        <f t="shared" si="202"/>
        <v>3.1062520221370589E-6</v>
      </c>
      <c r="N87">
        <f t="shared" si="203"/>
        <v>1.1012751629820871E-3</v>
      </c>
      <c r="O87">
        <f t="shared" si="49"/>
        <v>0.34118928097976575</v>
      </c>
      <c r="Q87">
        <f t="shared" si="50"/>
        <v>2.9034714172015121</v>
      </c>
      <c r="R87">
        <f t="shared" si="51"/>
        <v>0.42400000000000004</v>
      </c>
      <c r="S87">
        <f t="shared" si="270"/>
        <v>112030.341</v>
      </c>
      <c r="T87">
        <f t="shared" si="271"/>
        <v>5.1413817715897075E-3</v>
      </c>
      <c r="U87">
        <f t="shared" si="52"/>
        <v>4.1727865219194776E-3</v>
      </c>
      <c r="V87">
        <f t="shared" si="53"/>
        <v>1.2222960007288876E-2</v>
      </c>
      <c r="W87">
        <f t="shared" si="54"/>
        <v>14.264212093523904</v>
      </c>
      <c r="X87">
        <f t="shared" si="242"/>
        <v>3.9638629735081119E-6</v>
      </c>
      <c r="Y87">
        <f t="shared" si="204"/>
        <v>5.2904269007006038E-2</v>
      </c>
      <c r="Z87">
        <f t="shared" si="299"/>
        <v>5926.8832972106175</v>
      </c>
      <c r="AA87">
        <f t="shared" si="205"/>
        <v>3.0281978650036116E-6</v>
      </c>
      <c r="AB87">
        <f t="shared" si="56"/>
        <v>1.03178164145358E-3</v>
      </c>
      <c r="AC87">
        <f t="shared" si="57"/>
        <v>0.32946366379381892</v>
      </c>
      <c r="AE87">
        <f t="shared" si="58"/>
        <v>4.8011651539345266</v>
      </c>
      <c r="AF87">
        <f t="shared" si="59"/>
        <v>0.42400000000000004</v>
      </c>
      <c r="AG87">
        <f t="shared" si="272"/>
        <v>112030.341</v>
      </c>
      <c r="AH87">
        <f t="shared" si="273"/>
        <v>5.1413817715897075E-3</v>
      </c>
      <c r="AI87">
        <f t="shared" si="60"/>
        <v>4.1727865219194776E-3</v>
      </c>
      <c r="AJ87">
        <f t="shared" si="61"/>
        <v>1.2222960007288876E-2</v>
      </c>
      <c r="AK87">
        <f t="shared" si="62"/>
        <v>14.264212093523904</v>
      </c>
      <c r="AL87">
        <f t="shared" si="243"/>
        <v>3.8304689310453494E-6</v>
      </c>
      <c r="AM87">
        <f t="shared" si="206"/>
        <v>5.0318429462710805E-2</v>
      </c>
      <c r="AN87">
        <f t="shared" si="300"/>
        <v>5637.1908112919382</v>
      </c>
      <c r="AO87">
        <f t="shared" si="207"/>
        <v>2.9532650692191376E-6</v>
      </c>
      <c r="AP87">
        <f t="shared" si="64"/>
        <v>9.6731494229926698E-4</v>
      </c>
      <c r="AQ87">
        <f t="shared" si="65"/>
        <v>0.31837637590022289</v>
      </c>
      <c r="AS87">
        <f t="shared" si="66"/>
        <v>6.698858890667541</v>
      </c>
      <c r="AT87">
        <f t="shared" si="67"/>
        <v>0.42400000000000004</v>
      </c>
      <c r="AU87">
        <f t="shared" si="274"/>
        <v>112030.341</v>
      </c>
      <c r="AV87">
        <f t="shared" si="275"/>
        <v>5.1413817715897075E-3</v>
      </c>
      <c r="AW87">
        <f t="shared" si="68"/>
        <v>4.1727865219194776E-3</v>
      </c>
      <c r="AX87">
        <f t="shared" si="69"/>
        <v>1.2222960007288876E-2</v>
      </c>
      <c r="AY87">
        <f t="shared" si="70"/>
        <v>14.264212093523904</v>
      </c>
      <c r="AZ87">
        <f t="shared" si="244"/>
        <v>3.704231109848958E-6</v>
      </c>
      <c r="BA87">
        <f t="shared" si="208"/>
        <v>4.7895920038053395E-2</v>
      </c>
      <c r="BB87">
        <f t="shared" si="301"/>
        <v>5365.796254371855</v>
      </c>
      <c r="BC87">
        <f t="shared" si="209"/>
        <v>2.8812978155168697E-6</v>
      </c>
      <c r="BD87">
        <f t="shared" si="72"/>
        <v>9.0746941134727595E-4</v>
      </c>
      <c r="BE87">
        <f t="shared" si="73"/>
        <v>0.3078838903227249</v>
      </c>
      <c r="BG87">
        <f t="shared" si="74"/>
        <v>8.5965526274005555</v>
      </c>
      <c r="BH87">
        <f t="shared" si="75"/>
        <v>0.42400000000000004</v>
      </c>
      <c r="BI87">
        <f t="shared" si="276"/>
        <v>112030.341</v>
      </c>
      <c r="BJ87">
        <f t="shared" si="277"/>
        <v>5.1413817715897075E-3</v>
      </c>
      <c r="BK87">
        <f t="shared" si="76"/>
        <v>4.1727865219194776E-3</v>
      </c>
      <c r="BL87">
        <f t="shared" si="77"/>
        <v>1.2222960007288876E-2</v>
      </c>
      <c r="BM87">
        <f t="shared" si="78"/>
        <v>14.264212093523904</v>
      </c>
      <c r="BN87">
        <f t="shared" si="245"/>
        <v>3.5846669309993369E-6</v>
      </c>
      <c r="BO87">
        <f t="shared" si="210"/>
        <v>4.5624580372851449E-2</v>
      </c>
      <c r="BP87">
        <f t="shared" si="302"/>
        <v>5111.337297152455</v>
      </c>
      <c r="BQ87">
        <f t="shared" si="211"/>
        <v>2.8121490239064529E-6</v>
      </c>
      <c r="BR87">
        <f t="shared" si="80"/>
        <v>8.5187508542084996E-4</v>
      </c>
      <c r="BS87">
        <f t="shared" si="81"/>
        <v>0.29794609663874377</v>
      </c>
      <c r="BU87">
        <f t="shared" si="82"/>
        <v>10.49424636413357</v>
      </c>
      <c r="BV87">
        <f t="shared" si="83"/>
        <v>0.42400000000000004</v>
      </c>
      <c r="BW87">
        <f t="shared" si="278"/>
        <v>112030.341</v>
      </c>
      <c r="BX87">
        <f t="shared" si="279"/>
        <v>5.1413817715897075E-3</v>
      </c>
      <c r="BY87">
        <f t="shared" si="84"/>
        <v>4.1727865219194776E-3</v>
      </c>
      <c r="BZ87">
        <f t="shared" si="85"/>
        <v>1.2222960007288876E-2</v>
      </c>
      <c r="CA87">
        <f t="shared" si="86"/>
        <v>14.264212093523904</v>
      </c>
      <c r="CB87">
        <f t="shared" si="246"/>
        <v>3.4713313622565351E-6</v>
      </c>
      <c r="CC87">
        <f t="shared" si="247"/>
        <v>4.3493264838816E-2</v>
      </c>
      <c r="CD87">
        <f t="shared" si="303"/>
        <v>4872.5652910958661</v>
      </c>
      <c r="CE87">
        <f t="shared" si="248"/>
        <v>2.7456798378911513E-6</v>
      </c>
      <c r="CF87">
        <f t="shared" si="212"/>
        <v>8.0019433676403566E-4</v>
      </c>
      <c r="CG87">
        <f t="shared" si="88"/>
        <v>0.28852600518610888</v>
      </c>
      <c r="CI87">
        <f t="shared" si="89"/>
        <v>12.391940100866584</v>
      </c>
      <c r="CJ87">
        <f t="shared" si="90"/>
        <v>0.42400000000000004</v>
      </c>
      <c r="CK87">
        <f t="shared" si="280"/>
        <v>112030.341</v>
      </c>
      <c r="CL87">
        <f t="shared" si="281"/>
        <v>5.1413817715897075E-3</v>
      </c>
      <c r="CM87">
        <f t="shared" si="91"/>
        <v>4.1727865219194776E-3</v>
      </c>
      <c r="CN87">
        <f t="shared" si="92"/>
        <v>1.2222960007288876E-2</v>
      </c>
      <c r="CO87">
        <f t="shared" si="93"/>
        <v>14.264212093523904</v>
      </c>
      <c r="CP87">
        <f t="shared" si="249"/>
        <v>3.3638136902421987E-6</v>
      </c>
      <c r="CQ87">
        <f t="shared" si="213"/>
        <v>4.1491750599866303E-2</v>
      </c>
      <c r="CR87">
        <f t="shared" si="304"/>
        <v>4648.3349683899769</v>
      </c>
      <c r="CS87">
        <f t="shared" si="214"/>
        <v>2.6817591390095888E-6</v>
      </c>
      <c r="CT87">
        <f t="shared" si="95"/>
        <v>7.5211884897200074E-4</v>
      </c>
      <c r="CU87">
        <f t="shared" si="96"/>
        <v>0.27958947877710566</v>
      </c>
      <c r="CW87">
        <f t="shared" si="97"/>
        <v>14.289633837599599</v>
      </c>
      <c r="CX87">
        <f t="shared" si="98"/>
        <v>0.42400000000000004</v>
      </c>
      <c r="CY87">
        <f t="shared" si="282"/>
        <v>112030.341</v>
      </c>
      <c r="CZ87">
        <f t="shared" si="283"/>
        <v>5.1413817715897075E-3</v>
      </c>
      <c r="DA87">
        <f t="shared" si="99"/>
        <v>4.1727865219194776E-3</v>
      </c>
      <c r="DB87">
        <f t="shared" si="100"/>
        <v>1.2222960007288876E-2</v>
      </c>
      <c r="DC87">
        <f t="shared" si="101"/>
        <v>14.264212093523904</v>
      </c>
      <c r="DD87">
        <f t="shared" si="250"/>
        <v>3.2617345911292355E-6</v>
      </c>
      <c r="DE87">
        <f t="shared" si="215"/>
        <v>3.9610654520436592E-2</v>
      </c>
      <c r="DF87">
        <f t="shared" si="305"/>
        <v>4437.5951331577025</v>
      </c>
      <c r="DG87">
        <f t="shared" si="216"/>
        <v>2.620263090036731E-6</v>
      </c>
      <c r="DH87">
        <f t="shared" si="103"/>
        <v>7.073668904901061E-4</v>
      </c>
      <c r="DI87">
        <f t="shared" si="104"/>
        <v>0.27110498922353143</v>
      </c>
      <c r="DK87">
        <f t="shared" si="105"/>
        <v>16.187327574332613</v>
      </c>
      <c r="DL87">
        <f t="shared" si="106"/>
        <v>0.42400000000000004</v>
      </c>
      <c r="DM87">
        <f t="shared" si="284"/>
        <v>112030.341</v>
      </c>
      <c r="DN87">
        <f t="shared" si="285"/>
        <v>5.1413817715897075E-3</v>
      </c>
      <c r="DO87">
        <f t="shared" si="107"/>
        <v>4.1727865219194776E-3</v>
      </c>
      <c r="DP87">
        <f t="shared" si="108"/>
        <v>1.2222960007288876E-2</v>
      </c>
      <c r="DQ87">
        <f t="shared" si="109"/>
        <v>14.264212093523904</v>
      </c>
      <c r="DR87">
        <f t="shared" si="251"/>
        <v>3.1647434707018709E-6</v>
      </c>
      <c r="DS87">
        <f t="shared" si="217"/>
        <v>3.784135803226376E-2</v>
      </c>
      <c r="DT87">
        <f t="shared" si="306"/>
        <v>4239.380244257598</v>
      </c>
      <c r="DU87">
        <f t="shared" si="218"/>
        <v>2.5610747052557412E-6</v>
      </c>
      <c r="DV87">
        <f t="shared" si="111"/>
        <v>6.656808553028009E-4</v>
      </c>
      <c r="DW87">
        <f t="shared" si="112"/>
        <v>0.26304339625096052</v>
      </c>
      <c r="DY87">
        <f t="shared" si="113"/>
        <v>18.085021311065628</v>
      </c>
      <c r="DZ87">
        <f t="shared" si="114"/>
        <v>0.42400000000000004</v>
      </c>
      <c r="EA87">
        <f t="shared" si="286"/>
        <v>112030.341</v>
      </c>
      <c r="EB87">
        <f t="shared" si="287"/>
        <v>5.1413817715897075E-3</v>
      </c>
      <c r="EC87">
        <f t="shared" si="115"/>
        <v>4.1727865219194776E-3</v>
      </c>
      <c r="ED87">
        <f t="shared" si="116"/>
        <v>1.2222960007288876E-2</v>
      </c>
      <c r="EE87">
        <f t="shared" si="117"/>
        <v>14.264212093523904</v>
      </c>
      <c r="EF87">
        <f t="shared" si="252"/>
        <v>3.0725160476063622E-6</v>
      </c>
      <c r="EG87">
        <f t="shared" si="219"/>
        <v>3.6175939162305035E-2</v>
      </c>
      <c r="EH87">
        <f t="shared" si="307"/>
        <v>4052.8028003482873</v>
      </c>
      <c r="EI87">
        <f t="shared" si="220"/>
        <v>2.5040834462867712E-6</v>
      </c>
      <c r="EJ87">
        <f t="shared" si="119"/>
        <v>6.2682504361274364E-4</v>
      </c>
      <c r="EK87">
        <f t="shared" si="120"/>
        <v>0.25537774662624174</v>
      </c>
      <c r="EM87">
        <f t="shared" si="121"/>
        <v>19.982715047798642</v>
      </c>
      <c r="EN87">
        <f t="shared" si="122"/>
        <v>0.42400000000000004</v>
      </c>
      <c r="EO87">
        <f t="shared" si="288"/>
        <v>112030.341</v>
      </c>
      <c r="EP87">
        <f t="shared" si="289"/>
        <v>5.1413817715897075E-3</v>
      </c>
      <c r="EQ87">
        <f t="shared" si="123"/>
        <v>4.1727865219194776E-3</v>
      </c>
      <c r="ER87">
        <f t="shared" si="124"/>
        <v>1.2222960007288876E-2</v>
      </c>
      <c r="ES87">
        <f t="shared" si="125"/>
        <v>14.264212093523904</v>
      </c>
      <c r="ET87">
        <f t="shared" si="253"/>
        <v>2.9847521562618817E-6</v>
      </c>
      <c r="EU87">
        <f t="shared" si="221"/>
        <v>3.4607111006870098E-2</v>
      </c>
      <c r="EV87">
        <f t="shared" si="308"/>
        <v>3877.0464471245105</v>
      </c>
      <c r="EW87">
        <f t="shared" si="222"/>
        <v>2.4491848420310209E-6</v>
      </c>
      <c r="EX87">
        <f t="shared" si="127"/>
        <v>5.9058365815224255E-4</v>
      </c>
      <c r="EY87">
        <f t="shared" si="128"/>
        <v>0.24808309154244992</v>
      </c>
      <c r="FA87">
        <f t="shared" si="129"/>
        <v>21.880408784531657</v>
      </c>
      <c r="FB87">
        <f t="shared" si="130"/>
        <v>0.42400000000000004</v>
      </c>
      <c r="FC87">
        <f t="shared" si="290"/>
        <v>112030.341</v>
      </c>
      <c r="FD87">
        <f t="shared" si="291"/>
        <v>5.1413817715897075E-3</v>
      </c>
      <c r="FE87">
        <f t="shared" si="131"/>
        <v>4.1727865219194776E-3</v>
      </c>
      <c r="FF87">
        <f t="shared" si="132"/>
        <v>1.2222960007288876E-2</v>
      </c>
      <c r="FG87">
        <f t="shared" si="133"/>
        <v>14.264212093523904</v>
      </c>
      <c r="FH87">
        <f t="shared" si="254"/>
        <v>2.9011737482745758E-6</v>
      </c>
      <c r="FI87">
        <f t="shared" si="223"/>
        <v>3.3128166010792166E-2</v>
      </c>
      <c r="FJ87">
        <f t="shared" si="309"/>
        <v>3711.359734893656</v>
      </c>
      <c r="FK87">
        <f t="shared" si="224"/>
        <v>2.3962801313582118E-6</v>
      </c>
      <c r="FL87">
        <f t="shared" si="135"/>
        <v>5.5675899430944259E-4</v>
      </c>
      <c r="FM87">
        <f t="shared" si="136"/>
        <v>0.24113632050278849</v>
      </c>
      <c r="FO87">
        <f t="shared" si="137"/>
        <v>23.778102521264671</v>
      </c>
      <c r="FP87">
        <f t="shared" si="138"/>
        <v>0.42400000000000004</v>
      </c>
      <c r="FQ87">
        <f t="shared" si="292"/>
        <v>112030.341</v>
      </c>
      <c r="FR87">
        <f t="shared" si="293"/>
        <v>5.1413817715897075E-3</v>
      </c>
      <c r="FS87">
        <f t="shared" si="139"/>
        <v>4.1727865219194776E-3</v>
      </c>
      <c r="FT87">
        <f t="shared" si="140"/>
        <v>1.2222960007288876E-2</v>
      </c>
      <c r="FU87">
        <f t="shared" si="141"/>
        <v>14.264212093523904</v>
      </c>
      <c r="FV87">
        <f t="shared" si="255"/>
        <v>2.8215230733250143E-6</v>
      </c>
      <c r="FW87">
        <f t="shared" si="225"/>
        <v>3.1732925476439806E-2</v>
      </c>
      <c r="FX87">
        <f t="shared" si="310"/>
        <v>3555.0504620531392</v>
      </c>
      <c r="FY87">
        <f t="shared" si="226"/>
        <v>2.3452759272333604E-6</v>
      </c>
      <c r="FZ87">
        <f t="shared" si="143"/>
        <v>5.2516980452271096E-4</v>
      </c>
      <c r="GA87">
        <f t="shared" si="144"/>
        <v>0.23451601012174919</v>
      </c>
      <c r="GC87">
        <f t="shared" si="145"/>
        <v>25.675796257997686</v>
      </c>
      <c r="GD87">
        <f t="shared" si="146"/>
        <v>0.42400000000000004</v>
      </c>
      <c r="GE87">
        <f t="shared" si="294"/>
        <v>112030.341</v>
      </c>
      <c r="GF87">
        <f t="shared" si="295"/>
        <v>5.1413817715897075E-3</v>
      </c>
      <c r="GG87">
        <f t="shared" si="147"/>
        <v>4.1727865219194776E-3</v>
      </c>
      <c r="GH87">
        <f t="shared" si="148"/>
        <v>1.2222960007288876E-2</v>
      </c>
      <c r="GI87">
        <f t="shared" si="149"/>
        <v>14.264212093523904</v>
      </c>
      <c r="GJ87">
        <f t="shared" si="256"/>
        <v>2.7455610224057168E-6</v>
      </c>
      <c r="GK87">
        <f t="shared" si="227"/>
        <v>3.0415693786403044E-2</v>
      </c>
      <c r="GL87">
        <f t="shared" si="311"/>
        <v>3407.480546642314</v>
      </c>
      <c r="GM87">
        <f t="shared" si="228"/>
        <v>2.2960839010439719E-6</v>
      </c>
      <c r="GN87">
        <f t="shared" si="151"/>
        <v>4.9564981942705466E-4</v>
      </c>
      <c r="GO87">
        <f t="shared" si="152"/>
        <v>0.22820228642029258</v>
      </c>
      <c r="GQ87">
        <f t="shared" si="153"/>
        <v>27.5734899947307</v>
      </c>
      <c r="GR87">
        <f t="shared" si="154"/>
        <v>0.42400000000000004</v>
      </c>
      <c r="GS87">
        <f t="shared" si="296"/>
        <v>112030.341</v>
      </c>
      <c r="GT87">
        <f t="shared" si="297"/>
        <v>5.1413817715897075E-3</v>
      </c>
      <c r="GU87">
        <f t="shared" si="155"/>
        <v>4.1727865219194776E-3</v>
      </c>
      <c r="GV87">
        <f t="shared" si="156"/>
        <v>1.2222960007288876E-2</v>
      </c>
      <c r="GW87">
        <f t="shared" si="157"/>
        <v>14.264212093523904</v>
      </c>
      <c r="GX87">
        <f t="shared" si="257"/>
        <v>2.6730656179950799E-6</v>
      </c>
      <c r="GY87">
        <f t="shared" si="229"/>
        <v>2.9171216876522629E-2</v>
      </c>
      <c r="GZ87">
        <f t="shared" si="312"/>
        <v>3268.061374061785</v>
      </c>
      <c r="HA87">
        <f t="shared" si="230"/>
        <v>2.2486204859519617E-6</v>
      </c>
      <c r="HB87">
        <f t="shared" si="159"/>
        <v>4.6804641005198234E-4</v>
      </c>
      <c r="HC87">
        <f t="shared" si="160"/>
        <v>0.22217669933391443</v>
      </c>
      <c r="HE87">
        <f t="shared" si="161"/>
        <v>29.471183731463714</v>
      </c>
      <c r="HF87">
        <f t="shared" si="162"/>
        <v>0.42400000000000004</v>
      </c>
      <c r="HG87">
        <f t="shared" si="33"/>
        <v>112030.341</v>
      </c>
      <c r="HH87">
        <f t="shared" si="34"/>
        <v>5.1413817715897075E-3</v>
      </c>
      <c r="HI87">
        <f t="shared" si="263"/>
        <v>4.1727865219194776E-3</v>
      </c>
      <c r="HJ87">
        <f t="shared" si="164"/>
        <v>1.2222960007288876E-2</v>
      </c>
      <c r="HK87">
        <f t="shared" si="165"/>
        <v>14.264212093523904</v>
      </c>
      <c r="HL87">
        <f t="shared" si="258"/>
        <v>2.6038306372870959E-6</v>
      </c>
      <c r="HM87">
        <f t="shared" si="231"/>
        <v>2.7994644543220489E-2</v>
      </c>
      <c r="HN87">
        <f t="shared" si="166"/>
        <v>3136.2495743507807</v>
      </c>
      <c r="HO87">
        <f t="shared" si="232"/>
        <v>2.2028065981553521E-6</v>
      </c>
      <c r="HP87">
        <f t="shared" si="167"/>
        <v>4.422193769937988E-4</v>
      </c>
      <c r="HQ87">
        <f t="shared" si="168"/>
        <v>0.21642210827988537</v>
      </c>
      <c r="HS87">
        <f t="shared" si="169"/>
        <v>31.368877468196732</v>
      </c>
      <c r="HT87">
        <f t="shared" si="170"/>
        <v>0.42400000000000004</v>
      </c>
      <c r="HU87">
        <f t="shared" si="35"/>
        <v>112030.341</v>
      </c>
      <c r="HV87">
        <f t="shared" si="36"/>
        <v>5.1413817715897075E-3</v>
      </c>
      <c r="HW87">
        <f t="shared" si="264"/>
        <v>4.1727865219194776E-3</v>
      </c>
      <c r="HX87">
        <f t="shared" si="172"/>
        <v>1.2222960007288876E-2</v>
      </c>
      <c r="HY87">
        <f t="shared" si="173"/>
        <v>14.264212093523904</v>
      </c>
      <c r="HZ87">
        <f t="shared" si="259"/>
        <v>2.5376643559716838E-6</v>
      </c>
      <c r="IA87">
        <f t="shared" si="233"/>
        <v>2.6881496211428609E-2</v>
      </c>
      <c r="IB87">
        <f t="shared" si="174"/>
        <v>3011.5431871565552</v>
      </c>
      <c r="IC87">
        <f t="shared" si="234"/>
        <v>2.1585673750033791E-6</v>
      </c>
      <c r="ID87">
        <f t="shared" si="175"/>
        <v>4.1803985393743328E-4</v>
      </c>
      <c r="IE87">
        <f t="shared" si="176"/>
        <v>0.21092257774427375</v>
      </c>
      <c r="IG87">
        <f t="shared" si="177"/>
        <v>33.266571204929747</v>
      </c>
      <c r="IH87">
        <f t="shared" si="178"/>
        <v>0.42400000000000004</v>
      </c>
      <c r="II87">
        <f t="shared" si="37"/>
        <v>112030.341</v>
      </c>
      <c r="IJ87">
        <f t="shared" si="38"/>
        <v>5.1413817715897075E-3</v>
      </c>
      <c r="IK87">
        <f t="shared" si="265"/>
        <v>4.1727865219194776E-3</v>
      </c>
      <c r="IL87">
        <f t="shared" si="180"/>
        <v>1.2222960007288876E-2</v>
      </c>
      <c r="IM87">
        <f t="shared" si="181"/>
        <v>14.264212093523904</v>
      </c>
      <c r="IN87">
        <f t="shared" si="260"/>
        <v>2.4743884012947231E-6</v>
      </c>
      <c r="IO87">
        <f t="shared" si="235"/>
        <v>2.5827629827325286E-2</v>
      </c>
      <c r="IP87">
        <f t="shared" si="182"/>
        <v>2893.4781767770228</v>
      </c>
      <c r="IQ87">
        <f t="shared" si="236"/>
        <v>2.1158319289648848E-6</v>
      </c>
      <c r="IR87">
        <f t="shared" si="183"/>
        <v>3.953893142019481E-4</v>
      </c>
      <c r="IS87">
        <f t="shared" si="184"/>
        <v>0.205663281951949</v>
      </c>
      <c r="IU87">
        <f t="shared" si="185"/>
        <v>35.164264941662758</v>
      </c>
      <c r="IV87">
        <f t="shared" si="186"/>
        <v>0.42400000000000004</v>
      </c>
      <c r="IW87">
        <f t="shared" si="39"/>
        <v>112030.341</v>
      </c>
      <c r="IX87">
        <f t="shared" si="40"/>
        <v>5.1413817715897075E-3</v>
      </c>
      <c r="IY87">
        <f t="shared" si="266"/>
        <v>4.1727865219194776E-3</v>
      </c>
      <c r="IZ87">
        <f t="shared" si="188"/>
        <v>1.2222960007288876E-2</v>
      </c>
      <c r="JA87">
        <f t="shared" si="189"/>
        <v>14.264212093523904</v>
      </c>
      <c r="JB87">
        <f t="shared" si="261"/>
        <v>2.4138367042348113E-6</v>
      </c>
      <c r="JC87">
        <f t="shared" si="237"/>
        <v>2.4829213574045415E-2</v>
      </c>
      <c r="JD87">
        <f t="shared" si="190"/>
        <v>2781.6252634621364</v>
      </c>
      <c r="JE87">
        <f t="shared" si="238"/>
        <v>2.0745331165039601E-6</v>
      </c>
      <c r="JF87">
        <f t="shared" si="191"/>
        <v>3.7415867014596772E-4</v>
      </c>
      <c r="JG87">
        <f t="shared" si="192"/>
        <v>0.20063041777485155</v>
      </c>
      <c r="JI87">
        <f t="shared" si="193"/>
        <v>37.061958678395776</v>
      </c>
      <c r="JJ87">
        <f t="shared" si="194"/>
        <v>0.42400000000000004</v>
      </c>
      <c r="JK87">
        <f t="shared" si="41"/>
        <v>112030.341</v>
      </c>
      <c r="JL87">
        <f t="shared" si="42"/>
        <v>5.1413817715897075E-3</v>
      </c>
      <c r="JM87">
        <f t="shared" si="267"/>
        <v>4.1727865219194776E-3</v>
      </c>
      <c r="JN87">
        <f t="shared" si="196"/>
        <v>1.2222960007288876E-2</v>
      </c>
      <c r="JO87">
        <f t="shared" si="197"/>
        <v>14.264212093523904</v>
      </c>
      <c r="JP87">
        <f t="shared" si="262"/>
        <v>2.3558545416286131E-6</v>
      </c>
      <c r="JQ87">
        <f t="shared" si="239"/>
        <v>2.3882700138948887E-2</v>
      </c>
      <c r="JR87">
        <f t="shared" si="198"/>
        <v>2675.5870405671913</v>
      </c>
      <c r="JS87">
        <f t="shared" si="240"/>
        <v>2.0346073209684655E-6</v>
      </c>
      <c r="JT87">
        <f t="shared" si="199"/>
        <v>3.5424745630934602E-4</v>
      </c>
      <c r="JU87">
        <f t="shared" si="200"/>
        <v>0.19581112511650306</v>
      </c>
    </row>
    <row r="88" spans="2:281">
      <c r="B88">
        <v>0.54</v>
      </c>
      <c r="C88">
        <f t="shared" si="43"/>
        <v>1.0247546178358278</v>
      </c>
      <c r="D88">
        <f t="shared" si="44"/>
        <v>0.432</v>
      </c>
      <c r="E88">
        <f t="shared" si="268"/>
        <v>111845.913</v>
      </c>
      <c r="F88">
        <f t="shared" si="269"/>
        <v>5.1442061753416589E-3</v>
      </c>
      <c r="G88">
        <f t="shared" si="45"/>
        <v>4.1716408396058535E-3</v>
      </c>
      <c r="H88">
        <f t="shared" si="46"/>
        <v>1.2243115022414233E-2</v>
      </c>
      <c r="I88">
        <f t="shared" si="47"/>
        <v>14.279888408556358</v>
      </c>
      <c r="J88">
        <f t="shared" si="241"/>
        <v>4.1038088710508492E-6</v>
      </c>
      <c r="K88">
        <f t="shared" si="201"/>
        <v>5.6259097332322615E-2</v>
      </c>
      <c r="L88">
        <f t="shared" si="298"/>
        <v>6292.3501056894875</v>
      </c>
      <c r="M88">
        <f t="shared" si="202"/>
        <v>3.1201645648667853E-6</v>
      </c>
      <c r="N88">
        <f t="shared" si="203"/>
        <v>1.085583448865942E-3</v>
      </c>
      <c r="O88">
        <f t="shared" si="49"/>
        <v>0.34109552101125917</v>
      </c>
      <c r="Q88">
        <f t="shared" si="50"/>
        <v>2.9224483545688424</v>
      </c>
      <c r="R88">
        <f t="shared" si="51"/>
        <v>0.432</v>
      </c>
      <c r="S88">
        <f t="shared" si="270"/>
        <v>111845.913</v>
      </c>
      <c r="T88">
        <f t="shared" si="271"/>
        <v>5.1442061753416589E-3</v>
      </c>
      <c r="U88">
        <f t="shared" si="52"/>
        <v>4.1716408396058535E-3</v>
      </c>
      <c r="V88">
        <f t="shared" si="53"/>
        <v>1.2243115022414233E-2</v>
      </c>
      <c r="W88">
        <f t="shared" si="54"/>
        <v>14.279888408556358</v>
      </c>
      <c r="X88">
        <f t="shared" si="242"/>
        <v>3.9628061060797544E-6</v>
      </c>
      <c r="Y88">
        <f t="shared" si="204"/>
        <v>5.3459269859870789E-2</v>
      </c>
      <c r="Z88">
        <f t="shared" si="299"/>
        <v>5979.2008457906304</v>
      </c>
      <c r="AA88">
        <f t="shared" si="205"/>
        <v>3.0415336941820304E-6</v>
      </c>
      <c r="AB88">
        <f t="shared" si="56"/>
        <v>1.0167476962610806E-3</v>
      </c>
      <c r="AC88">
        <f t="shared" si="57"/>
        <v>0.32937582033973939</v>
      </c>
      <c r="AE88">
        <f t="shared" si="58"/>
        <v>4.8201420913018564</v>
      </c>
      <c r="AF88">
        <f t="shared" si="59"/>
        <v>0.432</v>
      </c>
      <c r="AG88">
        <f t="shared" si="272"/>
        <v>111845.913</v>
      </c>
      <c r="AH88">
        <f t="shared" si="273"/>
        <v>5.1442061753416589E-3</v>
      </c>
      <c r="AI88">
        <f t="shared" si="60"/>
        <v>4.1716408396058535E-3</v>
      </c>
      <c r="AJ88">
        <f t="shared" si="61"/>
        <v>1.2243115022414233E-2</v>
      </c>
      <c r="AK88">
        <f t="shared" si="62"/>
        <v>14.279888408556358</v>
      </c>
      <c r="AL88">
        <f t="shared" si="243"/>
        <v>3.8294780976999923E-6</v>
      </c>
      <c r="AM88">
        <f t="shared" si="206"/>
        <v>5.083875333395993E-2</v>
      </c>
      <c r="AN88">
        <f t="shared" si="300"/>
        <v>5686.106782418542</v>
      </c>
      <c r="AO88">
        <f t="shared" si="207"/>
        <v>2.9660506745833138E-6</v>
      </c>
      <c r="AP88">
        <f t="shared" si="64"/>
        <v>9.529079911707849E-4</v>
      </c>
      <c r="AQ88">
        <f t="shared" si="65"/>
        <v>0.31829402098877613</v>
      </c>
      <c r="AS88">
        <f t="shared" si="66"/>
        <v>6.7178358280348709</v>
      </c>
      <c r="AT88">
        <f t="shared" si="67"/>
        <v>0.432</v>
      </c>
      <c r="AU88">
        <f t="shared" si="274"/>
        <v>111845.913</v>
      </c>
      <c r="AV88">
        <f t="shared" si="275"/>
        <v>5.1442061753416589E-3</v>
      </c>
      <c r="AW88">
        <f t="shared" si="68"/>
        <v>4.1716408396058535E-3</v>
      </c>
      <c r="AX88">
        <f t="shared" si="69"/>
        <v>1.2243115022414233E-2</v>
      </c>
      <c r="AY88">
        <f t="shared" si="70"/>
        <v>14.279888408556358</v>
      </c>
      <c r="AZ88">
        <f t="shared" si="244"/>
        <v>3.703301577063579E-6</v>
      </c>
      <c r="BA88">
        <f t="shared" si="208"/>
        <v>4.8384052678731963E-2</v>
      </c>
      <c r="BB88">
        <f t="shared" si="301"/>
        <v>5411.5585464928718</v>
      </c>
      <c r="BC88">
        <f t="shared" si="209"/>
        <v>2.8935583307361847E-6</v>
      </c>
      <c r="BD88">
        <f t="shared" si="72"/>
        <v>8.9366030029101417E-4</v>
      </c>
      <c r="BE88">
        <f t="shared" si="73"/>
        <v>0.30780663051855556</v>
      </c>
      <c r="BG88">
        <f t="shared" si="74"/>
        <v>8.6155295647678862</v>
      </c>
      <c r="BH88">
        <f t="shared" si="75"/>
        <v>0.432</v>
      </c>
      <c r="BI88">
        <f t="shared" si="276"/>
        <v>111845.913</v>
      </c>
      <c r="BJ88">
        <f t="shared" si="277"/>
        <v>5.1442061753416589E-3</v>
      </c>
      <c r="BK88">
        <f t="shared" si="76"/>
        <v>4.1716408396058535E-3</v>
      </c>
      <c r="BL88">
        <f t="shared" si="77"/>
        <v>1.2243115022414233E-2</v>
      </c>
      <c r="BM88">
        <f t="shared" si="78"/>
        <v>14.279888408556358</v>
      </c>
      <c r="BN88">
        <f t="shared" si="245"/>
        <v>3.5837943442090335E-6</v>
      </c>
      <c r="BO88">
        <f t="shared" si="210"/>
        <v>4.6082808528836804E-2</v>
      </c>
      <c r="BP88">
        <f t="shared" si="302"/>
        <v>5154.173793511939</v>
      </c>
      <c r="BQ88">
        <f t="shared" si="211"/>
        <v>2.8239083020361726E-6</v>
      </c>
      <c r="BR88">
        <f t="shared" si="80"/>
        <v>8.3863618710638109E-4</v>
      </c>
      <c r="BS88">
        <f t="shared" si="81"/>
        <v>0.29787357000428827</v>
      </c>
      <c r="BU88">
        <f t="shared" si="82"/>
        <v>10.513223301500901</v>
      </c>
      <c r="BV88">
        <f t="shared" si="83"/>
        <v>0.432</v>
      </c>
      <c r="BW88">
        <f t="shared" si="278"/>
        <v>111845.913</v>
      </c>
      <c r="BX88">
        <f t="shared" si="279"/>
        <v>5.1442061753416589E-3</v>
      </c>
      <c r="BY88">
        <f t="shared" si="84"/>
        <v>4.1716408396058535E-3</v>
      </c>
      <c r="BZ88">
        <f t="shared" si="85"/>
        <v>1.2243115022414233E-2</v>
      </c>
      <c r="CA88">
        <f t="shared" si="86"/>
        <v>14.279888408556358</v>
      </c>
      <c r="CB88">
        <f t="shared" si="246"/>
        <v>3.4705117127329302E-6</v>
      </c>
      <c r="CC88">
        <f t="shared" si="247"/>
        <v>4.3923693644213169E-2</v>
      </c>
      <c r="CD88">
        <f t="shared" si="303"/>
        <v>4912.6856179693186</v>
      </c>
      <c r="CE88">
        <f t="shared" si="248"/>
        <v>2.7569605224539086E-6</v>
      </c>
      <c r="CF88">
        <f t="shared" si="212"/>
        <v>7.8749946216894796E-4</v>
      </c>
      <c r="CG88">
        <f t="shared" si="88"/>
        <v>0.28845787852863397</v>
      </c>
      <c r="CI88">
        <f t="shared" si="89"/>
        <v>12.410917038233915</v>
      </c>
      <c r="CJ88">
        <f t="shared" si="90"/>
        <v>0.432</v>
      </c>
      <c r="CK88">
        <f t="shared" si="280"/>
        <v>111845.913</v>
      </c>
      <c r="CL88">
        <f t="shared" si="281"/>
        <v>5.1442061753416589E-3</v>
      </c>
      <c r="CM88">
        <f t="shared" si="91"/>
        <v>4.1716408396058535E-3</v>
      </c>
      <c r="CN88">
        <f t="shared" si="92"/>
        <v>1.2243115022414233E-2</v>
      </c>
      <c r="CO88">
        <f t="shared" si="93"/>
        <v>14.279888408556358</v>
      </c>
      <c r="CP88">
        <f t="shared" si="249"/>
        <v>3.3630432850694411E-6</v>
      </c>
      <c r="CQ88">
        <f t="shared" si="213"/>
        <v>4.1896319343740301E-2</v>
      </c>
      <c r="CR88">
        <f t="shared" si="304"/>
        <v>4685.9320883401952</v>
      </c>
      <c r="CS88">
        <f t="shared" si="214"/>
        <v>2.6925827309560275E-6</v>
      </c>
      <c r="CT88">
        <f t="shared" si="95"/>
        <v>7.3994316450281281E-4</v>
      </c>
      <c r="CU88">
        <f t="shared" si="96"/>
        <v>0.27952544515320926</v>
      </c>
      <c r="CW88">
        <f t="shared" si="97"/>
        <v>14.30861077496693</v>
      </c>
      <c r="CX88">
        <f t="shared" si="98"/>
        <v>0.432</v>
      </c>
      <c r="CY88">
        <f t="shared" si="282"/>
        <v>111845.913</v>
      </c>
      <c r="CZ88">
        <f t="shared" si="283"/>
        <v>5.1442061753416589E-3</v>
      </c>
      <c r="DA88">
        <f t="shared" si="99"/>
        <v>4.1716408396058535E-3</v>
      </c>
      <c r="DB88">
        <f t="shared" si="100"/>
        <v>1.2243115022414233E-2</v>
      </c>
      <c r="DC88">
        <f t="shared" si="101"/>
        <v>14.279888408556358</v>
      </c>
      <c r="DD88">
        <f t="shared" si="250"/>
        <v>3.2610100259727903E-6</v>
      </c>
      <c r="DE88">
        <f t="shared" si="215"/>
        <v>3.9991150946945234E-2</v>
      </c>
      <c r="DF88">
        <f t="shared" si="305"/>
        <v>4472.846789581904</v>
      </c>
      <c r="DG88">
        <f t="shared" si="216"/>
        <v>2.6306500108230172E-6</v>
      </c>
      <c r="DH88">
        <f t="shared" si="103"/>
        <v>6.9568684022395719E-4</v>
      </c>
      <c r="DI88">
        <f t="shared" si="104"/>
        <v>0.27104476567577124</v>
      </c>
      <c r="DK88">
        <f t="shared" si="105"/>
        <v>16.20630451169994</v>
      </c>
      <c r="DL88">
        <f t="shared" si="106"/>
        <v>0.432</v>
      </c>
      <c r="DM88">
        <f t="shared" si="284"/>
        <v>111845.913</v>
      </c>
      <c r="DN88">
        <f t="shared" si="285"/>
        <v>5.1442061753416589E-3</v>
      </c>
      <c r="DO88">
        <f t="shared" si="107"/>
        <v>4.1716408396058535E-3</v>
      </c>
      <c r="DP88">
        <f t="shared" si="108"/>
        <v>1.2243115022414233E-2</v>
      </c>
      <c r="DQ88">
        <f t="shared" si="109"/>
        <v>14.279888408556358</v>
      </c>
      <c r="DR88">
        <f t="shared" si="251"/>
        <v>3.1640616050964125E-6</v>
      </c>
      <c r="DS88">
        <f t="shared" si="217"/>
        <v>3.8199431317913854E-2</v>
      </c>
      <c r="DT88">
        <f t="shared" si="306"/>
        <v>4272.4502718328686</v>
      </c>
      <c r="DU88">
        <f t="shared" si="218"/>
        <v>2.5710443562627488E-6</v>
      </c>
      <c r="DV88">
        <f t="shared" si="111"/>
        <v>6.5447408801995975E-4</v>
      </c>
      <c r="DW88">
        <f t="shared" si="112"/>
        <v>0.2629867217538624</v>
      </c>
      <c r="DY88">
        <f t="shared" si="113"/>
        <v>18.103998248432955</v>
      </c>
      <c r="DZ88">
        <f t="shared" si="114"/>
        <v>0.432</v>
      </c>
      <c r="EA88">
        <f t="shared" si="286"/>
        <v>111845.913</v>
      </c>
      <c r="EB88">
        <f t="shared" si="287"/>
        <v>5.1442061753416589E-3</v>
      </c>
      <c r="EC88">
        <f t="shared" si="115"/>
        <v>4.1716408396058535E-3</v>
      </c>
      <c r="ED88">
        <f t="shared" si="116"/>
        <v>1.2243115022414233E-2</v>
      </c>
      <c r="EE88">
        <f t="shared" si="117"/>
        <v>14.279888408556358</v>
      </c>
      <c r="EF88">
        <f t="shared" si="252"/>
        <v>3.071873982516951E-6</v>
      </c>
      <c r="EG88">
        <f t="shared" si="219"/>
        <v>3.6513111699424318E-2</v>
      </c>
      <c r="EH88">
        <f t="shared" si="307"/>
        <v>4083.8423144930944</v>
      </c>
      <c r="EI88">
        <f t="shared" si="220"/>
        <v>2.5136542647934779E-6</v>
      </c>
      <c r="EJ88">
        <f t="shared" si="119"/>
        <v>6.1607034431186377E-4</v>
      </c>
      <c r="EK88">
        <f t="shared" si="120"/>
        <v>0.2553243802212562</v>
      </c>
      <c r="EM88">
        <f t="shared" si="121"/>
        <v>20.001691985165969</v>
      </c>
      <c r="EN88">
        <f t="shared" si="122"/>
        <v>0.432</v>
      </c>
      <c r="EO88">
        <f t="shared" si="288"/>
        <v>111845.913</v>
      </c>
      <c r="EP88">
        <f t="shared" si="289"/>
        <v>5.1442061753416589E-3</v>
      </c>
      <c r="EQ88">
        <f t="shared" si="123"/>
        <v>4.1716408396058535E-3</v>
      </c>
      <c r="ER88">
        <f t="shared" si="124"/>
        <v>1.2243115022414233E-2</v>
      </c>
      <c r="ES88">
        <f t="shared" si="125"/>
        <v>14.279888408556358</v>
      </c>
      <c r="ET88">
        <f t="shared" si="253"/>
        <v>2.9841472136975405E-6</v>
      </c>
      <c r="EU88">
        <f t="shared" si="221"/>
        <v>3.4924789109283955E-2</v>
      </c>
      <c r="EV88">
        <f t="shared" si="308"/>
        <v>3906.1949242603205</v>
      </c>
      <c r="EW88">
        <f t="shared" si="222"/>
        <v>2.4583743539428977E-6</v>
      </c>
      <c r="EX88">
        <f t="shared" si="127"/>
        <v>5.8026088376070912E-4</v>
      </c>
      <c r="EY88">
        <f t="shared" si="128"/>
        <v>0.24803281064349739</v>
      </c>
      <c r="FA88">
        <f t="shared" si="129"/>
        <v>21.899385721898984</v>
      </c>
      <c r="FB88">
        <f t="shared" si="130"/>
        <v>0.432</v>
      </c>
      <c r="FC88">
        <f t="shared" si="290"/>
        <v>111845.913</v>
      </c>
      <c r="FD88">
        <f t="shared" si="291"/>
        <v>5.1442061753416589E-3</v>
      </c>
      <c r="FE88">
        <f t="shared" si="131"/>
        <v>4.1716408396058535E-3</v>
      </c>
      <c r="FF88">
        <f t="shared" si="132"/>
        <v>1.2243115022414233E-2</v>
      </c>
      <c r="FG88">
        <f t="shared" si="133"/>
        <v>14.279888408556358</v>
      </c>
      <c r="FH88">
        <f t="shared" si="254"/>
        <v>2.9006034527557474E-6</v>
      </c>
      <c r="FI88">
        <f t="shared" si="223"/>
        <v>3.3427649645959866E-2</v>
      </c>
      <c r="FJ88">
        <f t="shared" si="309"/>
        <v>3738.7459940965082</v>
      </c>
      <c r="FK88">
        <f t="shared" si="224"/>
        <v>2.4051050008803205E-6</v>
      </c>
      <c r="FL88">
        <f t="shared" si="135"/>
        <v>5.4684901332007082E-4</v>
      </c>
      <c r="FM88">
        <f t="shared" si="136"/>
        <v>0.24108891935589363</v>
      </c>
      <c r="FO88">
        <f t="shared" si="137"/>
        <v>23.797079458631998</v>
      </c>
      <c r="FP88">
        <f t="shared" si="138"/>
        <v>0.432</v>
      </c>
      <c r="FQ88">
        <f t="shared" si="292"/>
        <v>111845.913</v>
      </c>
      <c r="FR88">
        <f t="shared" si="293"/>
        <v>5.1442061753416589E-3</v>
      </c>
      <c r="FS88">
        <f t="shared" si="139"/>
        <v>4.1716408396058535E-3</v>
      </c>
      <c r="FT88">
        <f t="shared" si="140"/>
        <v>1.2243115022414233E-2</v>
      </c>
      <c r="FU88">
        <f t="shared" si="141"/>
        <v>14.279888408556358</v>
      </c>
      <c r="FV88">
        <f t="shared" si="255"/>
        <v>2.8209851350263886E-6</v>
      </c>
      <c r="FW88">
        <f t="shared" si="225"/>
        <v>3.2015417117789664E-2</v>
      </c>
      <c r="FX88">
        <f t="shared" si="310"/>
        <v>3580.7935576150135</v>
      </c>
      <c r="FY88">
        <f t="shared" si="226"/>
        <v>2.3537520036672225E-6</v>
      </c>
      <c r="FZ88">
        <f t="shared" si="143"/>
        <v>5.1565444030578656E-4</v>
      </c>
      <c r="GA88">
        <f t="shared" si="144"/>
        <v>0.23447129840392625</v>
      </c>
      <c r="GC88">
        <f t="shared" si="145"/>
        <v>25.694773195365013</v>
      </c>
      <c r="GD88">
        <f t="shared" si="146"/>
        <v>0.432</v>
      </c>
      <c r="GE88">
        <f t="shared" si="294"/>
        <v>111845.913</v>
      </c>
      <c r="GF88">
        <f t="shared" si="295"/>
        <v>5.1442061753416589E-3</v>
      </c>
      <c r="GG88">
        <f t="shared" si="147"/>
        <v>4.1716408396058535E-3</v>
      </c>
      <c r="GH88">
        <f t="shared" si="148"/>
        <v>1.2243115022414233E-2</v>
      </c>
      <c r="GI88">
        <f t="shared" si="149"/>
        <v>14.279888408556358</v>
      </c>
      <c r="GJ88">
        <f t="shared" si="256"/>
        <v>2.7450533218138692E-6</v>
      </c>
      <c r="GK88">
        <f t="shared" si="227"/>
        <v>3.068230647018436E-2</v>
      </c>
      <c r="GL88">
        <f t="shared" si="311"/>
        <v>3431.6905801035768</v>
      </c>
      <c r="GM88">
        <f t="shared" si="228"/>
        <v>2.3042262628772416E-6</v>
      </c>
      <c r="GN88">
        <f t="shared" si="151"/>
        <v>4.8651179698315142E-4</v>
      </c>
      <c r="GO88">
        <f t="shared" si="152"/>
        <v>0.22816008796433729</v>
      </c>
      <c r="GQ88">
        <f t="shared" si="153"/>
        <v>27.592466932098027</v>
      </c>
      <c r="GR88">
        <f t="shared" si="154"/>
        <v>0.432</v>
      </c>
      <c r="GS88">
        <f t="shared" si="296"/>
        <v>111845.913</v>
      </c>
      <c r="GT88">
        <f t="shared" si="297"/>
        <v>5.1442061753416589E-3</v>
      </c>
      <c r="GU88">
        <f t="shared" si="155"/>
        <v>4.1716408396058535E-3</v>
      </c>
      <c r="GV88">
        <f t="shared" si="156"/>
        <v>1.2243115022414233E-2</v>
      </c>
      <c r="GW88">
        <f t="shared" si="157"/>
        <v>14.279888408556358</v>
      </c>
      <c r="GX88">
        <f t="shared" si="257"/>
        <v>2.672586191936436E-6</v>
      </c>
      <c r="GY88">
        <f t="shared" si="229"/>
        <v>2.94229815390467E-2</v>
      </c>
      <c r="GZ88">
        <f t="shared" si="312"/>
        <v>3290.8402334168236</v>
      </c>
      <c r="HA88">
        <f t="shared" si="230"/>
        <v>2.25644348240034E-6</v>
      </c>
      <c r="HB88">
        <f t="shared" si="159"/>
        <v>4.592693059863838E-4</v>
      </c>
      <c r="HC88">
        <f t="shared" si="160"/>
        <v>0.22213685096709279</v>
      </c>
      <c r="HE88">
        <f t="shared" si="161"/>
        <v>29.490160668831042</v>
      </c>
      <c r="HF88">
        <f t="shared" si="162"/>
        <v>0.432</v>
      </c>
      <c r="HG88">
        <f t="shared" si="33"/>
        <v>111845.913</v>
      </c>
      <c r="HH88">
        <f t="shared" si="34"/>
        <v>5.1442061753416589E-3</v>
      </c>
      <c r="HI88">
        <f t="shared" si="263"/>
        <v>4.1716408396058535E-3</v>
      </c>
      <c r="HJ88">
        <f t="shared" si="164"/>
        <v>1.2243115022414233E-2</v>
      </c>
      <c r="HK88">
        <f t="shared" si="165"/>
        <v>14.279888408556358</v>
      </c>
      <c r="HL88">
        <f t="shared" si="258"/>
        <v>2.6033776661961635E-6</v>
      </c>
      <c r="HM88">
        <f t="shared" si="231"/>
        <v>2.8232516706790944E-2</v>
      </c>
      <c r="HN88">
        <f t="shared" si="166"/>
        <v>3157.6916073587863</v>
      </c>
      <c r="HO88">
        <f t="shared" si="232"/>
        <v>2.2103238883071279E-6</v>
      </c>
      <c r="HP88">
        <f t="shared" si="167"/>
        <v>4.3378757250766073E-4</v>
      </c>
      <c r="HQ88">
        <f t="shared" si="168"/>
        <v>0.21638445876570978</v>
      </c>
      <c r="HS88">
        <f t="shared" si="169"/>
        <v>31.387854405564056</v>
      </c>
      <c r="HT88">
        <f t="shared" si="170"/>
        <v>0.432</v>
      </c>
      <c r="HU88">
        <f t="shared" si="35"/>
        <v>111845.913</v>
      </c>
      <c r="HV88">
        <f t="shared" si="36"/>
        <v>5.1442061753416589E-3</v>
      </c>
      <c r="HW88">
        <f t="shared" si="264"/>
        <v>4.1716408396058535E-3</v>
      </c>
      <c r="HX88">
        <f t="shared" si="172"/>
        <v>1.2243115022414233E-2</v>
      </c>
      <c r="HY88">
        <f t="shared" si="173"/>
        <v>14.279888408556358</v>
      </c>
      <c r="HZ88">
        <f t="shared" si="259"/>
        <v>2.5372361522824235E-6</v>
      </c>
      <c r="IA88">
        <f t="shared" si="233"/>
        <v>2.710636208047023E-2</v>
      </c>
      <c r="IB88">
        <f t="shared" si="174"/>
        <v>3031.7358149987722</v>
      </c>
      <c r="IC88">
        <f t="shared" si="234"/>
        <v>2.1657919647083382E-6</v>
      </c>
      <c r="ID88">
        <f t="shared" si="175"/>
        <v>4.0993849064422739E-4</v>
      </c>
      <c r="IE88">
        <f t="shared" si="176"/>
        <v>0.21088698681763057</v>
      </c>
      <c r="IG88">
        <f t="shared" si="177"/>
        <v>33.285548142297074</v>
      </c>
      <c r="IH88">
        <f t="shared" si="178"/>
        <v>0.432</v>
      </c>
      <c r="II88">
        <f t="shared" si="37"/>
        <v>111845.913</v>
      </c>
      <c r="IJ88">
        <f t="shared" si="38"/>
        <v>5.1442061753416589E-3</v>
      </c>
      <c r="IK88">
        <f t="shared" si="265"/>
        <v>4.1716408396058535E-3</v>
      </c>
      <c r="IL88">
        <f t="shared" si="180"/>
        <v>1.2243115022414233E-2</v>
      </c>
      <c r="IM88">
        <f t="shared" si="181"/>
        <v>14.279888408556358</v>
      </c>
      <c r="IN88">
        <f t="shared" si="260"/>
        <v>2.4739833988495237E-6</v>
      </c>
      <c r="IO88">
        <f t="shared" si="235"/>
        <v>2.6040311850128586E-2</v>
      </c>
      <c r="IP88">
        <f t="shared" si="182"/>
        <v>2912.5024536823507</v>
      </c>
      <c r="IQ88">
        <f t="shared" si="236"/>
        <v>2.1227762056011878E-6</v>
      </c>
      <c r="IR88">
        <f t="shared" si="183"/>
        <v>3.8760425259017561E-4</v>
      </c>
      <c r="IS88">
        <f t="shared" si="184"/>
        <v>0.20562961943880648</v>
      </c>
      <c r="IU88">
        <f t="shared" si="185"/>
        <v>35.183241879030085</v>
      </c>
      <c r="IV88">
        <f t="shared" si="186"/>
        <v>0.432</v>
      </c>
      <c r="IW88">
        <f t="shared" si="39"/>
        <v>111845.913</v>
      </c>
      <c r="IX88">
        <f t="shared" si="40"/>
        <v>5.1442061753416589E-3</v>
      </c>
      <c r="IY88">
        <f t="shared" si="266"/>
        <v>4.1716408396058535E-3</v>
      </c>
      <c r="IZ88">
        <f t="shared" si="188"/>
        <v>1.2243115022414233E-2</v>
      </c>
      <c r="JA88">
        <f t="shared" si="189"/>
        <v>14.279888408556358</v>
      </c>
      <c r="JB88">
        <f t="shared" si="261"/>
        <v>2.4134534486159602E-6</v>
      </c>
      <c r="JC88">
        <f t="shared" si="237"/>
        <v>2.5030475520076135E-2</v>
      </c>
      <c r="JD88">
        <f t="shared" si="190"/>
        <v>2799.5563873670653</v>
      </c>
      <c r="JE88">
        <f t="shared" si="238"/>
        <v>2.0812088817488021E-6</v>
      </c>
      <c r="JF88">
        <f t="shared" si="191"/>
        <v>3.6667645052085388E-4</v>
      </c>
      <c r="JG88">
        <f t="shared" si="192"/>
        <v>0.20059856278864235</v>
      </c>
      <c r="JI88">
        <f t="shared" si="193"/>
        <v>37.080935615763103</v>
      </c>
      <c r="JJ88">
        <f t="shared" si="194"/>
        <v>0.432</v>
      </c>
      <c r="JK88">
        <f t="shared" si="41"/>
        <v>111845.913</v>
      </c>
      <c r="JL88">
        <f t="shared" si="42"/>
        <v>5.1442061753416589E-3</v>
      </c>
      <c r="JM88">
        <f t="shared" si="267"/>
        <v>4.1716408396058535E-3</v>
      </c>
      <c r="JN88">
        <f t="shared" si="196"/>
        <v>1.2243115022414233E-2</v>
      </c>
      <c r="JO88">
        <f t="shared" si="197"/>
        <v>14.279888408556358</v>
      </c>
      <c r="JP88">
        <f t="shared" si="262"/>
        <v>2.3554916813264816E-6</v>
      </c>
      <c r="JQ88">
        <f t="shared" si="239"/>
        <v>2.4073251736765496E-2</v>
      </c>
      <c r="JR88">
        <f t="shared" si="198"/>
        <v>2692.4948193773726</v>
      </c>
      <c r="JS88">
        <f t="shared" si="240"/>
        <v>2.0410258216910662E-6</v>
      </c>
      <c r="JT88">
        <f t="shared" si="199"/>
        <v>3.4705526205702157E-4</v>
      </c>
      <c r="JU88">
        <f t="shared" si="200"/>
        <v>0.19578096532405198</v>
      </c>
    </row>
    <row r="89" spans="2:281">
      <c r="B89">
        <v>0.55000000000000004</v>
      </c>
      <c r="C89">
        <f t="shared" si="43"/>
        <v>1.0437315552031581</v>
      </c>
      <c r="D89">
        <f t="shared" si="44"/>
        <v>0.44000000000000006</v>
      </c>
      <c r="E89">
        <f t="shared" si="268"/>
        <v>111661.485</v>
      </c>
      <c r="F89">
        <f t="shared" si="269"/>
        <v>5.1470367956530276E-3</v>
      </c>
      <c r="G89">
        <f t="shared" si="45"/>
        <v>4.170493581901082E-3</v>
      </c>
      <c r="H89">
        <f t="shared" si="46"/>
        <v>1.2263336616434355E-2</v>
      </c>
      <c r="I89">
        <f t="shared" si="47"/>
        <v>14.295607865237866</v>
      </c>
      <c r="J89">
        <f t="shared" si="241"/>
        <v>4.1026968937275718E-6</v>
      </c>
      <c r="K89">
        <f t="shared" si="201"/>
        <v>5.6843038464602945E-2</v>
      </c>
      <c r="L89">
        <f t="shared" si="298"/>
        <v>6347.1780868696851</v>
      </c>
      <c r="M89">
        <f t="shared" si="202"/>
        <v>3.1337287562316757E-6</v>
      </c>
      <c r="N89">
        <f t="shared" si="203"/>
        <v>1.070269100549519E-3</v>
      </c>
      <c r="O89">
        <f t="shared" si="49"/>
        <v>0.34100309699826203</v>
      </c>
      <c r="Q89">
        <f t="shared" si="50"/>
        <v>2.9414252919361723</v>
      </c>
      <c r="R89">
        <f t="shared" si="51"/>
        <v>0.44000000000000006</v>
      </c>
      <c r="S89">
        <f t="shared" si="270"/>
        <v>111661.485</v>
      </c>
      <c r="T89">
        <f t="shared" si="271"/>
        <v>5.1470367956530276E-3</v>
      </c>
      <c r="U89">
        <f t="shared" si="52"/>
        <v>4.170493581901082E-3</v>
      </c>
      <c r="V89">
        <f t="shared" si="53"/>
        <v>1.2263336616434355E-2</v>
      </c>
      <c r="W89">
        <f t="shared" si="54"/>
        <v>14.295607865237866</v>
      </c>
      <c r="X89">
        <f t="shared" si="242"/>
        <v>3.9617646381180626E-6</v>
      </c>
      <c r="Y89">
        <f t="shared" si="204"/>
        <v>5.4006183873361258E-2</v>
      </c>
      <c r="Z89">
        <f t="shared" si="299"/>
        <v>6030.4106904825703</v>
      </c>
      <c r="AA89">
        <f t="shared" si="205"/>
        <v>3.0545307812702102E-6</v>
      </c>
      <c r="AB89">
        <f t="shared" si="56"/>
        <v>1.0020807974820891E-3</v>
      </c>
      <c r="AC89">
        <f t="shared" si="57"/>
        <v>0.32928925684027532</v>
      </c>
      <c r="AE89">
        <f t="shared" si="58"/>
        <v>4.8391190286691863</v>
      </c>
      <c r="AF89">
        <f t="shared" si="59"/>
        <v>0.44000000000000006</v>
      </c>
      <c r="AG89">
        <f t="shared" si="272"/>
        <v>111661.485</v>
      </c>
      <c r="AH89">
        <f t="shared" si="273"/>
        <v>5.1470367956530276E-3</v>
      </c>
      <c r="AI89">
        <f t="shared" si="60"/>
        <v>4.170493581901082E-3</v>
      </c>
      <c r="AJ89">
        <f t="shared" si="61"/>
        <v>1.2263336616434355E-2</v>
      </c>
      <c r="AK89">
        <f t="shared" si="62"/>
        <v>14.295607865237866</v>
      </c>
      <c r="AL89">
        <f t="shared" si="243"/>
        <v>3.8285020215830817E-6</v>
      </c>
      <c r="AM89">
        <f t="shared" si="206"/>
        <v>5.1351327629288873E-2</v>
      </c>
      <c r="AN89">
        <f t="shared" si="300"/>
        <v>5733.965499807925</v>
      </c>
      <c r="AO89">
        <f t="shared" si="207"/>
        <v>2.9785068193084773E-6</v>
      </c>
      <c r="AP89">
        <f t="shared" si="64"/>
        <v>9.3885811659488163E-4</v>
      </c>
      <c r="AQ89">
        <f t="shared" si="65"/>
        <v>0.31821289265114988</v>
      </c>
      <c r="AS89">
        <f t="shared" si="66"/>
        <v>6.7368127654022008</v>
      </c>
      <c r="AT89">
        <f t="shared" si="67"/>
        <v>0.44000000000000006</v>
      </c>
      <c r="AU89">
        <f t="shared" si="274"/>
        <v>111661.485</v>
      </c>
      <c r="AV89">
        <f t="shared" si="275"/>
        <v>5.1470367956530276E-3</v>
      </c>
      <c r="AW89">
        <f t="shared" si="68"/>
        <v>4.170493581901082E-3</v>
      </c>
      <c r="AX89">
        <f t="shared" si="69"/>
        <v>1.2263336616434355E-2</v>
      </c>
      <c r="AY89">
        <f t="shared" si="70"/>
        <v>14.295607865237866</v>
      </c>
      <c r="AZ89">
        <f t="shared" si="244"/>
        <v>3.7023861891312419E-6</v>
      </c>
      <c r="BA89">
        <f t="shared" si="208"/>
        <v>4.8864757324856629E-2</v>
      </c>
      <c r="BB89">
        <f t="shared" si="301"/>
        <v>5456.3113670581188</v>
      </c>
      <c r="BC89">
        <f t="shared" si="209"/>
        <v>2.9054983541969641E-6</v>
      </c>
      <c r="BD89">
        <f t="shared" si="72"/>
        <v>8.8019862917068864E-4</v>
      </c>
      <c r="BE89">
        <f t="shared" si="73"/>
        <v>0.30773054638951375</v>
      </c>
      <c r="BG89">
        <f t="shared" si="74"/>
        <v>8.6345065021352152</v>
      </c>
      <c r="BH89">
        <f t="shared" si="75"/>
        <v>0.44000000000000006</v>
      </c>
      <c r="BI89">
        <f t="shared" si="276"/>
        <v>111661.485</v>
      </c>
      <c r="BJ89">
        <f t="shared" si="277"/>
        <v>5.1470367956530276E-3</v>
      </c>
      <c r="BK89">
        <f t="shared" si="76"/>
        <v>4.170493581901082E-3</v>
      </c>
      <c r="BL89">
        <f t="shared" si="77"/>
        <v>1.2263336616434355E-2</v>
      </c>
      <c r="BM89">
        <f t="shared" si="78"/>
        <v>14.295607865237866</v>
      </c>
      <c r="BN89">
        <f t="shared" si="245"/>
        <v>3.5829353181954038E-6</v>
      </c>
      <c r="BO89">
        <f t="shared" si="210"/>
        <v>4.6533915410745974E-2</v>
      </c>
      <c r="BP89">
        <f t="shared" si="302"/>
        <v>5196.0460976282802</v>
      </c>
      <c r="BQ89">
        <f t="shared" si="211"/>
        <v>2.8353557590910676E-6</v>
      </c>
      <c r="BR89">
        <f t="shared" si="80"/>
        <v>8.2573541002032441E-4</v>
      </c>
      <c r="BS89">
        <f t="shared" si="81"/>
        <v>0.29780217049839308</v>
      </c>
      <c r="BU89">
        <f t="shared" si="82"/>
        <v>10.53220023886823</v>
      </c>
      <c r="BV89">
        <f t="shared" si="83"/>
        <v>0.44000000000000006</v>
      </c>
      <c r="BW89">
        <f t="shared" si="278"/>
        <v>111661.485</v>
      </c>
      <c r="BX89">
        <f t="shared" si="279"/>
        <v>5.1470367956530276E-3</v>
      </c>
      <c r="BY89">
        <f t="shared" si="84"/>
        <v>4.170493581901082E-3</v>
      </c>
      <c r="BZ89">
        <f t="shared" si="85"/>
        <v>1.2263336616434355E-2</v>
      </c>
      <c r="CA89">
        <f t="shared" si="86"/>
        <v>14.295607865237866</v>
      </c>
      <c r="CB89">
        <f t="shared" si="246"/>
        <v>3.4697050667353889E-6</v>
      </c>
      <c r="CC89">
        <f t="shared" si="247"/>
        <v>4.4347293808796956E-2</v>
      </c>
      <c r="CD89">
        <f t="shared" si="303"/>
        <v>4951.8846824215743</v>
      </c>
      <c r="CE89">
        <f t="shared" si="248"/>
        <v>2.7679377719785354E-6</v>
      </c>
      <c r="CF89">
        <f t="shared" si="212"/>
        <v>7.7513369355518963E-4</v>
      </c>
      <c r="CG89">
        <f t="shared" si="88"/>
        <v>0.28839083268282378</v>
      </c>
      <c r="CI89">
        <f t="shared" si="89"/>
        <v>12.429893975601244</v>
      </c>
      <c r="CJ89">
        <f t="shared" si="90"/>
        <v>0.44000000000000006</v>
      </c>
      <c r="CK89">
        <f t="shared" si="280"/>
        <v>111661.485</v>
      </c>
      <c r="CL89">
        <f t="shared" si="281"/>
        <v>5.1470367956530276E-3</v>
      </c>
      <c r="CM89">
        <f t="shared" si="91"/>
        <v>4.170493581901082E-3</v>
      </c>
      <c r="CN89">
        <f t="shared" si="92"/>
        <v>1.2263336616434355E-2</v>
      </c>
      <c r="CO89">
        <f t="shared" si="93"/>
        <v>14.295607865237866</v>
      </c>
      <c r="CP89">
        <f t="shared" si="249"/>
        <v>3.3622853516095117E-6</v>
      </c>
      <c r="CQ89">
        <f t="shared" si="213"/>
        <v>4.2294338721941223E-2</v>
      </c>
      <c r="CR89">
        <f t="shared" si="304"/>
        <v>4722.6486687849592</v>
      </c>
      <c r="CS89">
        <f t="shared" si="214"/>
        <v>2.7031110020306176E-6</v>
      </c>
      <c r="CT89">
        <f t="shared" si="95"/>
        <v>7.28087860610489E-4</v>
      </c>
      <c r="CU89">
        <f t="shared" si="96"/>
        <v>0.27946244813835552</v>
      </c>
      <c r="CW89">
        <f t="shared" si="97"/>
        <v>14.327587712334259</v>
      </c>
      <c r="CX89">
        <f t="shared" si="98"/>
        <v>0.44000000000000006</v>
      </c>
      <c r="CY89">
        <f t="shared" si="282"/>
        <v>111661.485</v>
      </c>
      <c r="CZ89">
        <f t="shared" si="283"/>
        <v>5.1470367956530276E-3</v>
      </c>
      <c r="DA89">
        <f t="shared" si="99"/>
        <v>4.170493581901082E-3</v>
      </c>
      <c r="DB89">
        <f t="shared" si="100"/>
        <v>1.2263336616434355E-2</v>
      </c>
      <c r="DC89">
        <f t="shared" si="101"/>
        <v>14.295607865237866</v>
      </c>
      <c r="DD89">
        <f t="shared" si="250"/>
        <v>3.2602974248445773E-6</v>
      </c>
      <c r="DE89">
        <f t="shared" si="215"/>
        <v>4.0365364612064442E-2</v>
      </c>
      <c r="DF89">
        <f t="shared" si="305"/>
        <v>4507.2565551495645</v>
      </c>
      <c r="DG89">
        <f t="shared" si="216"/>
        <v>2.6407494650847471E-6</v>
      </c>
      <c r="DH89">
        <f t="shared" si="103"/>
        <v>6.8431872213367952E-4</v>
      </c>
      <c r="DI89">
        <f t="shared" si="104"/>
        <v>0.2709855365399273</v>
      </c>
      <c r="DK89">
        <f t="shared" si="105"/>
        <v>16.225281449067275</v>
      </c>
      <c r="DL89">
        <f t="shared" si="106"/>
        <v>0.44000000000000006</v>
      </c>
      <c r="DM89">
        <f t="shared" si="284"/>
        <v>111661.485</v>
      </c>
      <c r="DN89">
        <f t="shared" si="285"/>
        <v>5.1470367956530276E-3</v>
      </c>
      <c r="DO89">
        <f t="shared" si="107"/>
        <v>4.170493581901082E-3</v>
      </c>
      <c r="DP89">
        <f t="shared" si="108"/>
        <v>1.2263336616434355E-2</v>
      </c>
      <c r="DQ89">
        <f t="shared" si="109"/>
        <v>14.295607865237866</v>
      </c>
      <c r="DR89">
        <f t="shared" si="251"/>
        <v>3.1633912187292371E-6</v>
      </c>
      <c r="DS89">
        <f t="shared" si="217"/>
        <v>3.8551476423617913E-2</v>
      </c>
      <c r="DT89">
        <f t="shared" si="306"/>
        <v>4304.7151064036652</v>
      </c>
      <c r="DU89">
        <f t="shared" si="218"/>
        <v>2.5807341466447531E-6</v>
      </c>
      <c r="DV89">
        <f t="shared" si="111"/>
        <v>6.435710694061063E-4</v>
      </c>
      <c r="DW89">
        <f t="shared" si="112"/>
        <v>0.26293100137448422</v>
      </c>
      <c r="DY89">
        <f t="shared" si="113"/>
        <v>18.122975185800289</v>
      </c>
      <c r="DZ89">
        <f t="shared" si="114"/>
        <v>0.44000000000000006</v>
      </c>
      <c r="EA89">
        <f t="shared" si="286"/>
        <v>111661.485</v>
      </c>
      <c r="EB89">
        <f t="shared" si="287"/>
        <v>5.1470367956530276E-3</v>
      </c>
      <c r="EC89">
        <f t="shared" si="115"/>
        <v>4.170493581901082E-3</v>
      </c>
      <c r="ED89">
        <f t="shared" si="116"/>
        <v>1.2263336616434355E-2</v>
      </c>
      <c r="EE89">
        <f t="shared" si="117"/>
        <v>14.295607865237866</v>
      </c>
      <c r="EF89">
        <f t="shared" si="252"/>
        <v>3.0712429336066769E-6</v>
      </c>
      <c r="EG89">
        <f t="shared" si="219"/>
        <v>3.6844499226378315E-2</v>
      </c>
      <c r="EH89">
        <f t="shared" si="307"/>
        <v>4114.1114976987537</v>
      </c>
      <c r="EI89">
        <f t="shared" si="220"/>
        <v>2.5229525908602572E-6</v>
      </c>
      <c r="EJ89">
        <f t="shared" si="119"/>
        <v>6.0561146364184078E-4</v>
      </c>
      <c r="EK89">
        <f t="shared" si="120"/>
        <v>0.25527192944598937</v>
      </c>
      <c r="EM89">
        <f t="shared" si="121"/>
        <v>20.020668922533304</v>
      </c>
      <c r="EN89">
        <f t="shared" si="122"/>
        <v>0.44000000000000006</v>
      </c>
      <c r="EO89">
        <f t="shared" si="288"/>
        <v>111661.485</v>
      </c>
      <c r="EP89">
        <f t="shared" si="289"/>
        <v>5.1470367956530276E-3</v>
      </c>
      <c r="EQ89">
        <f t="shared" si="123"/>
        <v>4.170493581901082E-3</v>
      </c>
      <c r="ER89">
        <f t="shared" si="124"/>
        <v>1.2263336616434355E-2</v>
      </c>
      <c r="ES89">
        <f t="shared" si="125"/>
        <v>14.295607865237866</v>
      </c>
      <c r="ET89">
        <f t="shared" si="253"/>
        <v>2.9835528448860034E-6</v>
      </c>
      <c r="EU89">
        <f t="shared" si="221"/>
        <v>3.5236914536246985E-2</v>
      </c>
      <c r="EV89">
        <f t="shared" si="308"/>
        <v>3934.6062039354247</v>
      </c>
      <c r="EW89">
        <f t="shared" si="222"/>
        <v>2.467298514020347E-6</v>
      </c>
      <c r="EX89">
        <f t="shared" si="127"/>
        <v>5.7022624064634948E-4</v>
      </c>
      <c r="EY89">
        <f t="shared" si="128"/>
        <v>0.24798340860119608</v>
      </c>
      <c r="FA89">
        <f t="shared" si="129"/>
        <v>21.918362659266318</v>
      </c>
      <c r="FB89">
        <f t="shared" si="130"/>
        <v>0.44000000000000006</v>
      </c>
      <c r="FC89">
        <f t="shared" si="290"/>
        <v>111661.485</v>
      </c>
      <c r="FD89">
        <f t="shared" si="291"/>
        <v>5.1470367956530276E-3</v>
      </c>
      <c r="FE89">
        <f t="shared" si="131"/>
        <v>4.170493581901082E-3</v>
      </c>
      <c r="FF89">
        <f t="shared" si="132"/>
        <v>1.2263336616434355E-2</v>
      </c>
      <c r="FG89">
        <f t="shared" si="133"/>
        <v>14.295607865237866</v>
      </c>
      <c r="FH89">
        <f t="shared" si="254"/>
        <v>2.9000433081600428E-6</v>
      </c>
      <c r="FI89">
        <f t="shared" si="223"/>
        <v>3.3721802649451356E-2</v>
      </c>
      <c r="FJ89">
        <f t="shared" si="309"/>
        <v>3765.4265607146726</v>
      </c>
      <c r="FK89">
        <f t="shared" si="224"/>
        <v>2.4136714411675384E-6</v>
      </c>
      <c r="FL89">
        <f t="shared" si="135"/>
        <v>5.3721970875524549E-4</v>
      </c>
      <c r="FM89">
        <f t="shared" si="136"/>
        <v>0.24104236192139386</v>
      </c>
      <c r="FO89">
        <f t="shared" si="137"/>
        <v>23.816056395999333</v>
      </c>
      <c r="FP89">
        <f t="shared" si="138"/>
        <v>0.44000000000000006</v>
      </c>
      <c r="FQ89">
        <f t="shared" si="292"/>
        <v>111661.485</v>
      </c>
      <c r="FR89">
        <f t="shared" si="293"/>
        <v>5.1470367956530276E-3</v>
      </c>
      <c r="FS89">
        <f t="shared" si="139"/>
        <v>4.170493581901082E-3</v>
      </c>
      <c r="FT89">
        <f t="shared" si="140"/>
        <v>1.2263336616434355E-2</v>
      </c>
      <c r="FU89">
        <f t="shared" si="141"/>
        <v>14.295607865237866</v>
      </c>
      <c r="FV89">
        <f t="shared" si="255"/>
        <v>2.8204569434397665E-6</v>
      </c>
      <c r="FW89">
        <f t="shared" si="225"/>
        <v>3.2292790393931778E-2</v>
      </c>
      <c r="FX89">
        <f t="shared" si="310"/>
        <v>3605.8609301801575</v>
      </c>
      <c r="FY89">
        <f t="shared" si="226"/>
        <v>2.3619763645068859E-6</v>
      </c>
      <c r="FZ89">
        <f t="shared" si="143"/>
        <v>5.0641252054172434E-4</v>
      </c>
      <c r="GA89">
        <f t="shared" si="144"/>
        <v>0.23442739680175773</v>
      </c>
      <c r="GC89">
        <f t="shared" si="145"/>
        <v>25.713750132732347</v>
      </c>
      <c r="GD89">
        <f t="shared" si="146"/>
        <v>0.44000000000000006</v>
      </c>
      <c r="GE89">
        <f t="shared" si="294"/>
        <v>111661.485</v>
      </c>
      <c r="GF89">
        <f t="shared" si="295"/>
        <v>5.1470367956530276E-3</v>
      </c>
      <c r="GG89">
        <f t="shared" si="147"/>
        <v>4.170493581901082E-3</v>
      </c>
      <c r="GH89">
        <f t="shared" si="148"/>
        <v>1.2263336616434355E-2</v>
      </c>
      <c r="GI89">
        <f t="shared" si="149"/>
        <v>14.295607865237866</v>
      </c>
      <c r="GJ89">
        <f t="shared" si="256"/>
        <v>2.7445549814179121E-6</v>
      </c>
      <c r="GK89">
        <f t="shared" si="227"/>
        <v>3.0944003762911988E-2</v>
      </c>
      <c r="GL89">
        <f t="shared" si="311"/>
        <v>3455.2534120123405</v>
      </c>
      <c r="GM89">
        <f t="shared" si="228"/>
        <v>2.3121234223513517E-6</v>
      </c>
      <c r="GN89">
        <f t="shared" si="151"/>
        <v>4.7764020080934185E-4</v>
      </c>
      <c r="GO89">
        <f t="shared" si="152"/>
        <v>0.22811866749804827</v>
      </c>
      <c r="GQ89">
        <f t="shared" si="153"/>
        <v>27.611443869465361</v>
      </c>
      <c r="GR89">
        <f t="shared" si="154"/>
        <v>0.44000000000000006</v>
      </c>
      <c r="GS89">
        <f t="shared" si="296"/>
        <v>111661.485</v>
      </c>
      <c r="GT89">
        <f t="shared" si="297"/>
        <v>5.1470367956530276E-3</v>
      </c>
      <c r="GU89">
        <f t="shared" si="155"/>
        <v>4.170493581901082E-3</v>
      </c>
      <c r="GV89">
        <f t="shared" si="156"/>
        <v>1.2263336616434355E-2</v>
      </c>
      <c r="GW89">
        <f t="shared" si="157"/>
        <v>14.295607865237866</v>
      </c>
      <c r="GX89">
        <f t="shared" si="257"/>
        <v>2.672115756380268E-6</v>
      </c>
      <c r="GY89">
        <f t="shared" si="229"/>
        <v>2.9670024950439446E-2</v>
      </c>
      <c r="GZ89">
        <f t="shared" si="312"/>
        <v>3312.99904595312</v>
      </c>
      <c r="HA89">
        <f t="shared" si="230"/>
        <v>2.2640275974087483E-6</v>
      </c>
      <c r="HB89">
        <f t="shared" si="159"/>
        <v>4.5075181520012295E-4</v>
      </c>
      <c r="HC89">
        <f t="shared" si="160"/>
        <v>0.22209774986219843</v>
      </c>
      <c r="HE89">
        <f t="shared" si="161"/>
        <v>29.509137606198376</v>
      </c>
      <c r="HF89">
        <f t="shared" si="162"/>
        <v>0.44000000000000006</v>
      </c>
      <c r="HG89">
        <f t="shared" si="33"/>
        <v>111661.485</v>
      </c>
      <c r="HH89">
        <f t="shared" si="34"/>
        <v>5.1470367956530276E-3</v>
      </c>
      <c r="HI89">
        <f t="shared" si="263"/>
        <v>4.170493581901082E-3</v>
      </c>
      <c r="HJ89">
        <f t="shared" si="164"/>
        <v>1.2263336616434355E-2</v>
      </c>
      <c r="HK89">
        <f t="shared" si="165"/>
        <v>14.295607865237866</v>
      </c>
      <c r="HL89">
        <f t="shared" si="258"/>
        <v>2.6029333319128321E-6</v>
      </c>
      <c r="HM89">
        <f t="shared" si="231"/>
        <v>2.8465853357717161E-2</v>
      </c>
      <c r="HN89">
        <f t="shared" si="166"/>
        <v>3178.5394577149345</v>
      </c>
      <c r="HO89">
        <f t="shared" si="232"/>
        <v>2.217608433277262E-6</v>
      </c>
      <c r="HP89">
        <f t="shared" si="167"/>
        <v>4.2560876536951447E-4</v>
      </c>
      <c r="HQ89">
        <f t="shared" si="168"/>
        <v>0.21634752711547012</v>
      </c>
      <c r="HS89">
        <f t="shared" si="169"/>
        <v>31.40683134293139</v>
      </c>
      <c r="HT89">
        <f t="shared" si="170"/>
        <v>0.44000000000000006</v>
      </c>
      <c r="HU89">
        <f t="shared" si="35"/>
        <v>111661.485</v>
      </c>
      <c r="HV89">
        <f t="shared" si="36"/>
        <v>5.1470367956530276E-3</v>
      </c>
      <c r="HW89">
        <f t="shared" si="264"/>
        <v>4.170493581901082E-3</v>
      </c>
      <c r="HX89">
        <f t="shared" si="172"/>
        <v>1.2263336616434355E-2</v>
      </c>
      <c r="HY89">
        <f t="shared" si="173"/>
        <v>14.295607865237866</v>
      </c>
      <c r="HZ89">
        <f t="shared" si="259"/>
        <v>2.536816246925529E-6</v>
      </c>
      <c r="IA89">
        <f t="shared" si="233"/>
        <v>2.7326870182949315E-2</v>
      </c>
      <c r="IB89">
        <f t="shared" si="174"/>
        <v>3051.3589050303422</v>
      </c>
      <c r="IC89">
        <f t="shared" si="234"/>
        <v>2.1727897680760719E-6</v>
      </c>
      <c r="ID89">
        <f t="shared" si="175"/>
        <v>4.0208369812992645E-4</v>
      </c>
      <c r="IE89">
        <f t="shared" si="176"/>
        <v>0.21085208562193997</v>
      </c>
      <c r="IG89">
        <f t="shared" si="177"/>
        <v>33.304525079664408</v>
      </c>
      <c r="IH89">
        <f t="shared" si="178"/>
        <v>0.44000000000000006</v>
      </c>
      <c r="II89">
        <f t="shared" si="37"/>
        <v>111661.485</v>
      </c>
      <c r="IJ89">
        <f t="shared" si="38"/>
        <v>5.1470367956530276E-3</v>
      </c>
      <c r="IK89">
        <f t="shared" si="265"/>
        <v>4.170493581901082E-3</v>
      </c>
      <c r="IL89">
        <f t="shared" si="180"/>
        <v>1.2263336616434355E-2</v>
      </c>
      <c r="IM89">
        <f t="shared" si="181"/>
        <v>14.295607865237866</v>
      </c>
      <c r="IN89">
        <f t="shared" si="260"/>
        <v>2.4735863707447417E-6</v>
      </c>
      <c r="IO89">
        <f t="shared" si="235"/>
        <v>2.6248806246732245E-2</v>
      </c>
      <c r="IP89">
        <f t="shared" si="182"/>
        <v>2930.9806849873989</v>
      </c>
      <c r="IQ89">
        <f t="shared" si="236"/>
        <v>2.1294994841947303E-6</v>
      </c>
      <c r="IR89">
        <f t="shared" si="183"/>
        <v>3.8005951726180969E-4</v>
      </c>
      <c r="IS89">
        <f t="shared" si="184"/>
        <v>0.20559661972743784</v>
      </c>
      <c r="IU89">
        <f t="shared" si="185"/>
        <v>35.202218816397419</v>
      </c>
      <c r="IV89">
        <f t="shared" si="186"/>
        <v>0.44000000000000006</v>
      </c>
      <c r="IW89">
        <f t="shared" si="39"/>
        <v>111661.485</v>
      </c>
      <c r="IX89">
        <f t="shared" si="40"/>
        <v>5.1470367956530276E-3</v>
      </c>
      <c r="IY89">
        <f t="shared" si="266"/>
        <v>4.170493581901082E-3</v>
      </c>
      <c r="IZ89">
        <f t="shared" si="188"/>
        <v>1.2263336616434355E-2</v>
      </c>
      <c r="JA89">
        <f t="shared" si="189"/>
        <v>14.295607865237866</v>
      </c>
      <c r="JB89">
        <f t="shared" si="261"/>
        <v>2.4130778571325186E-6</v>
      </c>
      <c r="JC89">
        <f t="shared" si="237"/>
        <v>2.5227712740228489E-2</v>
      </c>
      <c r="JD89">
        <f t="shared" si="190"/>
        <v>2816.9638677273324</v>
      </c>
      <c r="JE89">
        <f t="shared" si="238"/>
        <v>2.0876692731998525E-6</v>
      </c>
      <c r="JF89">
        <f t="shared" si="191"/>
        <v>3.5942848785178167E-4</v>
      </c>
      <c r="JG89">
        <f t="shared" si="192"/>
        <v>0.2005673448209549</v>
      </c>
      <c r="JI89">
        <f t="shared" si="193"/>
        <v>37.099912553130437</v>
      </c>
      <c r="JJ89">
        <f t="shared" si="194"/>
        <v>0.44000000000000006</v>
      </c>
      <c r="JK89">
        <f t="shared" si="41"/>
        <v>111661.485</v>
      </c>
      <c r="JL89">
        <f t="shared" si="42"/>
        <v>5.1470367956530276E-3</v>
      </c>
      <c r="JM89">
        <f t="shared" si="267"/>
        <v>4.170493581901082E-3</v>
      </c>
      <c r="JN89">
        <f t="shared" si="196"/>
        <v>1.2263336616434355E-2</v>
      </c>
      <c r="JO89">
        <f t="shared" si="197"/>
        <v>14.295607865237866</v>
      </c>
      <c r="JP89">
        <f t="shared" si="262"/>
        <v>2.3551361880829776E-6</v>
      </c>
      <c r="JQ89">
        <f t="shared" si="239"/>
        <v>2.4259934614899992E-2</v>
      </c>
      <c r="JR89">
        <f t="shared" si="198"/>
        <v>2708.9003251026361</v>
      </c>
      <c r="JS89">
        <f t="shared" si="240"/>
        <v>2.0472344149902414E-6</v>
      </c>
      <c r="JT89">
        <f t="shared" si="199"/>
        <v>3.4009142405568574E-4</v>
      </c>
      <c r="JU89">
        <f t="shared" si="200"/>
        <v>0.19575141785804681</v>
      </c>
    </row>
    <row r="90" spans="2:281">
      <c r="B90">
        <v>0.56000000000000005</v>
      </c>
      <c r="C90">
        <f t="shared" si="43"/>
        <v>1.0627084925704882</v>
      </c>
      <c r="D90">
        <f t="shared" si="44"/>
        <v>0.44800000000000006</v>
      </c>
      <c r="E90">
        <f t="shared" si="268"/>
        <v>111477.057</v>
      </c>
      <c r="F90">
        <f t="shared" si="269"/>
        <v>5.1498736565082203E-3</v>
      </c>
      <c r="G90">
        <f t="shared" si="45"/>
        <v>4.169344744031492E-3</v>
      </c>
      <c r="H90">
        <f t="shared" si="46"/>
        <v>1.228362511979425E-2</v>
      </c>
      <c r="I90">
        <f t="shared" si="47"/>
        <v>14.311370653845838</v>
      </c>
      <c r="J90">
        <f t="shared" si="241"/>
        <v>4.1016006030915469E-6</v>
      </c>
      <c r="K90">
        <f t="shared" si="201"/>
        <v>5.7418741927171765E-2</v>
      </c>
      <c r="L90">
        <f t="shared" si="298"/>
        <v>6400.8723666836167</v>
      </c>
      <c r="M90">
        <f t="shared" si="202"/>
        <v>3.1469558112833397E-6</v>
      </c>
      <c r="N90">
        <f t="shared" si="203"/>
        <v>1.0553201987662322E-3</v>
      </c>
      <c r="O90">
        <f t="shared" si="49"/>
        <v>0.34091197681274055</v>
      </c>
      <c r="Q90">
        <f t="shared" si="50"/>
        <v>2.9604022293035026</v>
      </c>
      <c r="R90">
        <f t="shared" si="51"/>
        <v>0.44800000000000006</v>
      </c>
      <c r="S90">
        <f t="shared" si="270"/>
        <v>111477.057</v>
      </c>
      <c r="T90">
        <f t="shared" si="271"/>
        <v>5.1498736565082203E-3</v>
      </c>
      <c r="U90">
        <f t="shared" si="52"/>
        <v>4.169344744031492E-3</v>
      </c>
      <c r="V90">
        <f t="shared" si="53"/>
        <v>1.228362511979425E-2</v>
      </c>
      <c r="W90">
        <f t="shared" si="54"/>
        <v>14.311370653845838</v>
      </c>
      <c r="X90">
        <f t="shared" si="242"/>
        <v>3.9607381936525948E-6</v>
      </c>
      <c r="Y90">
        <f t="shared" si="204"/>
        <v>5.454520848370268E-2</v>
      </c>
      <c r="Z90">
        <f t="shared" si="299"/>
        <v>6080.5393152146071</v>
      </c>
      <c r="AA90">
        <f t="shared" si="205"/>
        <v>3.0672001121193482E-6</v>
      </c>
      <c r="AB90">
        <f t="shared" si="56"/>
        <v>9.8776926653815623E-4</v>
      </c>
      <c r="AC90">
        <f t="shared" si="57"/>
        <v>0.32920394204596126</v>
      </c>
      <c r="AE90">
        <f t="shared" si="58"/>
        <v>4.8580959660365171</v>
      </c>
      <c r="AF90">
        <f t="shared" si="59"/>
        <v>0.44800000000000006</v>
      </c>
      <c r="AG90">
        <f t="shared" si="272"/>
        <v>111477.057</v>
      </c>
      <c r="AH90">
        <f t="shared" si="273"/>
        <v>5.1498736565082203E-3</v>
      </c>
      <c r="AI90">
        <f t="shared" si="60"/>
        <v>4.169344744031492E-3</v>
      </c>
      <c r="AJ90">
        <f t="shared" si="61"/>
        <v>1.228362511979425E-2</v>
      </c>
      <c r="AK90">
        <f t="shared" si="62"/>
        <v>14.311370653845838</v>
      </c>
      <c r="AL90">
        <f t="shared" si="243"/>
        <v>3.8275403369364347E-6</v>
      </c>
      <c r="AM90">
        <f t="shared" si="206"/>
        <v>5.1856344422081466E-2</v>
      </c>
      <c r="AN90">
        <f t="shared" si="300"/>
        <v>5780.792662952008</v>
      </c>
      <c r="AO90">
        <f t="shared" si="207"/>
        <v>2.9906442677690479E-6</v>
      </c>
      <c r="AP90">
        <f t="shared" si="64"/>
        <v>9.2515387255979813E-4</v>
      </c>
      <c r="AQ90">
        <f t="shared" si="65"/>
        <v>0.31813296048668904</v>
      </c>
      <c r="AS90">
        <f t="shared" si="66"/>
        <v>6.7557897027695315</v>
      </c>
      <c r="AT90">
        <f t="shared" si="67"/>
        <v>0.44800000000000006</v>
      </c>
      <c r="AU90">
        <f t="shared" si="274"/>
        <v>111477.057</v>
      </c>
      <c r="AV90">
        <f t="shared" si="275"/>
        <v>5.1498736565082203E-3</v>
      </c>
      <c r="AW90">
        <f t="shared" si="68"/>
        <v>4.169344744031492E-3</v>
      </c>
      <c r="AX90">
        <f t="shared" si="69"/>
        <v>1.228362511979425E-2</v>
      </c>
      <c r="AY90">
        <f t="shared" si="70"/>
        <v>14.311370653845838</v>
      </c>
      <c r="AZ90">
        <f t="shared" si="244"/>
        <v>3.701484590164677E-6</v>
      </c>
      <c r="BA90">
        <f t="shared" si="208"/>
        <v>4.9338220866223692E-2</v>
      </c>
      <c r="BB90">
        <f t="shared" si="301"/>
        <v>5500.0796597826084</v>
      </c>
      <c r="BC90">
        <f t="shared" si="209"/>
        <v>2.9171284361231745E-6</v>
      </c>
      <c r="BD90">
        <f t="shared" si="72"/>
        <v>8.6707317683967875E-4</v>
      </c>
      <c r="BE90">
        <f t="shared" si="73"/>
        <v>0.3076556083553833</v>
      </c>
      <c r="BG90">
        <f t="shared" si="74"/>
        <v>8.6534834395025459</v>
      </c>
      <c r="BH90">
        <f t="shared" si="75"/>
        <v>0.44800000000000006</v>
      </c>
      <c r="BI90">
        <f t="shared" si="276"/>
        <v>111477.057</v>
      </c>
      <c r="BJ90">
        <f t="shared" si="277"/>
        <v>5.1498736565082203E-3</v>
      </c>
      <c r="BK90">
        <f t="shared" si="76"/>
        <v>4.169344744031492E-3</v>
      </c>
      <c r="BL90">
        <f t="shared" si="77"/>
        <v>1.228362511979425E-2</v>
      </c>
      <c r="BM90">
        <f t="shared" si="78"/>
        <v>14.311370653845838</v>
      </c>
      <c r="BN90">
        <f t="shared" si="245"/>
        <v>3.5820895066164518E-6</v>
      </c>
      <c r="BO90">
        <f t="shared" si="210"/>
        <v>4.6978082895792792E-2</v>
      </c>
      <c r="BP90">
        <f t="shared" si="302"/>
        <v>5236.9784247250182</v>
      </c>
      <c r="BQ90">
        <f t="shared" si="211"/>
        <v>2.8465017380961005E-6</v>
      </c>
      <c r="BR90">
        <f t="shared" si="80"/>
        <v>8.13161750575878E-4</v>
      </c>
      <c r="BS90">
        <f t="shared" si="81"/>
        <v>0.2977318693342148</v>
      </c>
      <c r="BU90">
        <f t="shared" si="82"/>
        <v>10.55117717623556</v>
      </c>
      <c r="BV90">
        <f t="shared" si="83"/>
        <v>0.44800000000000006</v>
      </c>
      <c r="BW90">
        <f t="shared" si="278"/>
        <v>111477.057</v>
      </c>
      <c r="BX90">
        <f t="shared" si="279"/>
        <v>5.1498736565082203E-3</v>
      </c>
      <c r="BY90">
        <f t="shared" si="84"/>
        <v>4.169344744031492E-3</v>
      </c>
      <c r="BZ90">
        <f t="shared" si="85"/>
        <v>1.228362511979425E-2</v>
      </c>
      <c r="CA90">
        <f t="shared" si="86"/>
        <v>14.311370653845838</v>
      </c>
      <c r="CB90">
        <f t="shared" si="246"/>
        <v>3.4689110871563509E-6</v>
      </c>
      <c r="CC90">
        <f t="shared" si="247"/>
        <v>4.4764242360431659E-2</v>
      </c>
      <c r="CD90">
        <f t="shared" si="303"/>
        <v>4990.1859971756548</v>
      </c>
      <c r="CE90">
        <f t="shared" si="248"/>
        <v>2.7786217288887032E-6</v>
      </c>
      <c r="CF90">
        <f t="shared" si="212"/>
        <v>7.6308623796439597E-4</v>
      </c>
      <c r="CG90">
        <f t="shared" si="88"/>
        <v>0.28832483962937172</v>
      </c>
      <c r="CI90">
        <f t="shared" si="89"/>
        <v>12.448870912968575</v>
      </c>
      <c r="CJ90">
        <f t="shared" si="90"/>
        <v>0.44800000000000006</v>
      </c>
      <c r="CK90">
        <f t="shared" si="280"/>
        <v>111477.057</v>
      </c>
      <c r="CL90">
        <f t="shared" si="281"/>
        <v>5.1498736565082203E-3</v>
      </c>
      <c r="CM90">
        <f t="shared" si="91"/>
        <v>4.169344744031492E-3</v>
      </c>
      <c r="CN90">
        <f t="shared" si="92"/>
        <v>1.228362511979425E-2</v>
      </c>
      <c r="CO90">
        <f t="shared" si="93"/>
        <v>14.311370653845838</v>
      </c>
      <c r="CP90">
        <f t="shared" si="249"/>
        <v>3.3615395616923958E-6</v>
      </c>
      <c r="CQ90">
        <f t="shared" si="213"/>
        <v>4.268598106889171E-2</v>
      </c>
      <c r="CR90">
        <f t="shared" si="304"/>
        <v>4758.5075447177624</v>
      </c>
      <c r="CS90">
        <f t="shared" si="214"/>
        <v>2.7133539003196383E-6</v>
      </c>
      <c r="CT90">
        <f t="shared" si="95"/>
        <v>7.1654234838663207E-4</v>
      </c>
      <c r="CU90">
        <f t="shared" si="96"/>
        <v>0.27940046045609818</v>
      </c>
      <c r="CW90">
        <f t="shared" si="97"/>
        <v>14.346564649701589</v>
      </c>
      <c r="CX90">
        <f t="shared" si="98"/>
        <v>0.44800000000000006</v>
      </c>
      <c r="CY90">
        <f t="shared" si="282"/>
        <v>111477.057</v>
      </c>
      <c r="CZ90">
        <f t="shared" si="283"/>
        <v>5.1498736565082203E-3</v>
      </c>
      <c r="DA90">
        <f t="shared" si="99"/>
        <v>4.169344744031492E-3</v>
      </c>
      <c r="DB90">
        <f t="shared" si="100"/>
        <v>1.228362511979425E-2</v>
      </c>
      <c r="DC90">
        <f t="shared" si="101"/>
        <v>14.311370653845838</v>
      </c>
      <c r="DD90">
        <f t="shared" si="250"/>
        <v>3.2595964682283893E-6</v>
      </c>
      <c r="DE90">
        <f t="shared" si="215"/>
        <v>4.073346330577686E-2</v>
      </c>
      <c r="DF90">
        <f t="shared" si="305"/>
        <v>4540.8466107454951</v>
      </c>
      <c r="DG90">
        <f t="shared" si="216"/>
        <v>2.6505712125196694E-6</v>
      </c>
      <c r="DH90">
        <f t="shared" si="103"/>
        <v>6.7325214511546473E-4</v>
      </c>
      <c r="DI90">
        <f t="shared" si="104"/>
        <v>0.27092727525883026</v>
      </c>
      <c r="DK90">
        <f t="shared" si="105"/>
        <v>16.244258386434606</v>
      </c>
      <c r="DL90">
        <f t="shared" si="106"/>
        <v>0.44800000000000006</v>
      </c>
      <c r="DM90">
        <f t="shared" si="284"/>
        <v>111477.057</v>
      </c>
      <c r="DN90">
        <f t="shared" si="285"/>
        <v>5.1498736565082203E-3</v>
      </c>
      <c r="DO90">
        <f t="shared" si="107"/>
        <v>4.169344744031492E-3</v>
      </c>
      <c r="DP90">
        <f t="shared" si="108"/>
        <v>1.228362511979425E-2</v>
      </c>
      <c r="DQ90">
        <f t="shared" si="109"/>
        <v>14.311370653845838</v>
      </c>
      <c r="DR90">
        <f t="shared" si="251"/>
        <v>3.1627320004666112E-6</v>
      </c>
      <c r="DS90">
        <f t="shared" si="217"/>
        <v>3.8897656737406285E-2</v>
      </c>
      <c r="DT90">
        <f t="shared" si="306"/>
        <v>4336.1962972822748</v>
      </c>
      <c r="DU90">
        <f t="shared" si="218"/>
        <v>2.5901536533624853E-6</v>
      </c>
      <c r="DV90">
        <f t="shared" si="111"/>
        <v>6.3296160023105673E-4</v>
      </c>
      <c r="DW90">
        <f t="shared" si="112"/>
        <v>0.26287620925238109</v>
      </c>
      <c r="DY90">
        <f t="shared" si="113"/>
        <v>18.14195212316762</v>
      </c>
      <c r="DZ90">
        <f t="shared" si="114"/>
        <v>0.44800000000000006</v>
      </c>
      <c r="EA90">
        <f t="shared" si="286"/>
        <v>111477.057</v>
      </c>
      <c r="EB90">
        <f t="shared" si="287"/>
        <v>5.1498736565082203E-3</v>
      </c>
      <c r="EC90">
        <f t="shared" si="115"/>
        <v>4.169344744031492E-3</v>
      </c>
      <c r="ED90">
        <f t="shared" si="116"/>
        <v>1.228362511979425E-2</v>
      </c>
      <c r="EE90">
        <f t="shared" si="117"/>
        <v>14.311370653845838</v>
      </c>
      <c r="EF90">
        <f t="shared" si="252"/>
        <v>3.0706225978646483E-6</v>
      </c>
      <c r="EG90">
        <f t="shared" si="219"/>
        <v>3.7170260865587536E-2</v>
      </c>
      <c r="EH90">
        <f t="shared" si="307"/>
        <v>4143.6312892179712</v>
      </c>
      <c r="EI90">
        <f t="shared" si="220"/>
        <v>2.5319878240817022E-6</v>
      </c>
      <c r="EJ90">
        <f t="shared" si="119"/>
        <v>5.9543838861190156E-4</v>
      </c>
      <c r="EK90">
        <f t="shared" si="120"/>
        <v>0.25522036911514118</v>
      </c>
      <c r="EM90">
        <f t="shared" si="121"/>
        <v>20.039645859900634</v>
      </c>
      <c r="EN90">
        <f t="shared" si="122"/>
        <v>0.44800000000000006</v>
      </c>
      <c r="EO90">
        <f t="shared" si="288"/>
        <v>111477.057</v>
      </c>
      <c r="EP90">
        <f t="shared" si="289"/>
        <v>5.1498736565082203E-3</v>
      </c>
      <c r="EQ90">
        <f t="shared" si="123"/>
        <v>4.169344744031492E-3</v>
      </c>
      <c r="ER90">
        <f t="shared" si="124"/>
        <v>1.228362511979425E-2</v>
      </c>
      <c r="ES90">
        <f t="shared" si="125"/>
        <v>14.311370653845838</v>
      </c>
      <c r="ET90">
        <f t="shared" si="253"/>
        <v>2.9829687546906355E-6</v>
      </c>
      <c r="EU90">
        <f t="shared" si="221"/>
        <v>3.5543642275111129E-2</v>
      </c>
      <c r="EV90">
        <f t="shared" si="308"/>
        <v>3962.300635890173</v>
      </c>
      <c r="EW90">
        <f t="shared" si="222"/>
        <v>2.4759665495977696E-6</v>
      </c>
      <c r="EX90">
        <f t="shared" si="127"/>
        <v>5.6046989670375266E-4</v>
      </c>
      <c r="EY90">
        <f t="shared" si="128"/>
        <v>0.24793486088472907</v>
      </c>
      <c r="FA90">
        <f t="shared" si="129"/>
        <v>21.937339596633649</v>
      </c>
      <c r="FB90">
        <f t="shared" si="130"/>
        <v>0.44800000000000006</v>
      </c>
      <c r="FC90">
        <f t="shared" si="290"/>
        <v>111477.057</v>
      </c>
      <c r="FD90">
        <f t="shared" si="291"/>
        <v>5.1498736565082203E-3</v>
      </c>
      <c r="FE90">
        <f t="shared" si="131"/>
        <v>4.169344744031492E-3</v>
      </c>
      <c r="FF90">
        <f t="shared" si="132"/>
        <v>1.228362511979425E-2</v>
      </c>
      <c r="FG90">
        <f t="shared" si="133"/>
        <v>14.311370653845838</v>
      </c>
      <c r="FH90">
        <f t="shared" si="254"/>
        <v>2.8994930269869304E-6</v>
      </c>
      <c r="FI90">
        <f t="shared" si="223"/>
        <v>3.4010775998613567E-2</v>
      </c>
      <c r="FJ90">
        <f t="shared" si="309"/>
        <v>3791.4212146116765</v>
      </c>
      <c r="FK90">
        <f t="shared" si="224"/>
        <v>2.4219885121499419E-6</v>
      </c>
      <c r="FL90">
        <f t="shared" si="135"/>
        <v>5.2786142430532852E-4</v>
      </c>
      <c r="FM90">
        <f t="shared" si="136"/>
        <v>0.24099662430316082</v>
      </c>
      <c r="FO90">
        <f t="shared" si="137"/>
        <v>23.835033333366663</v>
      </c>
      <c r="FP90">
        <f t="shared" si="138"/>
        <v>0.44800000000000006</v>
      </c>
      <c r="FQ90">
        <f t="shared" si="292"/>
        <v>111477.057</v>
      </c>
      <c r="FR90">
        <f t="shared" si="293"/>
        <v>5.1498736565082203E-3</v>
      </c>
      <c r="FS90">
        <f t="shared" si="139"/>
        <v>4.169344744031492E-3</v>
      </c>
      <c r="FT90">
        <f t="shared" si="140"/>
        <v>1.228362511979425E-2</v>
      </c>
      <c r="FU90">
        <f t="shared" si="141"/>
        <v>14.311370653845838</v>
      </c>
      <c r="FV90">
        <f t="shared" si="255"/>
        <v>2.8199382184724189E-6</v>
      </c>
      <c r="FW90">
        <f t="shared" si="225"/>
        <v>3.256519239209691E-2</v>
      </c>
      <c r="FX90">
        <f t="shared" si="310"/>
        <v>3630.2718085097536</v>
      </c>
      <c r="FY90">
        <f t="shared" si="226"/>
        <v>2.3699579068978741E-6</v>
      </c>
      <c r="FZ90">
        <f t="shared" si="143"/>
        <v>4.9743455987674213E-4</v>
      </c>
      <c r="GA90">
        <f t="shared" si="144"/>
        <v>0.23438428203482811</v>
      </c>
      <c r="GC90">
        <f t="shared" si="145"/>
        <v>25.732727070099678</v>
      </c>
      <c r="GD90">
        <f t="shared" si="146"/>
        <v>0.44800000000000006</v>
      </c>
      <c r="GE90">
        <f t="shared" si="294"/>
        <v>111477.057</v>
      </c>
      <c r="GF90">
        <f t="shared" si="295"/>
        <v>5.1498736565082203E-3</v>
      </c>
      <c r="GG90">
        <f t="shared" si="147"/>
        <v>4.169344744031492E-3</v>
      </c>
      <c r="GH90">
        <f t="shared" si="148"/>
        <v>1.228362511979425E-2</v>
      </c>
      <c r="GI90">
        <f t="shared" si="149"/>
        <v>14.311370653845838</v>
      </c>
      <c r="GJ90">
        <f t="shared" si="256"/>
        <v>2.7440657283139336E-6</v>
      </c>
      <c r="GK90">
        <f t="shared" si="227"/>
        <v>3.1200928976698718E-2</v>
      </c>
      <c r="GL90">
        <f t="shared" si="311"/>
        <v>3478.1877379883945</v>
      </c>
      <c r="GM90">
        <f t="shared" si="228"/>
        <v>2.3197841182241626E-6</v>
      </c>
      <c r="GN90">
        <f t="shared" si="151"/>
        <v>4.6902571190348031E-4</v>
      </c>
      <c r="GO90">
        <f t="shared" si="152"/>
        <v>0.22807800233852168</v>
      </c>
      <c r="GQ90">
        <f t="shared" si="153"/>
        <v>27.630420806832692</v>
      </c>
      <c r="GR90">
        <f t="shared" si="154"/>
        <v>0.44800000000000006</v>
      </c>
      <c r="GS90">
        <f t="shared" si="296"/>
        <v>111477.057</v>
      </c>
      <c r="GT90">
        <f t="shared" si="297"/>
        <v>5.1498736565082203E-3</v>
      </c>
      <c r="GU90">
        <f t="shared" si="155"/>
        <v>4.169344744031492E-3</v>
      </c>
      <c r="GV90">
        <f t="shared" si="156"/>
        <v>1.228362511979425E-2</v>
      </c>
      <c r="GW90">
        <f t="shared" si="157"/>
        <v>14.311370653845838</v>
      </c>
      <c r="GX90">
        <f t="shared" si="257"/>
        <v>2.671654045401299E-6</v>
      </c>
      <c r="GY90">
        <f t="shared" si="229"/>
        <v>2.9912486758069567E-2</v>
      </c>
      <c r="GZ90">
        <f t="shared" si="312"/>
        <v>3334.5559913410666</v>
      </c>
      <c r="HA90">
        <f t="shared" si="230"/>
        <v>2.2713814155338345E-6</v>
      </c>
      <c r="HB90">
        <f t="shared" si="159"/>
        <v>4.4248478066099439E-4</v>
      </c>
      <c r="HC90">
        <f t="shared" si="160"/>
        <v>0.22205937391636943</v>
      </c>
      <c r="HE90">
        <f t="shared" si="161"/>
        <v>29.528114543565707</v>
      </c>
      <c r="HF90">
        <f t="shared" si="162"/>
        <v>0.44800000000000006</v>
      </c>
      <c r="HG90">
        <f t="shared" si="33"/>
        <v>111477.057</v>
      </c>
      <c r="HH90">
        <f t="shared" si="34"/>
        <v>5.1498736565082203E-3</v>
      </c>
      <c r="HI90">
        <f t="shared" si="263"/>
        <v>4.169344744031492E-3</v>
      </c>
      <c r="HJ90">
        <f t="shared" si="164"/>
        <v>1.228362511979425E-2</v>
      </c>
      <c r="HK90">
        <f t="shared" si="165"/>
        <v>14.311370653845838</v>
      </c>
      <c r="HL90">
        <f t="shared" si="258"/>
        <v>2.6024973752886104E-6</v>
      </c>
      <c r="HM90">
        <f t="shared" si="231"/>
        <v>2.869479058462306E-2</v>
      </c>
      <c r="HN90">
        <f t="shared" si="166"/>
        <v>3198.8108056050883</v>
      </c>
      <c r="HO90">
        <f t="shared" si="232"/>
        <v>2.2246686674089615E-6</v>
      </c>
      <c r="HP90">
        <f t="shared" si="167"/>
        <v>4.1767395634547869E-4</v>
      </c>
      <c r="HQ90">
        <f t="shared" si="168"/>
        <v>0.21631129178956929</v>
      </c>
      <c r="HS90">
        <f t="shared" si="169"/>
        <v>31.425808280298718</v>
      </c>
      <c r="HT90">
        <f t="shared" si="170"/>
        <v>0.44800000000000006</v>
      </c>
      <c r="HU90">
        <f t="shared" si="35"/>
        <v>111477.057</v>
      </c>
      <c r="HV90">
        <f t="shared" si="36"/>
        <v>5.1498736565082203E-3</v>
      </c>
      <c r="HW90">
        <f t="shared" si="264"/>
        <v>4.169344744031492E-3</v>
      </c>
      <c r="HX90">
        <f t="shared" si="172"/>
        <v>1.228362511979425E-2</v>
      </c>
      <c r="HY90">
        <f t="shared" si="173"/>
        <v>14.311370653845838</v>
      </c>
      <c r="HZ90">
        <f t="shared" si="259"/>
        <v>2.5364043873353271E-6</v>
      </c>
      <c r="IA90">
        <f t="shared" si="233"/>
        <v>2.7543153150603888E-2</v>
      </c>
      <c r="IB90">
        <f t="shared" si="174"/>
        <v>3070.4296537295991</v>
      </c>
      <c r="IC90">
        <f t="shared" si="234"/>
        <v>2.1795690730365238E-6</v>
      </c>
      <c r="ID90">
        <f t="shared" si="175"/>
        <v>3.9446663098569533E-4</v>
      </c>
      <c r="IE90">
        <f t="shared" si="176"/>
        <v>0.21081785316474774</v>
      </c>
      <c r="IG90">
        <f t="shared" si="177"/>
        <v>33.323502017031728</v>
      </c>
      <c r="IH90">
        <f t="shared" si="178"/>
        <v>0.44800000000000006</v>
      </c>
      <c r="II90">
        <f t="shared" si="37"/>
        <v>111477.057</v>
      </c>
      <c r="IJ90">
        <f t="shared" si="38"/>
        <v>5.1498736565082203E-3</v>
      </c>
      <c r="IK90">
        <f t="shared" si="265"/>
        <v>4.169344744031492E-3</v>
      </c>
      <c r="IL90">
        <f t="shared" si="180"/>
        <v>1.228362511979425E-2</v>
      </c>
      <c r="IM90">
        <f t="shared" si="181"/>
        <v>14.311370653845838</v>
      </c>
      <c r="IN90">
        <f t="shared" si="260"/>
        <v>2.4731970708110222E-6</v>
      </c>
      <c r="IO90">
        <f t="shared" si="235"/>
        <v>2.6453242289926803E-2</v>
      </c>
      <c r="IP90">
        <f t="shared" si="182"/>
        <v>2948.9295985889808</v>
      </c>
      <c r="IQ90">
        <f t="shared" si="236"/>
        <v>2.1360099098852577E-6</v>
      </c>
      <c r="IR90">
        <f t="shared" si="183"/>
        <v>3.7274641284701994E-4</v>
      </c>
      <c r="IS90">
        <f t="shared" si="184"/>
        <v>0.20556426235703046</v>
      </c>
      <c r="IU90">
        <f t="shared" si="185"/>
        <v>35.221195753764746</v>
      </c>
      <c r="IV90">
        <f t="shared" si="186"/>
        <v>0.44800000000000006</v>
      </c>
      <c r="IW90">
        <f t="shared" si="39"/>
        <v>111477.057</v>
      </c>
      <c r="IX90">
        <f t="shared" si="40"/>
        <v>5.1498736565082203E-3</v>
      </c>
      <c r="IY90">
        <f t="shared" si="266"/>
        <v>4.169344744031492E-3</v>
      </c>
      <c r="IZ90">
        <f t="shared" si="188"/>
        <v>1.228362511979425E-2</v>
      </c>
      <c r="JA90">
        <f t="shared" si="189"/>
        <v>14.311370653845838</v>
      </c>
      <c r="JB90">
        <f t="shared" si="261"/>
        <v>2.4127096898320236E-6</v>
      </c>
      <c r="JC90">
        <f t="shared" si="237"/>
        <v>2.542105124256951E-2</v>
      </c>
      <c r="JD90">
        <f t="shared" si="190"/>
        <v>2833.8639783678423</v>
      </c>
      <c r="JE90">
        <f t="shared" si="238"/>
        <v>2.0939222966624903E-6</v>
      </c>
      <c r="JF90">
        <f t="shared" si="191"/>
        <v>3.5240623319865129E-4</v>
      </c>
      <c r="JG90">
        <f t="shared" si="192"/>
        <v>0.20053674392770485</v>
      </c>
      <c r="JI90">
        <f t="shared" si="193"/>
        <v>37.118889490497757</v>
      </c>
      <c r="JJ90">
        <f t="shared" si="194"/>
        <v>0.44800000000000006</v>
      </c>
      <c r="JK90">
        <f t="shared" si="41"/>
        <v>111477.057</v>
      </c>
      <c r="JL90">
        <f t="shared" si="42"/>
        <v>5.1498736565082203E-3</v>
      </c>
      <c r="JM90">
        <f t="shared" si="267"/>
        <v>4.169344744031492E-3</v>
      </c>
      <c r="JN90">
        <f t="shared" si="196"/>
        <v>1.228362511979425E-2</v>
      </c>
      <c r="JO90">
        <f t="shared" si="197"/>
        <v>14.311370653845838</v>
      </c>
      <c r="JP90">
        <f t="shared" si="262"/>
        <v>2.3547878279898074E-6</v>
      </c>
      <c r="JQ90">
        <f t="shared" si="239"/>
        <v>2.4442871607398598E-2</v>
      </c>
      <c r="JR90">
        <f t="shared" si="198"/>
        <v>2724.8193914216554</v>
      </c>
      <c r="JS90">
        <f t="shared" si="240"/>
        <v>2.053240970634923E-6</v>
      </c>
      <c r="JT90">
        <f t="shared" si="199"/>
        <v>3.3334753635258182E-4</v>
      </c>
      <c r="JU90">
        <f t="shared" si="200"/>
        <v>0.19572246327677537</v>
      </c>
    </row>
    <row r="91" spans="2:281">
      <c r="B91">
        <v>0.56999999999999995</v>
      </c>
      <c r="C91">
        <f t="shared" si="43"/>
        <v>1.0816854299378182</v>
      </c>
      <c r="D91">
        <f t="shared" si="44"/>
        <v>0.45600000000000002</v>
      </c>
      <c r="E91">
        <f t="shared" si="268"/>
        <v>111292.629</v>
      </c>
      <c r="F91">
        <f t="shared" si="269"/>
        <v>5.1527167820240626E-3</v>
      </c>
      <c r="G91">
        <f t="shared" si="45"/>
        <v>4.168194321201019E-3</v>
      </c>
      <c r="H91">
        <f t="shared" si="46"/>
        <v>1.2303980865129309E-2</v>
      </c>
      <c r="I91">
        <f t="shared" si="47"/>
        <v>14.327176965813509</v>
      </c>
      <c r="J91">
        <f t="shared" si="241"/>
        <v>4.1005196248111111E-6</v>
      </c>
      <c r="K91">
        <f t="shared" si="201"/>
        <v>5.7986404295670112E-2</v>
      </c>
      <c r="L91">
        <f t="shared" si="298"/>
        <v>6453.4593803220205</v>
      </c>
      <c r="M91">
        <f t="shared" si="202"/>
        <v>3.1598564355962723E-6</v>
      </c>
      <c r="N91">
        <f t="shared" si="203"/>
        <v>1.0407253633938351E-3</v>
      </c>
      <c r="O91">
        <f t="shared" si="49"/>
        <v>0.34082212934143941</v>
      </c>
      <c r="Q91">
        <f t="shared" si="50"/>
        <v>2.9793791666708325</v>
      </c>
      <c r="R91">
        <f t="shared" si="51"/>
        <v>0.45600000000000002</v>
      </c>
      <c r="S91">
        <f t="shared" si="270"/>
        <v>111292.629</v>
      </c>
      <c r="T91">
        <f t="shared" si="271"/>
        <v>5.1527167820240626E-3</v>
      </c>
      <c r="U91">
        <f t="shared" si="52"/>
        <v>4.168194321201019E-3</v>
      </c>
      <c r="V91">
        <f t="shared" si="53"/>
        <v>1.2303980865129309E-2</v>
      </c>
      <c r="W91">
        <f t="shared" si="54"/>
        <v>14.327176965813509</v>
      </c>
      <c r="X91">
        <f t="shared" si="242"/>
        <v>3.9597264086754305E-6</v>
      </c>
      <c r="Y91">
        <f t="shared" si="204"/>
        <v>5.5076534845150564E-2</v>
      </c>
      <c r="Z91">
        <f t="shared" si="299"/>
        <v>6129.6123591269143</v>
      </c>
      <c r="AA91">
        <f t="shared" si="205"/>
        <v>3.0795521725568393E-6</v>
      </c>
      <c r="AB91">
        <f t="shared" si="56"/>
        <v>9.7380195402246308E-4</v>
      </c>
      <c r="AC91">
        <f t="shared" si="57"/>
        <v>0.3291198457016184</v>
      </c>
      <c r="AE91">
        <f t="shared" si="58"/>
        <v>4.8770729034038469</v>
      </c>
      <c r="AF91">
        <f t="shared" si="59"/>
        <v>0.45600000000000002</v>
      </c>
      <c r="AG91">
        <f t="shared" si="272"/>
        <v>111292.629</v>
      </c>
      <c r="AH91">
        <f t="shared" si="273"/>
        <v>5.1527167820240626E-3</v>
      </c>
      <c r="AI91">
        <f t="shared" si="60"/>
        <v>4.168194321201019E-3</v>
      </c>
      <c r="AJ91">
        <f t="shared" si="61"/>
        <v>1.2303980865129309E-2</v>
      </c>
      <c r="AK91">
        <f t="shared" si="62"/>
        <v>14.327176965813509</v>
      </c>
      <c r="AL91">
        <f t="shared" si="243"/>
        <v>3.8265926897261689E-6</v>
      </c>
      <c r="AM91">
        <f t="shared" si="206"/>
        <v>5.2353989628850642E-2</v>
      </c>
      <c r="AN91">
        <f t="shared" si="300"/>
        <v>5826.6131444335224</v>
      </c>
      <c r="AO91">
        <f t="shared" si="207"/>
        <v>3.0024732934183289E-6</v>
      </c>
      <c r="AP91">
        <f t="shared" si="64"/>
        <v>9.1178433262418027E-4</v>
      </c>
      <c r="AQ91">
        <f t="shared" si="65"/>
        <v>0.31805419506922511</v>
      </c>
      <c r="AS91">
        <f t="shared" si="66"/>
        <v>6.7747666401368614</v>
      </c>
      <c r="AT91">
        <f t="shared" si="67"/>
        <v>0.45600000000000002</v>
      </c>
      <c r="AU91">
        <f t="shared" si="274"/>
        <v>111292.629</v>
      </c>
      <c r="AV91">
        <f t="shared" si="275"/>
        <v>5.1527167820240626E-3</v>
      </c>
      <c r="AW91">
        <f t="shared" si="68"/>
        <v>4.168194321201019E-3</v>
      </c>
      <c r="AX91">
        <f t="shared" si="69"/>
        <v>1.2303980865129309E-2</v>
      </c>
      <c r="AY91">
        <f t="shared" si="70"/>
        <v>14.327176965813509</v>
      </c>
      <c r="AZ91">
        <f t="shared" si="244"/>
        <v>3.7005964357705815E-6</v>
      </c>
      <c r="BA91">
        <f t="shared" si="208"/>
        <v>4.9804624156714696E-2</v>
      </c>
      <c r="BB91">
        <f t="shared" si="301"/>
        <v>5542.8875587576867</v>
      </c>
      <c r="BC91">
        <f t="shared" si="209"/>
        <v>2.928458644587236E-6</v>
      </c>
      <c r="BD91">
        <f t="shared" si="72"/>
        <v>8.5427323247350899E-4</v>
      </c>
      <c r="BE91">
        <f t="shared" si="73"/>
        <v>0.30758178779128992</v>
      </c>
      <c r="BG91">
        <f t="shared" si="74"/>
        <v>8.6724603768698767</v>
      </c>
      <c r="BH91">
        <f t="shared" si="75"/>
        <v>0.45600000000000002</v>
      </c>
      <c r="BI91">
        <f t="shared" si="276"/>
        <v>111292.629</v>
      </c>
      <c r="BJ91">
        <f t="shared" si="277"/>
        <v>5.1527167820240626E-3</v>
      </c>
      <c r="BK91">
        <f t="shared" si="76"/>
        <v>4.168194321201019E-3</v>
      </c>
      <c r="BL91">
        <f t="shared" si="77"/>
        <v>1.2303980865129309E-2</v>
      </c>
      <c r="BM91">
        <f t="shared" si="78"/>
        <v>14.327176965813509</v>
      </c>
      <c r="BN91">
        <f t="shared" si="245"/>
        <v>3.5812565744012994E-6</v>
      </c>
      <c r="BO91">
        <f t="shared" si="210"/>
        <v>4.7415486942302881E-2</v>
      </c>
      <c r="BP91">
        <f t="shared" si="302"/>
        <v>5276.9941971240587</v>
      </c>
      <c r="BQ91">
        <f t="shared" si="211"/>
        <v>2.8573561083776865E-6</v>
      </c>
      <c r="BR91">
        <f t="shared" si="80"/>
        <v>8.0090470659559916E-4</v>
      </c>
      <c r="BS91">
        <f t="shared" si="81"/>
        <v>0.29766263866172937</v>
      </c>
      <c r="BU91">
        <f t="shared" si="82"/>
        <v>10.570154113602891</v>
      </c>
      <c r="BV91">
        <f t="shared" si="83"/>
        <v>0.45600000000000002</v>
      </c>
      <c r="BW91">
        <f t="shared" si="278"/>
        <v>111292.629</v>
      </c>
      <c r="BX91">
        <f t="shared" si="279"/>
        <v>5.1527167820240626E-3</v>
      </c>
      <c r="BY91">
        <f t="shared" si="84"/>
        <v>4.168194321201019E-3</v>
      </c>
      <c r="BZ91">
        <f t="shared" si="85"/>
        <v>1.2303980865129309E-2</v>
      </c>
      <c r="CA91">
        <f t="shared" si="86"/>
        <v>14.327176965813509</v>
      </c>
      <c r="CB91">
        <f t="shared" si="246"/>
        <v>3.4681294479436236E-6</v>
      </c>
      <c r="CC91">
        <f t="shared" si="247"/>
        <v>4.5174710521391527E-2</v>
      </c>
      <c r="CD91">
        <f t="shared" si="303"/>
        <v>5027.6122982396237</v>
      </c>
      <c r="CE91">
        <f t="shared" si="248"/>
        <v>2.7890220700616074E-6</v>
      </c>
      <c r="CF91">
        <f t="shared" si="212"/>
        <v>7.5134679525370193E-4</v>
      </c>
      <c r="CG91">
        <f t="shared" si="88"/>
        <v>0.28825987226785815</v>
      </c>
      <c r="CI91">
        <f t="shared" si="89"/>
        <v>12.467847850335906</v>
      </c>
      <c r="CJ91">
        <f t="shared" si="90"/>
        <v>0.45600000000000002</v>
      </c>
      <c r="CK91">
        <f t="shared" si="280"/>
        <v>111292.629</v>
      </c>
      <c r="CL91">
        <f t="shared" si="281"/>
        <v>5.1527167820240626E-3</v>
      </c>
      <c r="CM91">
        <f t="shared" si="91"/>
        <v>4.168194321201019E-3</v>
      </c>
      <c r="CN91">
        <f t="shared" si="92"/>
        <v>1.2303980865129309E-2</v>
      </c>
      <c r="CO91">
        <f t="shared" si="93"/>
        <v>14.327176965813509</v>
      </c>
      <c r="CP91">
        <f t="shared" si="249"/>
        <v>3.3608055979944361E-6</v>
      </c>
      <c r="CQ91">
        <f t="shared" si="213"/>
        <v>4.3071413023183944E-2</v>
      </c>
      <c r="CR91">
        <f t="shared" si="304"/>
        <v>4793.5307900949792</v>
      </c>
      <c r="CS91">
        <f t="shared" si="214"/>
        <v>2.7233209162288441E-6</v>
      </c>
      <c r="CT91">
        <f t="shared" si="95"/>
        <v>7.0529652344775021E-4</v>
      </c>
      <c r="CU91">
        <f t="shared" si="96"/>
        <v>0.27933945573150559</v>
      </c>
      <c r="CW91">
        <f t="shared" si="97"/>
        <v>14.36554158706892</v>
      </c>
      <c r="CX91">
        <f t="shared" si="98"/>
        <v>0.45600000000000002</v>
      </c>
      <c r="CY91">
        <f t="shared" si="282"/>
        <v>111292.629</v>
      </c>
      <c r="CZ91">
        <f t="shared" si="283"/>
        <v>5.1527167820240626E-3</v>
      </c>
      <c r="DA91">
        <f t="shared" si="99"/>
        <v>4.168194321201019E-3</v>
      </c>
      <c r="DB91">
        <f t="shared" si="100"/>
        <v>1.2303980865129309E-2</v>
      </c>
      <c r="DC91">
        <f t="shared" si="101"/>
        <v>14.327176965813509</v>
      </c>
      <c r="DD91">
        <f t="shared" si="250"/>
        <v>3.2589068472517634E-6</v>
      </c>
      <c r="DE91">
        <f t="shared" si="215"/>
        <v>4.1095609228634825E-2</v>
      </c>
      <c r="DF91">
        <f t="shared" si="305"/>
        <v>4573.6383914114322</v>
      </c>
      <c r="DG91">
        <f t="shared" si="216"/>
        <v>2.660124562738847E-6</v>
      </c>
      <c r="DH91">
        <f t="shared" si="103"/>
        <v>6.6247719458826376E-4</v>
      </c>
      <c r="DI91">
        <f t="shared" si="104"/>
        <v>0.27086995615998483</v>
      </c>
      <c r="DK91">
        <f t="shared" si="105"/>
        <v>16.263235323801933</v>
      </c>
      <c r="DL91">
        <f t="shared" si="106"/>
        <v>0.45600000000000002</v>
      </c>
      <c r="DM91">
        <f t="shared" si="284"/>
        <v>111292.629</v>
      </c>
      <c r="DN91">
        <f t="shared" si="285"/>
        <v>5.1527167820240626E-3</v>
      </c>
      <c r="DO91">
        <f t="shared" si="107"/>
        <v>4.168194321201019E-3</v>
      </c>
      <c r="DP91">
        <f t="shared" si="108"/>
        <v>1.2303980865129309E-2</v>
      </c>
      <c r="DQ91">
        <f t="shared" si="109"/>
        <v>14.327176965813509</v>
      </c>
      <c r="DR91">
        <f t="shared" si="251"/>
        <v>3.1620836496220056E-6</v>
      </c>
      <c r="DS91">
        <f t="shared" si="217"/>
        <v>3.9238130161089138E-2</v>
      </c>
      <c r="DT91">
        <f t="shared" si="306"/>
        <v>4366.9146626718039</v>
      </c>
      <c r="DU91">
        <f t="shared" si="218"/>
        <v>2.5993120106249871E-6</v>
      </c>
      <c r="DV91">
        <f t="shared" si="111"/>
        <v>6.2263595005964442E-4</v>
      </c>
      <c r="DW91">
        <f t="shared" si="112"/>
        <v>0.26282232039544651</v>
      </c>
      <c r="DY91">
        <f t="shared" si="113"/>
        <v>18.160929060534947</v>
      </c>
      <c r="DZ91">
        <f t="shared" si="114"/>
        <v>0.45600000000000002</v>
      </c>
      <c r="EA91">
        <f t="shared" si="286"/>
        <v>111292.629</v>
      </c>
      <c r="EB91">
        <f t="shared" si="287"/>
        <v>5.1527167820240626E-3</v>
      </c>
      <c r="EC91">
        <f t="shared" si="115"/>
        <v>4.168194321201019E-3</v>
      </c>
      <c r="ED91">
        <f t="shared" si="116"/>
        <v>1.2303980865129309E-2</v>
      </c>
      <c r="EE91">
        <f t="shared" si="117"/>
        <v>14.327176965813509</v>
      </c>
      <c r="EF91">
        <f t="shared" si="252"/>
        <v>3.0700126825364102E-6</v>
      </c>
      <c r="EG91">
        <f t="shared" si="219"/>
        <v>3.7490550353431497E-2</v>
      </c>
      <c r="EH91">
        <f t="shared" si="307"/>
        <v>4172.4219114902708</v>
      </c>
      <c r="EI91">
        <f t="shared" si="220"/>
        <v>2.5407689283894169E-6</v>
      </c>
      <c r="EJ91">
        <f t="shared" si="119"/>
        <v>5.8554156755968271E-4</v>
      </c>
      <c r="EK91">
        <f t="shared" si="120"/>
        <v>0.25516967489589382</v>
      </c>
      <c r="EM91">
        <f t="shared" si="121"/>
        <v>20.058622797267962</v>
      </c>
      <c r="EN91">
        <f t="shared" si="122"/>
        <v>0.45600000000000002</v>
      </c>
      <c r="EO91">
        <f t="shared" si="288"/>
        <v>111292.629</v>
      </c>
      <c r="EP91">
        <f t="shared" si="289"/>
        <v>5.1527167820240626E-3</v>
      </c>
      <c r="EQ91">
        <f t="shared" si="123"/>
        <v>4.168194321201019E-3</v>
      </c>
      <c r="ER91">
        <f t="shared" si="124"/>
        <v>1.2303980865129309E-2</v>
      </c>
      <c r="ES91">
        <f t="shared" si="125"/>
        <v>14.327176965813509</v>
      </c>
      <c r="ET91">
        <f t="shared" si="253"/>
        <v>2.9823946580459557E-6</v>
      </c>
      <c r="EU91">
        <f t="shared" si="221"/>
        <v>3.5845122024486517E-2</v>
      </c>
      <c r="EV91">
        <f t="shared" si="308"/>
        <v>3989.2978669309068</v>
      </c>
      <c r="EW91">
        <f t="shared" si="222"/>
        <v>2.4843872592008975E-6</v>
      </c>
      <c r="EX91">
        <f t="shared" si="127"/>
        <v>5.5098247393783081E-4</v>
      </c>
      <c r="EY91">
        <f t="shared" si="128"/>
        <v>0.24788714380036161</v>
      </c>
      <c r="FA91">
        <f t="shared" si="129"/>
        <v>21.956316534000976</v>
      </c>
      <c r="FB91">
        <f t="shared" si="130"/>
        <v>0.45600000000000002</v>
      </c>
      <c r="FC91">
        <f t="shared" si="290"/>
        <v>111292.629</v>
      </c>
      <c r="FD91">
        <f t="shared" si="291"/>
        <v>5.1527167820240626E-3</v>
      </c>
      <c r="FE91">
        <f t="shared" si="131"/>
        <v>4.168194321201019E-3</v>
      </c>
      <c r="FF91">
        <f t="shared" si="132"/>
        <v>1.2303980865129309E-2</v>
      </c>
      <c r="FG91">
        <f t="shared" si="133"/>
        <v>14.327176965813509</v>
      </c>
      <c r="FH91">
        <f t="shared" si="254"/>
        <v>2.898952331626962E-6</v>
      </c>
      <c r="FI91">
        <f t="shared" si="223"/>
        <v>3.4294715476613079E-2</v>
      </c>
      <c r="FJ91">
        <f t="shared" si="309"/>
        <v>3816.7490461992575</v>
      </c>
      <c r="FK91">
        <f t="shared" si="224"/>
        <v>2.4300648515801548E-6</v>
      </c>
      <c r="FL91">
        <f t="shared" si="135"/>
        <v>5.1876495078950324E-4</v>
      </c>
      <c r="FM91">
        <f t="shared" si="136"/>
        <v>0.24095168342718148</v>
      </c>
      <c r="FO91">
        <f t="shared" si="137"/>
        <v>23.85401027073399</v>
      </c>
      <c r="FP91">
        <f t="shared" si="138"/>
        <v>0.45600000000000002</v>
      </c>
      <c r="FQ91">
        <f t="shared" si="292"/>
        <v>111292.629</v>
      </c>
      <c r="FR91">
        <f t="shared" si="293"/>
        <v>5.1527167820240626E-3</v>
      </c>
      <c r="FS91">
        <f t="shared" si="139"/>
        <v>4.168194321201019E-3</v>
      </c>
      <c r="FT91">
        <f t="shared" si="140"/>
        <v>1.2303980865129309E-2</v>
      </c>
      <c r="FU91">
        <f t="shared" si="141"/>
        <v>14.327176965813509</v>
      </c>
      <c r="FV91">
        <f t="shared" si="255"/>
        <v>2.819428689747589E-6</v>
      </c>
      <c r="FW91">
        <f t="shared" si="225"/>
        <v>3.2832765097293534E-2</v>
      </c>
      <c r="FX91">
        <f t="shared" si="310"/>
        <v>3654.0447450172383</v>
      </c>
      <c r="FY91">
        <f t="shared" si="226"/>
        <v>2.3777051122270802E-6</v>
      </c>
      <c r="FZ91">
        <f t="shared" si="143"/>
        <v>4.8871151332962617E-4</v>
      </c>
      <c r="GA91">
        <f t="shared" si="144"/>
        <v>0.23434193163028269</v>
      </c>
      <c r="GC91">
        <f t="shared" si="145"/>
        <v>25.751704007467005</v>
      </c>
      <c r="GD91">
        <f t="shared" si="146"/>
        <v>0.45600000000000002</v>
      </c>
      <c r="GE91">
        <f t="shared" si="294"/>
        <v>111292.629</v>
      </c>
      <c r="GF91">
        <f t="shared" si="295"/>
        <v>5.1527167820240626E-3</v>
      </c>
      <c r="GG91">
        <f t="shared" si="147"/>
        <v>4.168194321201019E-3</v>
      </c>
      <c r="GH91">
        <f t="shared" si="148"/>
        <v>1.2303980865129309E-2</v>
      </c>
      <c r="GI91">
        <f t="shared" si="149"/>
        <v>14.327176965813509</v>
      </c>
      <c r="GJ91">
        <f t="shared" si="256"/>
        <v>2.7435852991435962E-6</v>
      </c>
      <c r="GK91">
        <f t="shared" si="227"/>
        <v>3.1453220410916485E-2</v>
      </c>
      <c r="GL91">
        <f t="shared" si="311"/>
        <v>3500.5115900473561</v>
      </c>
      <c r="GM91">
        <f t="shared" si="228"/>
        <v>2.3272166797114746E-6</v>
      </c>
      <c r="GN91">
        <f t="shared" si="151"/>
        <v>4.6065944509423836E-4</v>
      </c>
      <c r="GO91">
        <f t="shared" si="152"/>
        <v>0.22803807059625142</v>
      </c>
      <c r="GQ91">
        <f t="shared" si="153"/>
        <v>27.649397744200019</v>
      </c>
      <c r="GR91">
        <f t="shared" si="154"/>
        <v>0.45600000000000002</v>
      </c>
      <c r="GS91">
        <f t="shared" si="296"/>
        <v>111292.629</v>
      </c>
      <c r="GT91">
        <f t="shared" si="297"/>
        <v>5.1527167820240626E-3</v>
      </c>
      <c r="GU91">
        <f t="shared" si="155"/>
        <v>4.168194321201019E-3</v>
      </c>
      <c r="GV91">
        <f t="shared" si="156"/>
        <v>1.2303980865129309E-2</v>
      </c>
      <c r="GW91">
        <f t="shared" si="157"/>
        <v>14.327176965813509</v>
      </c>
      <c r="GX91">
        <f t="shared" si="257"/>
        <v>2.6712008024539195E-6</v>
      </c>
      <c r="GY91">
        <f t="shared" si="229"/>
        <v>3.0150501683689403E-2</v>
      </c>
      <c r="GZ91">
        <f t="shared" si="312"/>
        <v>3355.5285980467202</v>
      </c>
      <c r="HA91">
        <f t="shared" si="230"/>
        <v>2.2785131178141464E-6</v>
      </c>
      <c r="HB91">
        <f t="shared" si="159"/>
        <v>4.3445947283015545E-4</v>
      </c>
      <c r="HC91">
        <f t="shared" si="160"/>
        <v>0.22202170180635192</v>
      </c>
      <c r="HE91">
        <f t="shared" si="161"/>
        <v>29.547091480933034</v>
      </c>
      <c r="HF91">
        <f t="shared" si="162"/>
        <v>0.45600000000000002</v>
      </c>
      <c r="HG91">
        <f t="shared" si="33"/>
        <v>111292.629</v>
      </c>
      <c r="HH91">
        <f t="shared" si="34"/>
        <v>5.1527167820240626E-3</v>
      </c>
      <c r="HI91">
        <f t="shared" si="263"/>
        <v>4.168194321201019E-3</v>
      </c>
      <c r="HJ91">
        <f t="shared" si="164"/>
        <v>1.2303980865129309E-2</v>
      </c>
      <c r="HK91">
        <f t="shared" si="165"/>
        <v>14.327176965813509</v>
      </c>
      <c r="HL91">
        <f t="shared" si="258"/>
        <v>2.6020695463930384E-6</v>
      </c>
      <c r="HM91">
        <f t="shared" si="231"/>
        <v>2.8919459635396751E-2</v>
      </c>
      <c r="HN91">
        <f t="shared" si="166"/>
        <v>3218.5226920826858</v>
      </c>
      <c r="HO91">
        <f t="shared" si="232"/>
        <v>2.2315126273678256E-6</v>
      </c>
      <c r="HP91">
        <f t="shared" si="167"/>
        <v>4.0997456755218685E-4</v>
      </c>
      <c r="HQ91">
        <f t="shared" si="168"/>
        <v>0.21627573201458361</v>
      </c>
      <c r="HS91">
        <f t="shared" si="169"/>
        <v>31.444785217666048</v>
      </c>
      <c r="HT91">
        <f t="shared" si="170"/>
        <v>0.45600000000000002</v>
      </c>
      <c r="HU91">
        <f t="shared" si="35"/>
        <v>111292.629</v>
      </c>
      <c r="HV91">
        <f t="shared" si="36"/>
        <v>5.1527167820240626E-3</v>
      </c>
      <c r="HW91">
        <f t="shared" si="264"/>
        <v>4.168194321201019E-3</v>
      </c>
      <c r="HX91">
        <f t="shared" si="172"/>
        <v>1.2303980865129309E-2</v>
      </c>
      <c r="HY91">
        <f t="shared" si="173"/>
        <v>14.327176965813509</v>
      </c>
      <c r="HZ91">
        <f t="shared" si="259"/>
        <v>2.5360003300066124E-6</v>
      </c>
      <c r="IA91">
        <f t="shared" si="233"/>
        <v>2.7755338857179672E-2</v>
      </c>
      <c r="IB91">
        <f t="shared" si="174"/>
        <v>3088.9646302013812</v>
      </c>
      <c r="IC91">
        <f t="shared" si="234"/>
        <v>2.1861377755077565E-6</v>
      </c>
      <c r="ID91">
        <f t="shared" si="175"/>
        <v>3.8707885919575166E-4</v>
      </c>
      <c r="IE91">
        <f t="shared" si="176"/>
        <v>0.21078426920667684</v>
      </c>
      <c r="IG91">
        <f t="shared" si="177"/>
        <v>33.342478954399063</v>
      </c>
      <c r="IH91">
        <f t="shared" si="178"/>
        <v>0.45600000000000002</v>
      </c>
      <c r="II91">
        <f t="shared" si="37"/>
        <v>111292.629</v>
      </c>
      <c r="IJ91">
        <f t="shared" si="38"/>
        <v>5.1527167820240626E-3</v>
      </c>
      <c r="IK91">
        <f t="shared" si="265"/>
        <v>4.168194321201019E-3</v>
      </c>
      <c r="IL91">
        <f t="shared" si="180"/>
        <v>1.2303980865129309E-2</v>
      </c>
      <c r="IM91">
        <f t="shared" si="181"/>
        <v>14.327176965813509</v>
      </c>
      <c r="IN91">
        <f t="shared" si="260"/>
        <v>2.4728152617857908E-6</v>
      </c>
      <c r="IO91">
        <f t="shared" si="235"/>
        <v>2.6653744575217488E-2</v>
      </c>
      <c r="IP91">
        <f t="shared" si="182"/>
        <v>2966.3653064704426</v>
      </c>
      <c r="IQ91">
        <f t="shared" si="236"/>
        <v>2.1423152412998441E-6</v>
      </c>
      <c r="IR91">
        <f t="shared" si="183"/>
        <v>3.6565665358820543E-4</v>
      </c>
      <c r="IS91">
        <f t="shared" si="184"/>
        <v>0.20553252760707491</v>
      </c>
      <c r="IU91">
        <f t="shared" si="185"/>
        <v>35.240172691132081</v>
      </c>
      <c r="IV91">
        <f t="shared" si="186"/>
        <v>0.45600000000000002</v>
      </c>
      <c r="IW91">
        <f t="shared" si="39"/>
        <v>111292.629</v>
      </c>
      <c r="IX91">
        <f t="shared" si="40"/>
        <v>5.1527167820240626E-3</v>
      </c>
      <c r="IY91">
        <f t="shared" si="266"/>
        <v>4.168194321201019E-3</v>
      </c>
      <c r="IZ91">
        <f t="shared" si="188"/>
        <v>1.2303980865129309E-2</v>
      </c>
      <c r="JA91">
        <f t="shared" si="189"/>
        <v>14.327176965813509</v>
      </c>
      <c r="JB91">
        <f t="shared" si="261"/>
        <v>2.4123487155188026E-6</v>
      </c>
      <c r="JC91">
        <f t="shared" si="237"/>
        <v>2.5610612436646005E-2</v>
      </c>
      <c r="JD91">
        <f t="shared" si="190"/>
        <v>2850.2723883744297</v>
      </c>
      <c r="JE91">
        <f t="shared" si="238"/>
        <v>2.0999755767699484E-6</v>
      </c>
      <c r="JF91">
        <f t="shared" si="191"/>
        <v>3.4560154162110562E-4</v>
      </c>
      <c r="JG91">
        <f t="shared" si="192"/>
        <v>0.20050674089264434</v>
      </c>
      <c r="JI91">
        <f t="shared" si="193"/>
        <v>37.137866427865092</v>
      </c>
      <c r="JJ91">
        <f t="shared" si="194"/>
        <v>0.45600000000000002</v>
      </c>
      <c r="JK91">
        <f t="shared" si="41"/>
        <v>111292.629</v>
      </c>
      <c r="JL91">
        <f t="shared" si="42"/>
        <v>5.1527167820240626E-3</v>
      </c>
      <c r="JM91">
        <f t="shared" si="267"/>
        <v>4.168194321201019E-3</v>
      </c>
      <c r="JN91">
        <f t="shared" si="196"/>
        <v>1.2303980865129309E-2</v>
      </c>
      <c r="JO91">
        <f t="shared" si="197"/>
        <v>14.327176965813509</v>
      </c>
      <c r="JP91">
        <f t="shared" si="262"/>
        <v>2.3544463757490038E-6</v>
      </c>
      <c r="JQ91">
        <f t="shared" si="239"/>
        <v>2.4622181026701162E-2</v>
      </c>
      <c r="JR91">
        <f t="shared" si="198"/>
        <v>2740.2672581754914</v>
      </c>
      <c r="JS91">
        <f t="shared" si="240"/>
        <v>2.0590529824112457E-6</v>
      </c>
      <c r="JT91">
        <f t="shared" si="199"/>
        <v>3.268155915425788E-4</v>
      </c>
      <c r="JU91">
        <f t="shared" si="200"/>
        <v>0.19569408285418818</v>
      </c>
    </row>
    <row r="92" spans="2:281">
      <c r="B92">
        <v>0.57999999999999996</v>
      </c>
      <c r="C92">
        <f t="shared" si="43"/>
        <v>1.1006623673051483</v>
      </c>
      <c r="D92">
        <f t="shared" si="44"/>
        <v>0.46400000000000002</v>
      </c>
      <c r="E92">
        <f t="shared" si="268"/>
        <v>111108.201</v>
      </c>
      <c r="F92">
        <f t="shared" si="269"/>
        <v>5.1555661964507371E-3</v>
      </c>
      <c r="G92">
        <f t="shared" si="45"/>
        <v>4.1670423085910652E-3</v>
      </c>
      <c r="H92">
        <f t="shared" si="46"/>
        <v>1.2324404187283486E-2</v>
      </c>
      <c r="I92">
        <f t="shared" si="47"/>
        <v>14.34302699373894</v>
      </c>
      <c r="J92">
        <f t="shared" si="241"/>
        <v>4.0994535962114102E-6</v>
      </c>
      <c r="K92">
        <f t="shared" si="201"/>
        <v>5.8546216024310503E-2</v>
      </c>
      <c r="L92">
        <f t="shared" si="298"/>
        <v>6504.9647378185127</v>
      </c>
      <c r="M92">
        <f t="shared" si="202"/>
        <v>3.1724408563926674E-6</v>
      </c>
      <c r="N92">
        <f t="shared" si="203"/>
        <v>1.0264737205390769E-3</v>
      </c>
      <c r="O92">
        <f t="shared" si="49"/>
        <v>0.34073352443997995</v>
      </c>
      <c r="Q92">
        <f t="shared" si="50"/>
        <v>2.9983561040381628</v>
      </c>
      <c r="R92">
        <f t="shared" si="51"/>
        <v>0.46400000000000002</v>
      </c>
      <c r="S92">
        <f t="shared" si="270"/>
        <v>111108.201</v>
      </c>
      <c r="T92">
        <f t="shared" si="271"/>
        <v>5.1555661964507371E-3</v>
      </c>
      <c r="U92">
        <f t="shared" si="52"/>
        <v>4.1670423085910652E-3</v>
      </c>
      <c r="V92">
        <f t="shared" si="53"/>
        <v>1.2324404187283486E-2</v>
      </c>
      <c r="W92">
        <f t="shared" si="54"/>
        <v>14.34302699373894</v>
      </c>
      <c r="X92">
        <f t="shared" si="242"/>
        <v>3.9587289305991323E-6</v>
      </c>
      <c r="Y92">
        <f t="shared" si="204"/>
        <v>5.5600348114635011E-2</v>
      </c>
      <c r="Z92">
        <f t="shared" si="299"/>
        <v>6177.6546539908377</v>
      </c>
      <c r="AA92">
        <f t="shared" si="205"/>
        <v>3.0915969789421412E-6</v>
      </c>
      <c r="AB92">
        <f t="shared" si="56"/>
        <v>9.6016820738590919E-4</v>
      </c>
      <c r="AC92">
        <f t="shared" si="57"/>
        <v>0.32903693850130206</v>
      </c>
      <c r="AE92">
        <f t="shared" si="58"/>
        <v>4.8960498407711777</v>
      </c>
      <c r="AF92">
        <f t="shared" si="59"/>
        <v>0.46400000000000002</v>
      </c>
      <c r="AG92">
        <f t="shared" si="272"/>
        <v>111108.201</v>
      </c>
      <c r="AH92">
        <f t="shared" si="273"/>
        <v>5.1555661964507371E-3</v>
      </c>
      <c r="AI92">
        <f t="shared" si="60"/>
        <v>4.1670423085910652E-3</v>
      </c>
      <c r="AJ92">
        <f t="shared" si="61"/>
        <v>1.2324404187283486E-2</v>
      </c>
      <c r="AK92">
        <f t="shared" si="62"/>
        <v>14.34302699373894</v>
      </c>
      <c r="AL92">
        <f t="shared" si="243"/>
        <v>3.8256587371104982E-6</v>
      </c>
      <c r="AM92">
        <f t="shared" si="206"/>
        <v>5.2844443288718283E-2</v>
      </c>
      <c r="AN92">
        <f t="shared" si="300"/>
        <v>5871.4510266560119</v>
      </c>
      <c r="AO92">
        <f t="shared" si="207"/>
        <v>3.0140037087968714E-6</v>
      </c>
      <c r="AP92">
        <f t="shared" si="64"/>
        <v>8.9873905818192018E-4</v>
      </c>
      <c r="AQ92">
        <f t="shared" si="65"/>
        <v>0.3179765679028409</v>
      </c>
      <c r="AS92">
        <f t="shared" si="66"/>
        <v>6.7937435775041921</v>
      </c>
      <c r="AT92">
        <f t="shared" si="67"/>
        <v>0.46400000000000002</v>
      </c>
      <c r="AU92">
        <f t="shared" si="274"/>
        <v>111108.201</v>
      </c>
      <c r="AV92">
        <f t="shared" si="275"/>
        <v>5.1555661964507371E-3</v>
      </c>
      <c r="AW92">
        <f t="shared" si="68"/>
        <v>4.1670423085910652E-3</v>
      </c>
      <c r="AX92">
        <f t="shared" si="69"/>
        <v>1.2324404187283486E-2</v>
      </c>
      <c r="AY92">
        <f t="shared" si="70"/>
        <v>14.34302699373894</v>
      </c>
      <c r="AZ92">
        <f t="shared" si="244"/>
        <v>3.6997213925268901E-6</v>
      </c>
      <c r="BA92">
        <f t="shared" si="208"/>
        <v>5.0264142288801626E-2</v>
      </c>
      <c r="BB92">
        <f t="shared" si="301"/>
        <v>5584.7584245167709</v>
      </c>
      <c r="BC92">
        <f t="shared" si="209"/>
        <v>2.9394985949912684E-6</v>
      </c>
      <c r="BD92">
        <f t="shared" si="72"/>
        <v>8.4178856439189303E-4</v>
      </c>
      <c r="BE92">
        <f t="shared" si="73"/>
        <v>0.30750905698425357</v>
      </c>
      <c r="BG92">
        <f t="shared" si="74"/>
        <v>8.6914373142372057</v>
      </c>
      <c r="BH92">
        <f t="shared" si="75"/>
        <v>0.46400000000000002</v>
      </c>
      <c r="BI92">
        <f t="shared" si="276"/>
        <v>111108.201</v>
      </c>
      <c r="BJ92">
        <f t="shared" si="277"/>
        <v>5.1555661964507371E-3</v>
      </c>
      <c r="BK92">
        <f t="shared" si="76"/>
        <v>4.1670423085910652E-3</v>
      </c>
      <c r="BL92">
        <f t="shared" si="77"/>
        <v>1.2324404187283486E-2</v>
      </c>
      <c r="BM92">
        <f t="shared" si="78"/>
        <v>14.34302699373894</v>
      </c>
      <c r="BN92">
        <f t="shared" si="245"/>
        <v>3.5804361972365864E-6</v>
      </c>
      <c r="BO92">
        <f t="shared" si="210"/>
        <v>4.7846297859424555E-2</v>
      </c>
      <c r="BP92">
        <f t="shared" si="302"/>
        <v>5316.1160796708136</v>
      </c>
      <c r="BQ92">
        <f t="shared" si="211"/>
        <v>2.8679282945372197E-6</v>
      </c>
      <c r="BR92">
        <f t="shared" si="80"/>
        <v>7.8895424667013443E-4</v>
      </c>
      <c r="BS92">
        <f t="shared" si="81"/>
        <v>0.29759445152504344</v>
      </c>
      <c r="BU92">
        <f t="shared" si="82"/>
        <v>10.58913105097022</v>
      </c>
      <c r="BV92">
        <f t="shared" si="83"/>
        <v>0.46400000000000002</v>
      </c>
      <c r="BW92">
        <f t="shared" si="278"/>
        <v>111108.201</v>
      </c>
      <c r="BX92">
        <f t="shared" si="279"/>
        <v>5.1555661964507371E-3</v>
      </c>
      <c r="BY92">
        <f t="shared" si="84"/>
        <v>4.1670423085910652E-3</v>
      </c>
      <c r="BZ92">
        <f t="shared" si="85"/>
        <v>1.2324404187283486E-2</v>
      </c>
      <c r="CA92">
        <f t="shared" si="86"/>
        <v>14.34302699373894</v>
      </c>
      <c r="CB92">
        <f t="shared" si="246"/>
        <v>3.4673598335955865E-6</v>
      </c>
      <c r="CC92">
        <f t="shared" si="247"/>
        <v>4.5578863973448985E-2</v>
      </c>
      <c r="CD92">
        <f t="shared" si="303"/>
        <v>5064.1855797136286</v>
      </c>
      <c r="CE92">
        <f t="shared" si="248"/>
        <v>2.7991480353122565E-6</v>
      </c>
      <c r="CF92">
        <f t="shared" si="212"/>
        <v>7.3990552797161143E-4</v>
      </c>
      <c r="CG92">
        <f t="shared" si="88"/>
        <v>0.28819590437479342</v>
      </c>
      <c r="CI92">
        <f t="shared" si="89"/>
        <v>12.486824787703235</v>
      </c>
      <c r="CJ92">
        <f t="shared" si="90"/>
        <v>0.46400000000000002</v>
      </c>
      <c r="CK92">
        <f t="shared" si="280"/>
        <v>111108.201</v>
      </c>
      <c r="CL92">
        <f t="shared" si="281"/>
        <v>5.1555661964507371E-3</v>
      </c>
      <c r="CM92">
        <f t="shared" si="91"/>
        <v>4.1670423085910652E-3</v>
      </c>
      <c r="CN92">
        <f t="shared" si="92"/>
        <v>1.2324404187283486E-2</v>
      </c>
      <c r="CO92">
        <f t="shared" si="93"/>
        <v>14.34302699373894</v>
      </c>
      <c r="CP92">
        <f t="shared" si="249"/>
        <v>3.3600831535420274E-6</v>
      </c>
      <c r="CQ92">
        <f t="shared" si="213"/>
        <v>4.3450795788208291E-2</v>
      </c>
      <c r="CR92">
        <f t="shared" si="304"/>
        <v>4827.7397520462</v>
      </c>
      <c r="CS92">
        <f t="shared" si="214"/>
        <v>2.733021110496106E-6</v>
      </c>
      <c r="CT92">
        <f t="shared" si="95"/>
        <v>6.943407363096607E-4</v>
      </c>
      <c r="CU92">
        <f t="shared" si="96"/>
        <v>0.27927940844990962</v>
      </c>
      <c r="CW92">
        <f t="shared" si="97"/>
        <v>14.384518524436249</v>
      </c>
      <c r="CX92">
        <f t="shared" si="98"/>
        <v>0.46400000000000002</v>
      </c>
      <c r="CY92">
        <f t="shared" si="282"/>
        <v>111108.201</v>
      </c>
      <c r="CZ92">
        <f t="shared" si="283"/>
        <v>5.1555661964507371E-3</v>
      </c>
      <c r="DA92">
        <f t="shared" si="99"/>
        <v>4.1670423085910652E-3</v>
      </c>
      <c r="DB92">
        <f t="shared" si="100"/>
        <v>1.2324404187283486E-2</v>
      </c>
      <c r="DC92">
        <f t="shared" si="101"/>
        <v>14.34302699373894</v>
      </c>
      <c r="DD92">
        <f t="shared" si="250"/>
        <v>3.2582282631978708E-6</v>
      </c>
      <c r="DE92">
        <f t="shared" si="215"/>
        <v>4.1451959248084605E-2</v>
      </c>
      <c r="DF92">
        <f t="shared" si="305"/>
        <v>4605.6526199799928</v>
      </c>
      <c r="DG92">
        <f t="shared" si="216"/>
        <v>2.6694184028244119E-6</v>
      </c>
      <c r="DH92">
        <f t="shared" si="103"/>
        <v>6.5198440334899351E-4</v>
      </c>
      <c r="DI92">
        <f t="shared" si="104"/>
        <v>0.27081355441499977</v>
      </c>
      <c r="DK92">
        <f t="shared" si="105"/>
        <v>16.282212261169263</v>
      </c>
      <c r="DL92">
        <f t="shared" si="106"/>
        <v>0.46400000000000002</v>
      </c>
      <c r="DM92">
        <f t="shared" si="284"/>
        <v>111108.201</v>
      </c>
      <c r="DN92">
        <f t="shared" si="285"/>
        <v>5.1555661964507371E-3</v>
      </c>
      <c r="DO92">
        <f t="shared" si="107"/>
        <v>4.1670423085910652E-3</v>
      </c>
      <c r="DP92">
        <f t="shared" si="108"/>
        <v>1.2324404187283486E-2</v>
      </c>
      <c r="DQ92">
        <f t="shared" si="109"/>
        <v>14.34302699373894</v>
      </c>
      <c r="DR92">
        <f t="shared" si="251"/>
        <v>3.1614458754759029E-6</v>
      </c>
      <c r="DS92">
        <f t="shared" si="217"/>
        <v>3.9573049362423771E-2</v>
      </c>
      <c r="DT92">
        <f t="shared" si="306"/>
        <v>4396.8903227431019</v>
      </c>
      <c r="DU92">
        <f t="shared" si="218"/>
        <v>2.608217937008467E-6</v>
      </c>
      <c r="DV92">
        <f t="shared" si="111"/>
        <v>6.1258482857082187E-4</v>
      </c>
      <c r="DW92">
        <f t="shared" si="112"/>
        <v>0.26276931064000031</v>
      </c>
      <c r="DY92">
        <f t="shared" si="113"/>
        <v>18.179905997902278</v>
      </c>
      <c r="DZ92">
        <f t="shared" si="114"/>
        <v>0.46400000000000002</v>
      </c>
      <c r="EA92">
        <f t="shared" si="286"/>
        <v>111108.201</v>
      </c>
      <c r="EB92">
        <f t="shared" si="287"/>
        <v>5.1555661964507371E-3</v>
      </c>
      <c r="EC92">
        <f t="shared" si="115"/>
        <v>4.1670423085910652E-3</v>
      </c>
      <c r="ED92">
        <f t="shared" si="116"/>
        <v>1.2324404187283486E-2</v>
      </c>
      <c r="EE92">
        <f t="shared" si="117"/>
        <v>14.34302699373894</v>
      </c>
      <c r="EF92">
        <f t="shared" si="252"/>
        <v>3.0694129046514005E-6</v>
      </c>
      <c r="EG92">
        <f t="shared" si="219"/>
        <v>3.7805516288399642E-2</v>
      </c>
      <c r="EH92">
        <f t="shared" si="307"/>
        <v>4200.5029026802813</v>
      </c>
      <c r="EI92">
        <f t="shared" si="220"/>
        <v>2.5493044587472099E-6</v>
      </c>
      <c r="EJ92">
        <f t="shared" si="119"/>
        <v>5.7591188191810606E-4</v>
      </c>
      <c r="EK92">
        <f t="shared" si="120"/>
        <v>0.25511982326863569</v>
      </c>
      <c r="EM92">
        <f t="shared" si="121"/>
        <v>20.077599734635292</v>
      </c>
      <c r="EN92">
        <f t="shared" si="122"/>
        <v>0.46400000000000002</v>
      </c>
      <c r="EO92">
        <f t="shared" si="288"/>
        <v>111108.201</v>
      </c>
      <c r="EP92">
        <f t="shared" si="289"/>
        <v>5.1555661964507371E-3</v>
      </c>
      <c r="EQ92">
        <f t="shared" si="123"/>
        <v>4.1670423085910652E-3</v>
      </c>
      <c r="ER92">
        <f t="shared" si="124"/>
        <v>1.2324404187283486E-2</v>
      </c>
      <c r="ES92">
        <f t="shared" si="125"/>
        <v>14.34302699373894</v>
      </c>
      <c r="ET92">
        <f t="shared" si="253"/>
        <v>2.9818302794924855E-6</v>
      </c>
      <c r="EU92">
        <f t="shared" si="221"/>
        <v>3.6141498438509764E-2</v>
      </c>
      <c r="EV92">
        <f t="shared" si="308"/>
        <v>4015.6168729471292</v>
      </c>
      <c r="EW92">
        <f t="shared" si="222"/>
        <v>2.4925690388328657E-6</v>
      </c>
      <c r="EX92">
        <f t="shared" si="127"/>
        <v>5.4175502066308354E-4</v>
      </c>
      <c r="EY92">
        <f t="shared" si="128"/>
        <v>0.24784023445277931</v>
      </c>
      <c r="FA92">
        <f t="shared" si="129"/>
        <v>21.975293471368307</v>
      </c>
      <c r="FB92">
        <f t="shared" si="130"/>
        <v>0.46400000000000002</v>
      </c>
      <c r="FC92">
        <f t="shared" si="290"/>
        <v>111108.201</v>
      </c>
      <c r="FD92">
        <f t="shared" si="291"/>
        <v>5.1555661964507371E-3</v>
      </c>
      <c r="FE92">
        <f t="shared" si="131"/>
        <v>4.1670423085910652E-3</v>
      </c>
      <c r="FF92">
        <f t="shared" si="132"/>
        <v>1.2324404187283486E-2</v>
      </c>
      <c r="FG92">
        <f t="shared" si="133"/>
        <v>14.34302699373894</v>
      </c>
      <c r="FH92">
        <f t="shared" si="254"/>
        <v>2.8984209539037741E-6</v>
      </c>
      <c r="FI92">
        <f t="shared" si="223"/>
        <v>3.4573761912949072E-2</v>
      </c>
      <c r="FJ92">
        <f t="shared" si="309"/>
        <v>3841.4284879500901</v>
      </c>
      <c r="FK92">
        <f t="shared" si="224"/>
        <v>2.4379087009241805E-6</v>
      </c>
      <c r="FL92">
        <f t="shared" si="135"/>
        <v>5.0992149877273859E-4</v>
      </c>
      <c r="FM92">
        <f t="shared" si="136"/>
        <v>0.24090751700349078</v>
      </c>
      <c r="FO92">
        <f t="shared" si="137"/>
        <v>23.872987208101321</v>
      </c>
      <c r="FP92">
        <f t="shared" si="138"/>
        <v>0.46400000000000002</v>
      </c>
      <c r="FQ92">
        <f t="shared" si="292"/>
        <v>111108.201</v>
      </c>
      <c r="FR92">
        <f t="shared" si="293"/>
        <v>5.1555661964507371E-3</v>
      </c>
      <c r="FS92">
        <f t="shared" si="139"/>
        <v>4.1670423085910652E-3</v>
      </c>
      <c r="FT92">
        <f t="shared" si="140"/>
        <v>1.2324404187283486E-2</v>
      </c>
      <c r="FU92">
        <f t="shared" si="141"/>
        <v>14.34302699373894</v>
      </c>
      <c r="FV92">
        <f t="shared" si="255"/>
        <v>2.8189280961534117E-6</v>
      </c>
      <c r="FW92">
        <f t="shared" si="225"/>
        <v>3.3095645629186557E-2</v>
      </c>
      <c r="FX92">
        <f t="shared" si="310"/>
        <v>3677.1976467924314</v>
      </c>
      <c r="FY92">
        <f t="shared" si="226"/>
        <v>2.3852260716316014E-6</v>
      </c>
      <c r="FZ92">
        <f t="shared" si="143"/>
        <v>4.8023474931237578E-4</v>
      </c>
      <c r="GA92">
        <f t="shared" si="144"/>
        <v>0.234300323885335</v>
      </c>
      <c r="GC92">
        <f t="shared" si="145"/>
        <v>25.770680944834336</v>
      </c>
      <c r="GD92">
        <f t="shared" si="146"/>
        <v>0.46400000000000002</v>
      </c>
      <c r="GE92">
        <f t="shared" si="294"/>
        <v>111108.201</v>
      </c>
      <c r="GF92">
        <f t="shared" si="295"/>
        <v>5.1555661964507371E-3</v>
      </c>
      <c r="GG92">
        <f t="shared" si="147"/>
        <v>4.1670423085910652E-3</v>
      </c>
      <c r="GH92">
        <f t="shared" si="148"/>
        <v>1.2324404187283486E-2</v>
      </c>
      <c r="GI92">
        <f t="shared" si="149"/>
        <v>14.34302699373894</v>
      </c>
      <c r="GJ92">
        <f t="shared" si="256"/>
        <v>2.7431134396497604E-6</v>
      </c>
      <c r="GK92">
        <f t="shared" si="227"/>
        <v>3.1701011585556237E-2</v>
      </c>
      <c r="GL92">
        <f t="shared" si="311"/>
        <v>3522.2423671513111</v>
      </c>
      <c r="GM92">
        <f t="shared" si="228"/>
        <v>2.3344290516265245E-6</v>
      </c>
      <c r="GN92">
        <f t="shared" si="151"/>
        <v>4.5253292245203838E-4</v>
      </c>
      <c r="GO92">
        <f t="shared" si="152"/>
        <v>0.22799885113819396</v>
      </c>
      <c r="GQ92">
        <f t="shared" si="153"/>
        <v>27.66837468156735</v>
      </c>
      <c r="GR92">
        <f t="shared" si="154"/>
        <v>0.46400000000000002</v>
      </c>
      <c r="GS92">
        <f t="shared" si="296"/>
        <v>111108.201</v>
      </c>
      <c r="GT92">
        <f t="shared" si="297"/>
        <v>5.1555661964507371E-3</v>
      </c>
      <c r="GU92">
        <f t="shared" si="155"/>
        <v>4.1670423085910652E-3</v>
      </c>
      <c r="GV92">
        <f t="shared" si="156"/>
        <v>1.2324404187283486E-2</v>
      </c>
      <c r="GW92">
        <f t="shared" si="157"/>
        <v>14.34302699373894</v>
      </c>
      <c r="GX92">
        <f t="shared" si="257"/>
        <v>2.6707557799343016E-6</v>
      </c>
      <c r="GY92">
        <f t="shared" si="229"/>
        <v>3.038419975338583E-2</v>
      </c>
      <c r="GZ92">
        <f t="shared" si="312"/>
        <v>3375.9337734233432</v>
      </c>
      <c r="HA92">
        <f t="shared" si="230"/>
        <v>2.2854305065523795E-6</v>
      </c>
      <c r="HB92">
        <f t="shared" si="159"/>
        <v>4.2666756345054662E-4</v>
      </c>
      <c r="HC92">
        <f t="shared" si="160"/>
        <v>0.22198471295210442</v>
      </c>
      <c r="HE92">
        <f t="shared" si="161"/>
        <v>29.566068418300365</v>
      </c>
      <c r="HF92">
        <f t="shared" si="162"/>
        <v>0.46400000000000002</v>
      </c>
      <c r="HG92">
        <f t="shared" si="33"/>
        <v>111108.201</v>
      </c>
      <c r="HH92">
        <f t="shared" si="34"/>
        <v>5.1555661964507371E-3</v>
      </c>
      <c r="HI92">
        <f t="shared" si="263"/>
        <v>4.1670423085910652E-3</v>
      </c>
      <c r="HJ92">
        <f t="shared" si="164"/>
        <v>1.2324404187283486E-2</v>
      </c>
      <c r="HK92">
        <f t="shared" si="165"/>
        <v>14.34302699373894</v>
      </c>
      <c r="HL92">
        <f t="shared" si="258"/>
        <v>2.6016496040820954E-6</v>
      </c>
      <c r="HM92">
        <f t="shared" si="231"/>
        <v>2.9139987143837174E-2</v>
      </c>
      <c r="HN92">
        <f t="shared" si="166"/>
        <v>3237.6915487148767</v>
      </c>
      <c r="HO92">
        <f t="shared" si="232"/>
        <v>2.2381479765784144E-6</v>
      </c>
      <c r="HP92">
        <f t="shared" si="167"/>
        <v>4.0250241661044439E-4</v>
      </c>
      <c r="HQ92">
        <f t="shared" si="168"/>
        <v>0.2162408277473902</v>
      </c>
      <c r="HS92">
        <f t="shared" si="169"/>
        <v>31.463762155033375</v>
      </c>
      <c r="HT92">
        <f t="shared" si="170"/>
        <v>0.46400000000000002</v>
      </c>
      <c r="HU92">
        <f t="shared" si="35"/>
        <v>111108.201</v>
      </c>
      <c r="HV92">
        <f t="shared" si="36"/>
        <v>5.1555661964507371E-3</v>
      </c>
      <c r="HW92">
        <f t="shared" si="264"/>
        <v>4.1670423085910652E-3</v>
      </c>
      <c r="HX92">
        <f t="shared" si="172"/>
        <v>1.2324404187283486E-2</v>
      </c>
      <c r="HY92">
        <f t="shared" si="173"/>
        <v>14.34302699373894</v>
      </c>
      <c r="HZ92">
        <f t="shared" si="259"/>
        <v>2.535603840069155E-6</v>
      </c>
      <c r="IA92">
        <f t="shared" si="233"/>
        <v>2.7963550641871702E-2</v>
      </c>
      <c r="IB92">
        <f t="shared" si="174"/>
        <v>3106.9798053907602</v>
      </c>
      <c r="IC92">
        <f t="shared" si="234"/>
        <v>2.1925034034978787E-6</v>
      </c>
      <c r="ID92">
        <f t="shared" si="175"/>
        <v>3.7991234264456972E-4</v>
      </c>
      <c r="IE92">
        <f t="shared" si="176"/>
        <v>0.21075131422606194</v>
      </c>
      <c r="IG92">
        <f t="shared" si="177"/>
        <v>33.36145589176639</v>
      </c>
      <c r="IH92">
        <f t="shared" si="178"/>
        <v>0.46400000000000002</v>
      </c>
      <c r="II92">
        <f t="shared" si="37"/>
        <v>111108.201</v>
      </c>
      <c r="IJ92">
        <f t="shared" si="38"/>
        <v>5.1555661964507371E-3</v>
      </c>
      <c r="IK92">
        <f t="shared" si="265"/>
        <v>4.1670423085910652E-3</v>
      </c>
      <c r="IL92">
        <f t="shared" si="180"/>
        <v>1.2324404187283486E-2</v>
      </c>
      <c r="IM92">
        <f t="shared" si="181"/>
        <v>14.34302699373894</v>
      </c>
      <c r="IN92">
        <f t="shared" si="260"/>
        <v>2.4724407148936841E-6</v>
      </c>
      <c r="IO92">
        <f t="shared" si="235"/>
        <v>2.6850433241155748E-2</v>
      </c>
      <c r="IP92">
        <f t="shared" si="182"/>
        <v>2983.3033334954143</v>
      </c>
      <c r="IQ92">
        <f t="shared" si="236"/>
        <v>2.1484228743307564E-6</v>
      </c>
      <c r="IR92">
        <f t="shared" si="183"/>
        <v>3.5878233818954596E-4</v>
      </c>
      <c r="IS92">
        <f t="shared" si="184"/>
        <v>0.20550139646249177</v>
      </c>
      <c r="IU92">
        <f t="shared" si="185"/>
        <v>35.259149628499408</v>
      </c>
      <c r="IV92">
        <f t="shared" si="186"/>
        <v>0.46400000000000002</v>
      </c>
      <c r="IW92">
        <f t="shared" si="39"/>
        <v>111108.201</v>
      </c>
      <c r="IX92">
        <f t="shared" si="40"/>
        <v>5.1555661964507371E-3</v>
      </c>
      <c r="IY92">
        <f t="shared" si="266"/>
        <v>4.1670423085910652E-3</v>
      </c>
      <c r="IZ92">
        <f t="shared" si="188"/>
        <v>1.2324404187283486E-2</v>
      </c>
      <c r="JA92">
        <f t="shared" si="189"/>
        <v>14.34302699373894</v>
      </c>
      <c r="JB92">
        <f t="shared" si="261"/>
        <v>2.4119947113401523E-6</v>
      </c>
      <c r="JC92">
        <f t="shared" si="237"/>
        <v>2.5796513350797603E-2</v>
      </c>
      <c r="JD92">
        <f t="shared" si="190"/>
        <v>2866.2041904796038</v>
      </c>
      <c r="JE92">
        <f t="shared" si="238"/>
        <v>2.1058363804472898E-6</v>
      </c>
      <c r="JF92">
        <f t="shared" si="191"/>
        <v>3.3900664735964445E-4</v>
      </c>
      <c r="JG92">
        <f t="shared" si="192"/>
        <v>0.20047731719296652</v>
      </c>
      <c r="JI92">
        <f t="shared" si="193"/>
        <v>37.156843365232419</v>
      </c>
      <c r="JJ92">
        <f t="shared" si="194"/>
        <v>0.46400000000000002</v>
      </c>
      <c r="JK92">
        <f t="shared" si="41"/>
        <v>111108.201</v>
      </c>
      <c r="JL92">
        <f t="shared" si="42"/>
        <v>5.1555661964507371E-3</v>
      </c>
      <c r="JM92">
        <f t="shared" si="267"/>
        <v>4.1670423085910652E-3</v>
      </c>
      <c r="JN92">
        <f t="shared" si="196"/>
        <v>1.2324404187283486E-2</v>
      </c>
      <c r="JO92">
        <f t="shared" si="197"/>
        <v>14.34302699373894</v>
      </c>
      <c r="JP92">
        <f t="shared" si="262"/>
        <v>2.3541116142646902E-6</v>
      </c>
      <c r="JQ92">
        <f t="shared" si="239"/>
        <v>2.4797976878021086E-2</v>
      </c>
      <c r="JR92">
        <f t="shared" si="198"/>
        <v>2755.2585993565194</v>
      </c>
      <c r="JS92">
        <f t="shared" si="240"/>
        <v>2.064677591282292E-6</v>
      </c>
      <c r="JT92">
        <f t="shared" si="199"/>
        <v>3.2048795627061797E-4</v>
      </c>
      <c r="JU92">
        <f t="shared" si="200"/>
        <v>0.19566625854596761</v>
      </c>
    </row>
    <row r="93" spans="2:281">
      <c r="B93">
        <v>0.59</v>
      </c>
      <c r="C93">
        <f t="shared" si="43"/>
        <v>1.1196393046724784</v>
      </c>
      <c r="D93">
        <f t="shared" si="44"/>
        <v>0.47199999999999998</v>
      </c>
      <c r="E93">
        <f t="shared" si="268"/>
        <v>110923.773</v>
      </c>
      <c r="F93">
        <f t="shared" si="269"/>
        <v>5.1584219241727547E-3</v>
      </c>
      <c r="G93">
        <f t="shared" si="45"/>
        <v>4.1658887013603539E-3</v>
      </c>
      <c r="H93">
        <f t="shared" si="46"/>
        <v>1.2344895423327652E-2</v>
      </c>
      <c r="I93">
        <f t="shared" si="47"/>
        <v>14.358920931394007</v>
      </c>
      <c r="J93">
        <f t="shared" si="241"/>
        <v>4.0984021657558597E-6</v>
      </c>
      <c r="K93">
        <f t="shared" si="201"/>
        <v>5.9098361718180233E-2</v>
      </c>
      <c r="L93">
        <f t="shared" si="298"/>
        <v>6555.4132598993137</v>
      </c>
      <c r="M93">
        <f t="shared" si="202"/>
        <v>3.1847188512653785E-6</v>
      </c>
      <c r="N93">
        <f t="shared" si="203"/>
        <v>1.0125548721625598E-3</v>
      </c>
      <c r="O93">
        <f t="shared" si="49"/>
        <v>0.34064613288976109</v>
      </c>
      <c r="Q93">
        <f t="shared" si="50"/>
        <v>3.0173330414054926</v>
      </c>
      <c r="R93">
        <f t="shared" si="51"/>
        <v>0.47199999999999998</v>
      </c>
      <c r="S93">
        <f t="shared" si="270"/>
        <v>110923.773</v>
      </c>
      <c r="T93">
        <f t="shared" si="271"/>
        <v>5.1584219241727547E-3</v>
      </c>
      <c r="U93">
        <f t="shared" si="52"/>
        <v>4.1658887013603539E-3</v>
      </c>
      <c r="V93">
        <f t="shared" si="53"/>
        <v>1.2344895423327652E-2</v>
      </c>
      <c r="W93">
        <f t="shared" si="54"/>
        <v>14.358920931394007</v>
      </c>
      <c r="X93">
        <f t="shared" si="242"/>
        <v>3.9577454177478083E-6</v>
      </c>
      <c r="Y93">
        <f t="shared" si="204"/>
        <v>5.6116827719023051E-2</v>
      </c>
      <c r="Z93">
        <f t="shared" si="299"/>
        <v>6224.6902593850209</v>
      </c>
      <c r="AA93">
        <f t="shared" si="205"/>
        <v>3.1033441063645123E-6</v>
      </c>
      <c r="AB93">
        <f t="shared" si="56"/>
        <v>9.4685784111716925E-4</v>
      </c>
      <c r="AC93">
        <f t="shared" si="57"/>
        <v>0.32895519204600043</v>
      </c>
      <c r="AE93">
        <f t="shared" si="58"/>
        <v>4.9150267781385075</v>
      </c>
      <c r="AF93">
        <f t="shared" si="59"/>
        <v>0.47199999999999998</v>
      </c>
      <c r="AG93">
        <f t="shared" si="272"/>
        <v>110923.773</v>
      </c>
      <c r="AH93">
        <f t="shared" si="273"/>
        <v>5.1584219241727547E-3</v>
      </c>
      <c r="AI93">
        <f t="shared" si="60"/>
        <v>4.1658887013603539E-3</v>
      </c>
      <c r="AJ93">
        <f t="shared" si="61"/>
        <v>1.2344895423327652E-2</v>
      </c>
      <c r="AK93">
        <f t="shared" si="62"/>
        <v>14.358920931394007</v>
      </c>
      <c r="AL93">
        <f t="shared" si="243"/>
        <v>3.8247381469400364E-6</v>
      </c>
      <c r="AM93">
        <f t="shared" si="206"/>
        <v>5.3327879825824237E-2</v>
      </c>
      <c r="AN93">
        <f t="shared" si="300"/>
        <v>5915.3296363710069</v>
      </c>
      <c r="AO93">
        <f t="shared" si="207"/>
        <v>3.0252448932247729E-6</v>
      </c>
      <c r="AP93">
        <f t="shared" si="64"/>
        <v>8.8600806917649079E-4</v>
      </c>
      <c r="AQ93">
        <f t="shared" si="65"/>
        <v>0.3179000513803375</v>
      </c>
      <c r="AS93">
        <f t="shared" si="66"/>
        <v>6.812720514871522</v>
      </c>
      <c r="AT93">
        <f t="shared" si="67"/>
        <v>0.47199999999999998</v>
      </c>
      <c r="AU93">
        <f t="shared" si="274"/>
        <v>110923.773</v>
      </c>
      <c r="AV93">
        <f t="shared" si="275"/>
        <v>5.1584219241727547E-3</v>
      </c>
      <c r="AW93">
        <f t="shared" si="68"/>
        <v>4.1658887013603539E-3</v>
      </c>
      <c r="AX93">
        <f t="shared" si="69"/>
        <v>1.2344895423327652E-2</v>
      </c>
      <c r="AY93">
        <f t="shared" si="70"/>
        <v>14.358920931394007</v>
      </c>
      <c r="AZ93">
        <f t="shared" si="244"/>
        <v>3.6988591374919819E-6</v>
      </c>
      <c r="BA93">
        <f t="shared" si="208"/>
        <v>5.0716944851280935E-2</v>
      </c>
      <c r="BB93">
        <f t="shared" si="301"/>
        <v>5625.7148779370054</v>
      </c>
      <c r="BC93">
        <f t="shared" si="209"/>
        <v>2.9502574772727914E-6</v>
      </c>
      <c r="BD93">
        <f t="shared" si="72"/>
        <v>8.296093912874222E-4</v>
      </c>
      <c r="BE93">
        <f t="shared" si="73"/>
        <v>0.30743738909239554</v>
      </c>
      <c r="BG93">
        <f t="shared" si="74"/>
        <v>8.7104142516045364</v>
      </c>
      <c r="BH93">
        <f t="shared" si="75"/>
        <v>0.47199999999999998</v>
      </c>
      <c r="BI93">
        <f t="shared" si="276"/>
        <v>110923.773</v>
      </c>
      <c r="BJ93">
        <f t="shared" si="277"/>
        <v>5.1584219241727547E-3</v>
      </c>
      <c r="BK93">
        <f t="shared" si="76"/>
        <v>4.1658887013603539E-3</v>
      </c>
      <c r="BL93">
        <f t="shared" si="77"/>
        <v>1.2344895423327652E-2</v>
      </c>
      <c r="BM93">
        <f t="shared" si="78"/>
        <v>14.358920931394007</v>
      </c>
      <c r="BN93">
        <f t="shared" si="245"/>
        <v>3.5796280610842557E-6</v>
      </c>
      <c r="BO93">
        <f t="shared" si="210"/>
        <v>4.8270680560357604E-2</v>
      </c>
      <c r="BP93">
        <f t="shared" si="302"/>
        <v>5354.3660130326198</v>
      </c>
      <c r="BQ93">
        <f t="shared" si="211"/>
        <v>2.8782273031881022E-6</v>
      </c>
      <c r="BR93">
        <f t="shared" si="80"/>
        <v>7.7730078188229977E-4</v>
      </c>
      <c r="BS93">
        <f t="shared" si="81"/>
        <v>0.29752728182231386</v>
      </c>
      <c r="BU93">
        <f t="shared" si="82"/>
        <v>10.608107988337551</v>
      </c>
      <c r="BV93">
        <f t="shared" si="83"/>
        <v>0.47199999999999998</v>
      </c>
      <c r="BW93">
        <f t="shared" si="278"/>
        <v>110923.773</v>
      </c>
      <c r="BX93">
        <f t="shared" si="279"/>
        <v>5.1584219241727547E-3</v>
      </c>
      <c r="BY93">
        <f t="shared" si="84"/>
        <v>4.1658887013603539E-3</v>
      </c>
      <c r="BZ93">
        <f t="shared" si="85"/>
        <v>1.2344895423327652E-2</v>
      </c>
      <c r="CA93">
        <f t="shared" si="86"/>
        <v>14.358920931394007</v>
      </c>
      <c r="CB93">
        <f t="shared" si="246"/>
        <v>3.4666019386872482E-6</v>
      </c>
      <c r="CC93">
        <f t="shared" si="247"/>
        <v>4.5976863106758893E-2</v>
      </c>
      <c r="CD93">
        <f t="shared" si="303"/>
        <v>5099.927126506198</v>
      </c>
      <c r="CE93">
        <f t="shared" si="248"/>
        <v>2.8090084536788806E-6</v>
      </c>
      <c r="CF93">
        <f t="shared" si="212"/>
        <v>7.2875303355943763E-4</v>
      </c>
      <c r="CG93">
        <f t="shared" si="88"/>
        <v>0.28813291056422519</v>
      </c>
      <c r="CI93">
        <f t="shared" si="89"/>
        <v>12.505801725070565</v>
      </c>
      <c r="CJ93">
        <f t="shared" si="90"/>
        <v>0.47199999999999998</v>
      </c>
      <c r="CK93">
        <f t="shared" si="280"/>
        <v>110923.773</v>
      </c>
      <c r="CL93">
        <f t="shared" si="281"/>
        <v>5.1584219241727547E-3</v>
      </c>
      <c r="CM93">
        <f t="shared" si="91"/>
        <v>4.1658887013603539E-3</v>
      </c>
      <c r="CN93">
        <f t="shared" si="92"/>
        <v>1.2344895423327652E-2</v>
      </c>
      <c r="CO93">
        <f t="shared" si="93"/>
        <v>14.358920931394007</v>
      </c>
      <c r="CP93">
        <f t="shared" si="249"/>
        <v>3.3593719312456572E-6</v>
      </c>
      <c r="CQ93">
        <f t="shared" si="213"/>
        <v>4.382428537684617E-2</v>
      </c>
      <c r="CR93">
        <f t="shared" si="304"/>
        <v>4861.1550830285041</v>
      </c>
      <c r="CS93">
        <f t="shared" si="214"/>
        <v>2.7424631400414526E-6</v>
      </c>
      <c r="CT93">
        <f t="shared" si="95"/>
        <v>6.8366576504910043E-4</v>
      </c>
      <c r="CU93">
        <f t="shared" si="96"/>
        <v>0.27922029391817632</v>
      </c>
      <c r="CW93">
        <f t="shared" si="97"/>
        <v>14.40349546180358</v>
      </c>
      <c r="CX93">
        <f t="shared" si="98"/>
        <v>0.47199999999999998</v>
      </c>
      <c r="CY93">
        <f t="shared" si="282"/>
        <v>110923.773</v>
      </c>
      <c r="CZ93">
        <f t="shared" si="283"/>
        <v>5.1584219241727547E-3</v>
      </c>
      <c r="DA93">
        <f t="shared" si="99"/>
        <v>4.1658887013603539E-3</v>
      </c>
      <c r="DB93">
        <f t="shared" si="100"/>
        <v>1.2344895423327652E-2</v>
      </c>
      <c r="DC93">
        <f t="shared" si="101"/>
        <v>14.358920931394007</v>
      </c>
      <c r="DD93">
        <f t="shared" si="250"/>
        <v>3.2575604270472628E-6</v>
      </c>
      <c r="DE93">
        <f t="shared" si="215"/>
        <v>4.180266513911348E-2</v>
      </c>
      <c r="DF93">
        <f t="shared" si="305"/>
        <v>4636.9093386860368</v>
      </c>
      <c r="DG93">
        <f t="shared" si="216"/>
        <v>2.6784612227597276E-6</v>
      </c>
      <c r="DH93">
        <f t="shared" si="103"/>
        <v>6.417647246779334E-4</v>
      </c>
      <c r="DI93">
        <f t="shared" si="104"/>
        <v>0.27075804600149916</v>
      </c>
      <c r="DK93">
        <f t="shared" si="105"/>
        <v>16.301189198536594</v>
      </c>
      <c r="DL93">
        <f t="shared" si="106"/>
        <v>0.47199999999999998</v>
      </c>
      <c r="DM93">
        <f t="shared" si="284"/>
        <v>110923.773</v>
      </c>
      <c r="DN93">
        <f t="shared" si="285"/>
        <v>5.1584219241727547E-3</v>
      </c>
      <c r="DO93">
        <f t="shared" si="107"/>
        <v>4.1658887013603539E-3</v>
      </c>
      <c r="DP93">
        <f t="shared" si="108"/>
        <v>1.2344895423327652E-2</v>
      </c>
      <c r="DQ93">
        <f t="shared" si="109"/>
        <v>14.358920931394007</v>
      </c>
      <c r="DR93">
        <f t="shared" si="251"/>
        <v>3.1608183968249839E-6</v>
      </c>
      <c r="DS93">
        <f t="shared" si="217"/>
        <v>3.9902562011853986E-2</v>
      </c>
      <c r="DT93">
        <f t="shared" si="306"/>
        <v>4426.1427307213153</v>
      </c>
      <c r="DU93">
        <f t="shared" si="218"/>
        <v>2.616879760481311E-6</v>
      </c>
      <c r="DV93">
        <f t="shared" si="111"/>
        <v>6.0279935909126508E-4</v>
      </c>
      <c r="DW93">
        <f t="shared" si="112"/>
        <v>0.26271715661331829</v>
      </c>
      <c r="DY93">
        <f t="shared" si="113"/>
        <v>18.198882935269609</v>
      </c>
      <c r="DZ93">
        <f t="shared" si="114"/>
        <v>0.47199999999999998</v>
      </c>
      <c r="EA93">
        <f t="shared" si="286"/>
        <v>110923.773</v>
      </c>
      <c r="EB93">
        <f t="shared" si="287"/>
        <v>5.1584219241727547E-3</v>
      </c>
      <c r="EC93">
        <f t="shared" si="115"/>
        <v>4.1658887013603539E-3</v>
      </c>
      <c r="ED93">
        <f t="shared" si="116"/>
        <v>1.2344895423327652E-2</v>
      </c>
      <c r="EE93">
        <f t="shared" si="117"/>
        <v>14.358920931394007</v>
      </c>
      <c r="EF93">
        <f t="shared" si="252"/>
        <v>3.0688229905793247E-6</v>
      </c>
      <c r="EG93">
        <f t="shared" si="219"/>
        <v>3.8115302364055345E-2</v>
      </c>
      <c r="EH93">
        <f t="shared" si="307"/>
        <v>4227.8931472568383</v>
      </c>
      <c r="EI93">
        <f t="shared" si="220"/>
        <v>2.557602585785066E-6</v>
      </c>
      <c r="EJ93">
        <f t="shared" si="119"/>
        <v>5.6654062016225589E-4</v>
      </c>
      <c r="EK93">
        <f t="shared" si="120"/>
        <v>0.25507079149008821</v>
      </c>
      <c r="EM93">
        <f t="shared" si="121"/>
        <v>20.096576672002623</v>
      </c>
      <c r="EN93">
        <f t="shared" si="122"/>
        <v>0.47199999999999998</v>
      </c>
      <c r="EO93">
        <f t="shared" si="288"/>
        <v>110923.773</v>
      </c>
      <c r="EP93">
        <f t="shared" si="289"/>
        <v>5.1584219241727547E-3</v>
      </c>
      <c r="EQ93">
        <f t="shared" si="123"/>
        <v>4.1658887013603539E-3</v>
      </c>
      <c r="ER93">
        <f t="shared" si="124"/>
        <v>1.2344895423327652E-2</v>
      </c>
      <c r="ES93">
        <f t="shared" si="125"/>
        <v>14.358920931394007</v>
      </c>
      <c r="ET93">
        <f t="shared" si="253"/>
        <v>2.9812753527400757E-6</v>
      </c>
      <c r="EU93">
        <f t="shared" si="221"/>
        <v>3.6432911356157907E-2</v>
      </c>
      <c r="EV93">
        <f t="shared" si="308"/>
        <v>4041.2759889995818</v>
      </c>
      <c r="EW93">
        <f t="shared" si="222"/>
        <v>2.5005199062305556E-6</v>
      </c>
      <c r="EX93">
        <f t="shared" si="127"/>
        <v>5.3277898584955805E-4</v>
      </c>
      <c r="EY93">
        <f t="shared" si="128"/>
        <v>0.24779411070879317</v>
      </c>
      <c r="FA93">
        <f t="shared" si="129"/>
        <v>21.994270408735638</v>
      </c>
      <c r="FB93">
        <f t="shared" si="130"/>
        <v>0.47199999999999998</v>
      </c>
      <c r="FC93">
        <f t="shared" si="290"/>
        <v>110923.773</v>
      </c>
      <c r="FD93">
        <f t="shared" si="291"/>
        <v>5.1584219241727547E-3</v>
      </c>
      <c r="FE93">
        <f t="shared" si="131"/>
        <v>4.1658887013603539E-3</v>
      </c>
      <c r="FF93">
        <f t="shared" si="132"/>
        <v>1.2344895423327652E-2</v>
      </c>
      <c r="FG93">
        <f t="shared" si="133"/>
        <v>14.358920931394007</v>
      </c>
      <c r="FH93">
        <f t="shared" si="254"/>
        <v>2.8978986346441361E-6</v>
      </c>
      <c r="FI93">
        <f t="shared" si="223"/>
        <v>3.4848051409236531E-2</v>
      </c>
      <c r="FJ93">
        <f t="shared" si="309"/>
        <v>3865.4773440104832</v>
      </c>
      <c r="FK93">
        <f t="shared" si="224"/>
        <v>2.4455279292529352E-6</v>
      </c>
      <c r="FL93">
        <f t="shared" si="135"/>
        <v>5.0132267329726582E-4</v>
      </c>
      <c r="FM93">
        <f t="shared" si="136"/>
        <v>0.24086410349043533</v>
      </c>
      <c r="FO93">
        <f t="shared" si="137"/>
        <v>23.891964145468652</v>
      </c>
      <c r="FP93">
        <f t="shared" si="138"/>
        <v>0.47199999999999998</v>
      </c>
      <c r="FQ93">
        <f t="shared" si="292"/>
        <v>110923.773</v>
      </c>
      <c r="FR93">
        <f t="shared" si="293"/>
        <v>5.1584219241727547E-3</v>
      </c>
      <c r="FS93">
        <f t="shared" si="139"/>
        <v>4.1658887013603539E-3</v>
      </c>
      <c r="FT93">
        <f t="shared" si="140"/>
        <v>1.2344895423327652E-2</v>
      </c>
      <c r="FU93">
        <f t="shared" si="141"/>
        <v>14.358920931394007</v>
      </c>
      <c r="FV93">
        <f t="shared" si="255"/>
        <v>2.8184361854194713E-6</v>
      </c>
      <c r="FW93">
        <f t="shared" si="225"/>
        <v>3.335396646446346E-2</v>
      </c>
      <c r="FX93">
        <f t="shared" si="310"/>
        <v>3699.7478047537575</v>
      </c>
      <c r="FY93">
        <f t="shared" si="226"/>
        <v>2.3925285095377028E-6</v>
      </c>
      <c r="FZ93">
        <f t="shared" si="143"/>
        <v>4.7199602473424604E-4</v>
      </c>
      <c r="GA93">
        <f t="shared" si="144"/>
        <v>0.23425943783207165</v>
      </c>
      <c r="GC93">
        <f t="shared" si="145"/>
        <v>25.789657882201666</v>
      </c>
      <c r="GD93">
        <f t="shared" si="146"/>
        <v>0.47199999999999998</v>
      </c>
      <c r="GE93">
        <f t="shared" si="294"/>
        <v>110923.773</v>
      </c>
      <c r="GF93">
        <f t="shared" si="295"/>
        <v>5.1584219241727547E-3</v>
      </c>
      <c r="GG93">
        <f t="shared" si="147"/>
        <v>4.1658887013603539E-3</v>
      </c>
      <c r="GH93">
        <f t="shared" si="148"/>
        <v>1.2344895423327652E-2</v>
      </c>
      <c r="GI93">
        <f t="shared" si="149"/>
        <v>14.358920931394007</v>
      </c>
      <c r="GJ93">
        <f t="shared" si="256"/>
        <v>2.7426499042593411E-6</v>
      </c>
      <c r="GK93">
        <f t="shared" si="227"/>
        <v>3.1944431460285194E-2</v>
      </c>
      <c r="GL93">
        <f t="shared" si="311"/>
        <v>3543.3968639147333</v>
      </c>
      <c r="GM93">
        <f t="shared" si="228"/>
        <v>2.3414288175780733E-6</v>
      </c>
      <c r="GN93">
        <f t="shared" si="151"/>
        <v>4.4463804875327721E-4</v>
      </c>
      <c r="GO93">
        <f t="shared" si="152"/>
        <v>0.2279603235530967</v>
      </c>
      <c r="GQ93">
        <f t="shared" si="153"/>
        <v>27.687351618934681</v>
      </c>
      <c r="GR93">
        <f t="shared" si="154"/>
        <v>0.47199999999999998</v>
      </c>
      <c r="GS93">
        <f t="shared" si="296"/>
        <v>110923.773</v>
      </c>
      <c r="GT93">
        <f t="shared" si="297"/>
        <v>5.1584219241727547E-3</v>
      </c>
      <c r="GU93">
        <f t="shared" si="155"/>
        <v>4.1658887013603539E-3</v>
      </c>
      <c r="GV93">
        <f t="shared" si="156"/>
        <v>1.2344895423327652E-2</v>
      </c>
      <c r="GW93">
        <f t="shared" si="157"/>
        <v>14.358920931394007</v>
      </c>
      <c r="GX93">
        <f t="shared" si="257"/>
        <v>2.6703187387693588E-6</v>
      </c>
      <c r="GY93">
        <f t="shared" si="229"/>
        <v>3.0613706513431666E-2</v>
      </c>
      <c r="GZ93">
        <f t="shared" si="312"/>
        <v>3395.7878319845158</v>
      </c>
      <c r="HA93">
        <f t="shared" si="230"/>
        <v>2.2921410281837649E-6</v>
      </c>
      <c r="HB93">
        <f t="shared" si="159"/>
        <v>4.1910110135946337E-4</v>
      </c>
      <c r="HC93">
        <f t="shared" si="160"/>
        <v>0.2219483874826336</v>
      </c>
      <c r="HE93">
        <f t="shared" si="161"/>
        <v>29.585045355667695</v>
      </c>
      <c r="HF93">
        <f t="shared" si="162"/>
        <v>0.47199999999999998</v>
      </c>
      <c r="HG93">
        <f t="shared" si="33"/>
        <v>110923.773</v>
      </c>
      <c r="HH93">
        <f t="shared" si="34"/>
        <v>5.1584219241727547E-3</v>
      </c>
      <c r="HI93">
        <f t="shared" si="263"/>
        <v>4.1658887013603539E-3</v>
      </c>
      <c r="HJ93">
        <f t="shared" si="164"/>
        <v>1.2344895423327652E-2</v>
      </c>
      <c r="HK93">
        <f t="shared" si="165"/>
        <v>14.358920931394007</v>
      </c>
      <c r="HL93">
        <f t="shared" si="258"/>
        <v>2.6012373155930782E-6</v>
      </c>
      <c r="HM93">
        <f t="shared" si="231"/>
        <v>2.935649534239769E-2</v>
      </c>
      <c r="HN93">
        <f t="shared" si="166"/>
        <v>3256.3332254356787</v>
      </c>
      <c r="HO93">
        <f t="shared" si="232"/>
        <v>2.2445820277736098E-6</v>
      </c>
      <c r="HP93">
        <f t="shared" si="167"/>
        <v>3.9524969279484972E-4</v>
      </c>
      <c r="HQ93">
        <f t="shared" si="168"/>
        <v>0.21620655964149466</v>
      </c>
      <c r="HS93">
        <f t="shared" si="169"/>
        <v>31.48273909240071</v>
      </c>
      <c r="HT93">
        <f t="shared" si="170"/>
        <v>0.47199999999999998</v>
      </c>
      <c r="HU93">
        <f t="shared" si="35"/>
        <v>110923.773</v>
      </c>
      <c r="HV93">
        <f t="shared" si="36"/>
        <v>5.1584219241727547E-3</v>
      </c>
      <c r="HW93">
        <f t="shared" si="264"/>
        <v>4.1658887013603539E-3</v>
      </c>
      <c r="HX93">
        <f t="shared" si="172"/>
        <v>1.2344895423327652E-2</v>
      </c>
      <c r="HY93">
        <f t="shared" si="173"/>
        <v>14.358920931394007</v>
      </c>
      <c r="HZ93">
        <f t="shared" si="259"/>
        <v>2.5352146908883203E-6</v>
      </c>
      <c r="IA93">
        <f t="shared" si="233"/>
        <v>2.8167907519054142E-2</v>
      </c>
      <c r="IB93">
        <f t="shared" si="174"/>
        <v>3124.4905795285549</v>
      </c>
      <c r="IC93">
        <f t="shared" si="234"/>
        <v>2.1986731393456202E-6</v>
      </c>
      <c r="ID93">
        <f t="shared" si="175"/>
        <v>3.7295940759270407E-4</v>
      </c>
      <c r="IE93">
        <f t="shared" si="176"/>
        <v>0.21071896938575413</v>
      </c>
      <c r="IG93">
        <f t="shared" si="177"/>
        <v>33.380432829133724</v>
      </c>
      <c r="IH93">
        <f t="shared" si="178"/>
        <v>0.47199999999999998</v>
      </c>
      <c r="II93">
        <f t="shared" si="37"/>
        <v>110923.773</v>
      </c>
      <c r="IJ93">
        <f t="shared" si="38"/>
        <v>5.1584219241727547E-3</v>
      </c>
      <c r="IK93">
        <f t="shared" si="265"/>
        <v>4.1658887013603539E-3</v>
      </c>
      <c r="IL93">
        <f t="shared" si="180"/>
        <v>1.2344895423327652E-2</v>
      </c>
      <c r="IM93">
        <f t="shared" si="181"/>
        <v>14.358920931394007</v>
      </c>
      <c r="IN93">
        <f t="shared" si="260"/>
        <v>2.472073209452738E-6</v>
      </c>
      <c r="IO93">
        <f t="shared" si="235"/>
        <v>2.7043424176144203E-2</v>
      </c>
      <c r="IP93">
        <f t="shared" si="182"/>
        <v>2999.7586444573317</v>
      </c>
      <c r="IQ93">
        <f t="shared" si="236"/>
        <v>2.1543398640770199E-6</v>
      </c>
      <c r="IR93">
        <f t="shared" si="183"/>
        <v>3.5211592660866568E-4</v>
      </c>
      <c r="IS93">
        <f t="shared" si="184"/>
        <v>0.20547085058089912</v>
      </c>
      <c r="IU93">
        <f t="shared" si="185"/>
        <v>35.278126565866735</v>
      </c>
      <c r="IV93">
        <f t="shared" si="186"/>
        <v>0.47199999999999998</v>
      </c>
      <c r="IW93">
        <f t="shared" si="39"/>
        <v>110923.773</v>
      </c>
      <c r="IX93">
        <f t="shared" si="40"/>
        <v>5.1584219241727547E-3</v>
      </c>
      <c r="IY93">
        <f t="shared" si="266"/>
        <v>4.1658887013603539E-3</v>
      </c>
      <c r="IZ93">
        <f t="shared" si="188"/>
        <v>1.2344895423327652E-2</v>
      </c>
      <c r="JA93">
        <f t="shared" si="189"/>
        <v>14.358920931394007</v>
      </c>
      <c r="JB93">
        <f t="shared" si="261"/>
        <v>2.4116474623979381E-6</v>
      </c>
      <c r="JC93">
        <f t="shared" si="237"/>
        <v>2.5978866836120648E-2</v>
      </c>
      <c r="JD93">
        <f t="shared" si="190"/>
        <v>2881.6739277270749</v>
      </c>
      <c r="JE93">
        <f t="shared" si="238"/>
        <v>2.1115116385632728E-6</v>
      </c>
      <c r="JF93">
        <f t="shared" si="191"/>
        <v>3.3261414093326995E-4</v>
      </c>
      <c r="JG93">
        <f t="shared" si="192"/>
        <v>0.20044845496702304</v>
      </c>
      <c r="JI93">
        <f t="shared" si="193"/>
        <v>37.175820302599753</v>
      </c>
      <c r="JJ93">
        <f t="shared" si="194"/>
        <v>0.47199999999999998</v>
      </c>
      <c r="JK93">
        <f t="shared" si="41"/>
        <v>110923.773</v>
      </c>
      <c r="JL93">
        <f t="shared" si="42"/>
        <v>5.1584219241727547E-3</v>
      </c>
      <c r="JM93">
        <f t="shared" si="267"/>
        <v>4.1658887013603539E-3</v>
      </c>
      <c r="JN93">
        <f t="shared" si="196"/>
        <v>1.2344895423327652E-2</v>
      </c>
      <c r="JO93">
        <f t="shared" si="197"/>
        <v>14.358920931394007</v>
      </c>
      <c r="JP93">
        <f t="shared" si="262"/>
        <v>2.3537833342599346E-6</v>
      </c>
      <c r="JQ93">
        <f t="shared" si="239"/>
        <v>2.4970369060549676E-2</v>
      </c>
      <c r="JR93">
        <f t="shared" si="198"/>
        <v>2769.8075493986353</v>
      </c>
      <c r="JS93">
        <f t="shared" si="240"/>
        <v>2.0701216067592491E-6</v>
      </c>
      <c r="JT93">
        <f t="shared" si="199"/>
        <v>3.1435734862580745E-4</v>
      </c>
      <c r="JU93">
        <f t="shared" si="200"/>
        <v>0.19563897295768168</v>
      </c>
    </row>
    <row r="94" spans="2:281">
      <c r="B94">
        <v>0.6</v>
      </c>
      <c r="C94">
        <f t="shared" si="43"/>
        <v>1.1386162420398087</v>
      </c>
      <c r="D94">
        <f t="shared" si="44"/>
        <v>0.48000000000000004</v>
      </c>
      <c r="E94">
        <f t="shared" si="268"/>
        <v>110739.345</v>
      </c>
      <c r="F94">
        <f t="shared" si="269"/>
        <v>5.1612839897099208E-3</v>
      </c>
      <c r="G94">
        <f t="shared" si="45"/>
        <v>4.1647334946447855E-3</v>
      </c>
      <c r="H94">
        <f t="shared" si="46"/>
        <v>1.2365454912578139E-2</v>
      </c>
      <c r="I94">
        <f t="shared" si="47"/>
        <v>14.374858973733529</v>
      </c>
      <c r="J94">
        <f t="shared" si="241"/>
        <v>4.0973649925587233E-6</v>
      </c>
      <c r="K94">
        <f t="shared" si="201"/>
        <v>5.96430203892057E-2</v>
      </c>
      <c r="L94">
        <f t="shared" si="298"/>
        <v>6604.8290117222841</v>
      </c>
      <c r="M94">
        <f t="shared" si="202"/>
        <v>3.196699774721842E-6</v>
      </c>
      <c r="N94">
        <f t="shared" si="203"/>
        <v>9.9895886800816002E-4</v>
      </c>
      <c r="O94">
        <f t="shared" si="49"/>
        <v>0.34055992635744625</v>
      </c>
      <c r="Q94">
        <f t="shared" si="50"/>
        <v>3.0363099787728234</v>
      </c>
      <c r="R94">
        <f t="shared" si="51"/>
        <v>0.48000000000000004</v>
      </c>
      <c r="S94">
        <f t="shared" si="270"/>
        <v>110739.345</v>
      </c>
      <c r="T94">
        <f t="shared" si="271"/>
        <v>5.1612839897099208E-3</v>
      </c>
      <c r="U94">
        <f t="shared" si="52"/>
        <v>4.1647334946447855E-3</v>
      </c>
      <c r="V94">
        <f t="shared" si="53"/>
        <v>1.2365454912578139E-2</v>
      </c>
      <c r="W94">
        <f t="shared" si="54"/>
        <v>14.374858973733529</v>
      </c>
      <c r="X94">
        <f t="shared" si="242"/>
        <v>3.9567755388787179E-6</v>
      </c>
      <c r="Y94">
        <f t="shared" si="204"/>
        <v>5.6626147606340861E-2</v>
      </c>
      <c r="Z94">
        <f t="shared" si="299"/>
        <v>6270.7424957995045</v>
      </c>
      <c r="AA94">
        <f t="shared" si="205"/>
        <v>3.1148027147013874E-6</v>
      </c>
      <c r="AB94">
        <f t="shared" si="56"/>
        <v>9.3386110918535512E-4</v>
      </c>
      <c r="AC94">
        <f t="shared" si="57"/>
        <v>0.32887457880387216</v>
      </c>
      <c r="AE94">
        <f t="shared" si="58"/>
        <v>4.9340037155058374</v>
      </c>
      <c r="AF94">
        <f t="shared" si="59"/>
        <v>0.48000000000000004</v>
      </c>
      <c r="AG94">
        <f t="shared" si="272"/>
        <v>110739.345</v>
      </c>
      <c r="AH94">
        <f t="shared" si="273"/>
        <v>5.1612839897099208E-3</v>
      </c>
      <c r="AI94">
        <f t="shared" si="60"/>
        <v>4.1647334946447855E-3</v>
      </c>
      <c r="AJ94">
        <f t="shared" si="61"/>
        <v>1.2365454912578139E-2</v>
      </c>
      <c r="AK94">
        <f t="shared" si="62"/>
        <v>14.374858973733529</v>
      </c>
      <c r="AL94">
        <f t="shared" si="243"/>
        <v>3.8238305972881009E-6</v>
      </c>
      <c r="AM94">
        <f t="shared" si="206"/>
        <v>5.3804468295982746E-2</v>
      </c>
      <c r="AN94">
        <f t="shared" si="300"/>
        <v>5958.2715771703952</v>
      </c>
      <c r="AO94">
        <f t="shared" si="207"/>
        <v>3.0362058183928225E-6</v>
      </c>
      <c r="AP94">
        <f t="shared" si="64"/>
        <v>8.7358181703748455E-4</v>
      </c>
      <c r="AQ94">
        <f t="shared" si="65"/>
        <v>0.31782461874419449</v>
      </c>
      <c r="AS94">
        <f t="shared" si="66"/>
        <v>6.8316974522388518</v>
      </c>
      <c r="AT94">
        <f t="shared" si="67"/>
        <v>0.48000000000000004</v>
      </c>
      <c r="AU94">
        <f t="shared" si="274"/>
        <v>110739.345</v>
      </c>
      <c r="AV94">
        <f t="shared" si="275"/>
        <v>5.1612839897099208E-3</v>
      </c>
      <c r="AW94">
        <f t="shared" si="68"/>
        <v>4.1647334946447855E-3</v>
      </c>
      <c r="AX94">
        <f t="shared" si="69"/>
        <v>1.2365454912578139E-2</v>
      </c>
      <c r="AY94">
        <f t="shared" si="70"/>
        <v>14.374858973733529</v>
      </c>
      <c r="AZ94">
        <f t="shared" si="244"/>
        <v>3.6980093577433565E-6</v>
      </c>
      <c r="BA94">
        <f t="shared" si="208"/>
        <v>5.1163196171531658E-2</v>
      </c>
      <c r="BB94">
        <f t="shared" si="301"/>
        <v>5665.7788321419239</v>
      </c>
      <c r="BC94">
        <f t="shared" si="209"/>
        <v>2.9607440810460401E-6</v>
      </c>
      <c r="BD94">
        <f t="shared" si="72"/>
        <v>8.1772635563757327E-4</v>
      </c>
      <c r="BE94">
        <f t="shared" si="73"/>
        <v>0.30736675810659431</v>
      </c>
      <c r="BG94">
        <f t="shared" si="74"/>
        <v>8.7293911889718654</v>
      </c>
      <c r="BH94">
        <f t="shared" si="75"/>
        <v>0.48000000000000004</v>
      </c>
      <c r="BI94">
        <f t="shared" si="276"/>
        <v>110739.345</v>
      </c>
      <c r="BJ94">
        <f t="shared" si="277"/>
        <v>5.1612839897099208E-3</v>
      </c>
      <c r="BK94">
        <f t="shared" si="76"/>
        <v>4.1647334946447855E-3</v>
      </c>
      <c r="BL94">
        <f t="shared" si="77"/>
        <v>1.2365454912578139E-2</v>
      </c>
      <c r="BM94">
        <f t="shared" si="78"/>
        <v>14.374858973733529</v>
      </c>
      <c r="BN94">
        <f t="shared" si="245"/>
        <v>3.5788318617283041E-6</v>
      </c>
      <c r="BO94">
        <f t="shared" si="210"/>
        <v>4.8688794800371915E-2</v>
      </c>
      <c r="BP94">
        <f t="shared" si="302"/>
        <v>5391.7652450325913</v>
      </c>
      <c r="BQ94">
        <f t="shared" si="211"/>
        <v>2.8882617476638004E-6</v>
      </c>
      <c r="BR94">
        <f t="shared" si="80"/>
        <v>7.6593513967703906E-4</v>
      </c>
      <c r="BS94">
        <f t="shared" si="81"/>
        <v>0.2974611042680757</v>
      </c>
      <c r="BU94">
        <f t="shared" si="82"/>
        <v>10.62708492570488</v>
      </c>
      <c r="BV94">
        <f t="shared" si="83"/>
        <v>0.48000000000000004</v>
      </c>
      <c r="BW94">
        <f t="shared" si="278"/>
        <v>110739.345</v>
      </c>
      <c r="BX94">
        <f t="shared" si="279"/>
        <v>5.1612839897099208E-3</v>
      </c>
      <c r="BY94">
        <f t="shared" si="84"/>
        <v>4.1647334946447855E-3</v>
      </c>
      <c r="BZ94">
        <f t="shared" si="85"/>
        <v>1.2365454912578139E-2</v>
      </c>
      <c r="CA94">
        <f t="shared" si="86"/>
        <v>14.374858973733529</v>
      </c>
      <c r="CB94">
        <f t="shared" si="246"/>
        <v>3.465855467424782E-6</v>
      </c>
      <c r="CC94">
        <f t="shared" si="247"/>
        <v>4.6368863253789451E-2</v>
      </c>
      <c r="CD94">
        <f t="shared" si="303"/>
        <v>5134.8575451192128</v>
      </c>
      <c r="CE94">
        <f t="shared" si="248"/>
        <v>2.8186117677135088E-6</v>
      </c>
      <c r="CF94">
        <f t="shared" si="212"/>
        <v>7.1788031866251842E-4</v>
      </c>
      <c r="CG94">
        <f t="shared" si="88"/>
        <v>0.28807086625071265</v>
      </c>
      <c r="CI94">
        <f t="shared" si="89"/>
        <v>12.524778662437894</v>
      </c>
      <c r="CJ94">
        <f t="shared" si="90"/>
        <v>0.48000000000000004</v>
      </c>
      <c r="CK94">
        <f t="shared" si="280"/>
        <v>110739.345</v>
      </c>
      <c r="CL94">
        <f t="shared" si="281"/>
        <v>5.1612839897099208E-3</v>
      </c>
      <c r="CM94">
        <f t="shared" si="91"/>
        <v>4.1647334946447855E-3</v>
      </c>
      <c r="CN94">
        <f t="shared" si="92"/>
        <v>1.2365454912578139E-2</v>
      </c>
      <c r="CO94">
        <f t="shared" si="93"/>
        <v>14.374858973733529</v>
      </c>
      <c r="CP94">
        <f t="shared" si="249"/>
        <v>3.35867164346195E-6</v>
      </c>
      <c r="CQ94">
        <f t="shared" si="213"/>
        <v>4.4192032841457098E-2</v>
      </c>
      <c r="CR94">
        <f t="shared" si="304"/>
        <v>4893.7967710814482</v>
      </c>
      <c r="CS94">
        <f t="shared" si="214"/>
        <v>2.7516552818551972E-6</v>
      </c>
      <c r="CT94">
        <f t="shared" si="95"/>
        <v>6.7326279004030043E-4</v>
      </c>
      <c r="CU94">
        <f t="shared" si="96"/>
        <v>0.27916208822830457</v>
      </c>
      <c r="CW94">
        <f t="shared" si="97"/>
        <v>14.422472399170909</v>
      </c>
      <c r="CX94">
        <f t="shared" si="98"/>
        <v>0.48000000000000004</v>
      </c>
      <c r="CY94">
        <f t="shared" si="282"/>
        <v>110739.345</v>
      </c>
      <c r="CZ94">
        <f t="shared" si="283"/>
        <v>5.1612839897099208E-3</v>
      </c>
      <c r="DA94">
        <f t="shared" si="99"/>
        <v>4.1647334946447855E-3</v>
      </c>
      <c r="DB94">
        <f t="shared" si="100"/>
        <v>1.2365454912578139E-2</v>
      </c>
      <c r="DC94">
        <f t="shared" si="101"/>
        <v>14.374858973733529</v>
      </c>
      <c r="DD94">
        <f t="shared" si="250"/>
        <v>3.2569030590471644E-6</v>
      </c>
      <c r="DE94">
        <f t="shared" si="215"/>
        <v>4.2147873810429781E-2</v>
      </c>
      <c r="DF94">
        <f t="shared" si="305"/>
        <v>4667.4279389096482</v>
      </c>
      <c r="DG94">
        <f t="shared" si="216"/>
        <v>2.687261138929384E-6</v>
      </c>
      <c r="DH94">
        <f t="shared" si="103"/>
        <v>6.3180950748551335E-4</v>
      </c>
      <c r="DI94">
        <f t="shared" si="104"/>
        <v>0.27070340766732343</v>
      </c>
      <c r="DK94">
        <f t="shared" si="105"/>
        <v>16.320166135903925</v>
      </c>
      <c r="DL94">
        <f t="shared" si="106"/>
        <v>0.48000000000000004</v>
      </c>
      <c r="DM94">
        <f t="shared" si="284"/>
        <v>110739.345</v>
      </c>
      <c r="DN94">
        <f t="shared" si="285"/>
        <v>5.1612839897099208E-3</v>
      </c>
      <c r="DO94">
        <f t="shared" si="107"/>
        <v>4.1647334946447855E-3</v>
      </c>
      <c r="DP94">
        <f t="shared" si="108"/>
        <v>1.2365454912578139E-2</v>
      </c>
      <c r="DQ94">
        <f t="shared" si="109"/>
        <v>14.374858973733529</v>
      </c>
      <c r="DR94">
        <f t="shared" si="251"/>
        <v>3.1602009415584215E-6</v>
      </c>
      <c r="DS94">
        <f t="shared" si="217"/>
        <v>4.0226811005013685E-2</v>
      </c>
      <c r="DT94">
        <f t="shared" si="306"/>
        <v>4454.6907021340076</v>
      </c>
      <c r="DU94">
        <f t="shared" si="218"/>
        <v>2.6253054415296262E-6</v>
      </c>
      <c r="DV94">
        <f t="shared" si="111"/>
        <v>5.9327105413789559E-4</v>
      </c>
      <c r="DW94">
        <f t="shared" si="112"/>
        <v>0.26266583569841534</v>
      </c>
      <c r="DY94">
        <f t="shared" si="113"/>
        <v>18.217859872636939</v>
      </c>
      <c r="DZ94">
        <f t="shared" si="114"/>
        <v>0.48000000000000004</v>
      </c>
      <c r="EA94">
        <f t="shared" si="286"/>
        <v>110739.345</v>
      </c>
      <c r="EB94">
        <f t="shared" si="287"/>
        <v>5.1612839897099208E-3</v>
      </c>
      <c r="EC94">
        <f t="shared" si="115"/>
        <v>4.1647334946447855E-3</v>
      </c>
      <c r="ED94">
        <f t="shared" si="116"/>
        <v>1.2365454912578139E-2</v>
      </c>
      <c r="EE94">
        <f t="shared" si="117"/>
        <v>14.374858973733529</v>
      </c>
      <c r="EF94">
        <f t="shared" si="252"/>
        <v>3.0682426756132171E-6</v>
      </c>
      <c r="EG94">
        <f t="shared" si="219"/>
        <v>3.842004758798627E-2</v>
      </c>
      <c r="EH94">
        <f t="shared" si="307"/>
        <v>4254.6109047624295</v>
      </c>
      <c r="EI94">
        <f t="shared" si="220"/>
        <v>2.5656711185632124E-6</v>
      </c>
      <c r="EJ94">
        <f t="shared" si="119"/>
        <v>5.5741945373391402E-4</v>
      </c>
      <c r="EK94">
        <f t="shared" si="120"/>
        <v>0.25502255755865161</v>
      </c>
      <c r="EM94">
        <f t="shared" si="121"/>
        <v>20.115553609369954</v>
      </c>
      <c r="EN94">
        <f t="shared" si="122"/>
        <v>0.48000000000000004</v>
      </c>
      <c r="EO94">
        <f t="shared" si="288"/>
        <v>110739.345</v>
      </c>
      <c r="EP94">
        <f t="shared" si="289"/>
        <v>5.1612839897099208E-3</v>
      </c>
      <c r="EQ94">
        <f t="shared" si="123"/>
        <v>4.1647334946447855E-3</v>
      </c>
      <c r="ER94">
        <f t="shared" si="124"/>
        <v>1.2365454912578139E-2</v>
      </c>
      <c r="ES94">
        <f t="shared" si="125"/>
        <v>14.374858973733529</v>
      </c>
      <c r="ET94">
        <f t="shared" si="253"/>
        <v>2.9807296202575086E-6</v>
      </c>
      <c r="EU94">
        <f t="shared" si="221"/>
        <v>3.671949601676338E-2</v>
      </c>
      <c r="EV94">
        <f t="shared" si="308"/>
        <v>4066.2929376264856</v>
      </c>
      <c r="EW94">
        <f t="shared" si="222"/>
        <v>2.5082475232796324E-6</v>
      </c>
      <c r="EX94">
        <f t="shared" si="127"/>
        <v>5.240461954162225E-4</v>
      </c>
      <c r="EY94">
        <f t="shared" si="128"/>
        <v>0.24774875116322878</v>
      </c>
      <c r="FA94">
        <f t="shared" si="129"/>
        <v>22.013247346102968</v>
      </c>
      <c r="FB94">
        <f t="shared" si="130"/>
        <v>0.48000000000000004</v>
      </c>
      <c r="FC94">
        <f t="shared" si="290"/>
        <v>110739.345</v>
      </c>
      <c r="FD94">
        <f t="shared" si="291"/>
        <v>5.1612839897099208E-3</v>
      </c>
      <c r="FE94">
        <f t="shared" si="131"/>
        <v>4.1647334946447855E-3</v>
      </c>
      <c r="FF94">
        <f t="shared" si="132"/>
        <v>1.2365454912578139E-2</v>
      </c>
      <c r="FG94">
        <f t="shared" si="133"/>
        <v>14.374858973733529</v>
      </c>
      <c r="FH94">
        <f t="shared" si="254"/>
        <v>2.8973851232738829E-6</v>
      </c>
      <c r="FI94">
        <f t="shared" si="223"/>
        <v>3.51177155513979E-2</v>
      </c>
      <c r="FJ94">
        <f t="shared" si="309"/>
        <v>3888.9128180581174</v>
      </c>
      <c r="FK94">
        <f t="shared" si="224"/>
        <v>2.4529300553201032E-6</v>
      </c>
      <c r="FL94">
        <f t="shared" si="135"/>
        <v>4.9296045053225167E-4</v>
      </c>
      <c r="FM94">
        <f t="shared" si="136"/>
        <v>0.24082142206108872</v>
      </c>
      <c r="FO94">
        <f t="shared" si="137"/>
        <v>23.910941082835983</v>
      </c>
      <c r="FP94">
        <f t="shared" si="138"/>
        <v>0.48000000000000004</v>
      </c>
      <c r="FQ94">
        <f t="shared" si="292"/>
        <v>110739.345</v>
      </c>
      <c r="FR94">
        <f t="shared" si="293"/>
        <v>5.1612839897099208E-3</v>
      </c>
      <c r="FS94">
        <f t="shared" si="139"/>
        <v>4.1647334946447855E-3</v>
      </c>
      <c r="FT94">
        <f t="shared" si="140"/>
        <v>1.2365454912578139E-2</v>
      </c>
      <c r="FU94">
        <f t="shared" si="141"/>
        <v>14.374858973733529</v>
      </c>
      <c r="FV94">
        <f t="shared" si="255"/>
        <v>2.8179527137188576E-6</v>
      </c>
      <c r="FW94">
        <f t="shared" si="225"/>
        <v>3.3607855645809273E-2</v>
      </c>
      <c r="FX94">
        <f t="shared" si="310"/>
        <v>3721.7119210714709</v>
      </c>
      <c r="FY94">
        <f t="shared" si="226"/>
        <v>2.399619805412813E-6</v>
      </c>
      <c r="FZ94">
        <f t="shared" si="143"/>
        <v>4.639874619957321E-4</v>
      </c>
      <c r="GA94">
        <f t="shared" si="144"/>
        <v>0.23421925320437653</v>
      </c>
      <c r="GC94">
        <f t="shared" si="145"/>
        <v>25.808634819568997</v>
      </c>
      <c r="GD94">
        <f t="shared" si="146"/>
        <v>0.48000000000000004</v>
      </c>
      <c r="GE94">
        <f t="shared" si="294"/>
        <v>110739.345</v>
      </c>
      <c r="GF94">
        <f t="shared" si="295"/>
        <v>5.1612839897099208E-3</v>
      </c>
      <c r="GG94">
        <f t="shared" si="147"/>
        <v>4.1647334946447855E-3</v>
      </c>
      <c r="GH94">
        <f t="shared" si="148"/>
        <v>1.2365454912578139E-2</v>
      </c>
      <c r="GI94">
        <f t="shared" si="149"/>
        <v>14.374858973733529</v>
      </c>
      <c r="GJ94">
        <f t="shared" si="256"/>
        <v>2.7421944556912959E-6</v>
      </c>
      <c r="GK94">
        <f t="shared" si="227"/>
        <v>3.2183604640306632E-2</v>
      </c>
      <c r="GL94">
        <f t="shared" si="311"/>
        <v>3563.991297606517</v>
      </c>
      <c r="GM94">
        <f t="shared" si="228"/>
        <v>2.3482232214073497E-6</v>
      </c>
      <c r="GN94">
        <f t="shared" si="151"/>
        <v>4.3696708880718206E-4</v>
      </c>
      <c r="GO94">
        <f t="shared" si="152"/>
        <v>0.22792246811891528</v>
      </c>
      <c r="GQ94">
        <f t="shared" si="153"/>
        <v>27.706328556302012</v>
      </c>
      <c r="GR94">
        <f t="shared" si="154"/>
        <v>0.48000000000000004</v>
      </c>
      <c r="GS94">
        <f t="shared" si="296"/>
        <v>110739.345</v>
      </c>
      <c r="GT94">
        <f t="shared" si="297"/>
        <v>5.1612839897099208E-3</v>
      </c>
      <c r="GU94">
        <f t="shared" si="155"/>
        <v>4.1647334946447855E-3</v>
      </c>
      <c r="GV94">
        <f t="shared" si="156"/>
        <v>1.2365454912578139E-2</v>
      </c>
      <c r="GW94">
        <f t="shared" si="157"/>
        <v>14.374858973733529</v>
      </c>
      <c r="GX94">
        <f t="shared" si="257"/>
        <v>2.6698894480304855E-6</v>
      </c>
      <c r="GY94">
        <f t="shared" si="229"/>
        <v>3.0839143233126906E-2</v>
      </c>
      <c r="GZ94">
        <f t="shared" si="312"/>
        <v>3415.1065219976558</v>
      </c>
      <c r="HA94">
        <f t="shared" si="230"/>
        <v>2.2986517944082948E-6</v>
      </c>
      <c r="HB94">
        <f t="shared" si="159"/>
        <v>4.1175249013734362E-4</v>
      </c>
      <c r="HC94">
        <f t="shared" si="160"/>
        <v>0.22191270620388928</v>
      </c>
      <c r="HE94">
        <f t="shared" si="161"/>
        <v>29.604022293035026</v>
      </c>
      <c r="HF94">
        <f t="shared" si="162"/>
        <v>0.48000000000000004</v>
      </c>
      <c r="HG94">
        <f t="shared" si="33"/>
        <v>110739.345</v>
      </c>
      <c r="HH94">
        <f t="shared" si="34"/>
        <v>5.1612839897099208E-3</v>
      </c>
      <c r="HI94">
        <f t="shared" si="263"/>
        <v>4.1647334946447855E-3</v>
      </c>
      <c r="HJ94">
        <f t="shared" si="164"/>
        <v>1.2365454912578139E-2</v>
      </c>
      <c r="HK94">
        <f t="shared" si="165"/>
        <v>14.374858973733529</v>
      </c>
      <c r="HL94">
        <f t="shared" si="258"/>
        <v>2.600832456163912E-6</v>
      </c>
      <c r="HM94">
        <f t="shared" si="231"/>
        <v>2.9569102262100813E-2</v>
      </c>
      <c r="HN94">
        <f t="shared" si="166"/>
        <v>3274.4630167430623</v>
      </c>
      <c r="HO94">
        <f t="shared" si="232"/>
        <v>2.2508217638320121E-6</v>
      </c>
      <c r="HP94">
        <f t="shared" si="167"/>
        <v>3.8820893499403605E-4</v>
      </c>
      <c r="HQ94">
        <f t="shared" si="168"/>
        <v>0.21617290901538927</v>
      </c>
      <c r="HS94">
        <f t="shared" si="169"/>
        <v>31.501716029768044</v>
      </c>
      <c r="HT94">
        <f t="shared" si="170"/>
        <v>0.48000000000000004</v>
      </c>
      <c r="HU94">
        <f t="shared" si="35"/>
        <v>110739.345</v>
      </c>
      <c r="HV94">
        <f t="shared" si="36"/>
        <v>5.1612839897099208E-3</v>
      </c>
      <c r="HW94">
        <f t="shared" si="264"/>
        <v>4.1647334946447855E-3</v>
      </c>
      <c r="HX94">
        <f t="shared" si="172"/>
        <v>1.2365454912578139E-2</v>
      </c>
      <c r="HY94">
        <f t="shared" si="173"/>
        <v>14.374858973733529</v>
      </c>
      <c r="HZ94">
        <f t="shared" si="259"/>
        <v>2.5348326636897854E-6</v>
      </c>
      <c r="IA94">
        <f t="shared" si="233"/>
        <v>2.8368524375355555E-2</v>
      </c>
      <c r="IB94">
        <f t="shared" si="174"/>
        <v>3141.5118079434083</v>
      </c>
      <c r="IC94">
        <f t="shared" si="234"/>
        <v>2.2046538402723242E-6</v>
      </c>
      <c r="ID94">
        <f t="shared" si="175"/>
        <v>3.6621272493850136E-4</v>
      </c>
      <c r="IE94">
        <f t="shared" si="176"/>
        <v>0.21068721650192856</v>
      </c>
      <c r="IG94">
        <f t="shared" si="177"/>
        <v>33.399409766501059</v>
      </c>
      <c r="IH94">
        <f t="shared" si="178"/>
        <v>0.48000000000000004</v>
      </c>
      <c r="II94">
        <f t="shared" si="37"/>
        <v>110739.345</v>
      </c>
      <c r="IJ94">
        <f t="shared" si="38"/>
        <v>5.1612839897099208E-3</v>
      </c>
      <c r="IK94">
        <f t="shared" si="265"/>
        <v>4.1647334946447855E-3</v>
      </c>
      <c r="IL94">
        <f t="shared" si="180"/>
        <v>1.2365454912578139E-2</v>
      </c>
      <c r="IM94">
        <f t="shared" si="181"/>
        <v>14.374858973733529</v>
      </c>
      <c r="IN94">
        <f t="shared" si="260"/>
        <v>2.4717125325043536E-6</v>
      </c>
      <c r="IO94">
        <f t="shared" si="235"/>
        <v>2.7232829212756212E-2</v>
      </c>
      <c r="IP94">
        <f t="shared" si="182"/>
        <v>3015.7456695174887</v>
      </c>
      <c r="IQ94">
        <f t="shared" si="236"/>
        <v>2.1600729451200503E-6</v>
      </c>
      <c r="IR94">
        <f t="shared" si="183"/>
        <v>3.4565021861023584E-4</v>
      </c>
      <c r="IS94">
        <f t="shared" si="184"/>
        <v>0.20544087226185659</v>
      </c>
      <c r="IU94">
        <f t="shared" si="185"/>
        <v>35.297103503234069</v>
      </c>
      <c r="IV94">
        <f t="shared" si="186"/>
        <v>0.48000000000000004</v>
      </c>
      <c r="IW94">
        <f t="shared" si="39"/>
        <v>110739.345</v>
      </c>
      <c r="IX94">
        <f t="shared" si="40"/>
        <v>5.1612839897099208E-3</v>
      </c>
      <c r="IY94">
        <f t="shared" si="266"/>
        <v>4.1647334946447855E-3</v>
      </c>
      <c r="IZ94">
        <f t="shared" si="188"/>
        <v>1.2365454912578139E-2</v>
      </c>
      <c r="JA94">
        <f t="shared" si="189"/>
        <v>14.374858973733529</v>
      </c>
      <c r="JB94">
        <f t="shared" si="261"/>
        <v>2.4113067613836534E-6</v>
      </c>
      <c r="JC94">
        <f t="shared" si="237"/>
        <v>2.6157781758112102E-2</v>
      </c>
      <c r="JD94">
        <f t="shared" si="190"/>
        <v>2896.6956185462827</v>
      </c>
      <c r="JE94">
        <f t="shared" si="238"/>
        <v>2.117007965938312E-6</v>
      </c>
      <c r="JF94">
        <f t="shared" si="191"/>
        <v>3.2641694797576603E-4</v>
      </c>
      <c r="JG94">
        <f t="shared" si="192"/>
        <v>0.20042013698399117</v>
      </c>
      <c r="JI94">
        <f t="shared" si="193"/>
        <v>37.194797239967087</v>
      </c>
      <c r="JJ94">
        <f t="shared" si="194"/>
        <v>0.48000000000000004</v>
      </c>
      <c r="JK94">
        <f t="shared" si="41"/>
        <v>110739.345</v>
      </c>
      <c r="JL94">
        <f t="shared" si="42"/>
        <v>5.1612839897099208E-3</v>
      </c>
      <c r="JM94">
        <f t="shared" si="267"/>
        <v>4.1647334946447855E-3</v>
      </c>
      <c r="JN94">
        <f t="shared" si="196"/>
        <v>1.2365454912578139E-2</v>
      </c>
      <c r="JO94">
        <f t="shared" si="197"/>
        <v>14.374858973733529</v>
      </c>
      <c r="JP94">
        <f t="shared" si="262"/>
        <v>2.3534613339167618E-6</v>
      </c>
      <c r="JQ94">
        <f t="shared" si="239"/>
        <v>2.5139463556499292E-2</v>
      </c>
      <c r="JR94">
        <f t="shared" si="198"/>
        <v>2783.9277278981021</v>
      </c>
      <c r="JS94">
        <f t="shared" si="240"/>
        <v>2.0753915266499475E-6</v>
      </c>
      <c r="JT94">
        <f t="shared" si="199"/>
        <v>3.0841681725163789E-4</v>
      </c>
      <c r="JU94">
        <f t="shared" si="200"/>
        <v>0.19561220931486314</v>
      </c>
    </row>
    <row r="95" spans="2:281">
      <c r="B95">
        <v>0.61</v>
      </c>
      <c r="C95">
        <f t="shared" si="43"/>
        <v>1.1575931794071388</v>
      </c>
      <c r="D95">
        <f t="shared" si="44"/>
        <v>0.48799999999999999</v>
      </c>
      <c r="E95">
        <f t="shared" si="268"/>
        <v>110554.917</v>
      </c>
      <c r="F95">
        <f t="shared" si="269"/>
        <v>5.1641524177183087E-3</v>
      </c>
      <c r="G95">
        <f t="shared" si="45"/>
        <v>4.1635766835572937E-3</v>
      </c>
      <c r="H95">
        <f t="shared" si="46"/>
        <v>1.2386082996615477E-2</v>
      </c>
      <c r="I95">
        <f t="shared" si="47"/>
        <v>14.390841316904492</v>
      </c>
      <c r="J95">
        <f t="shared" si="241"/>
        <v>4.0963417459264425E-6</v>
      </c>
      <c r="K95">
        <f t="shared" si="201"/>
        <v>6.0180365697017395E-2</v>
      </c>
      <c r="L95">
        <f t="shared" si="298"/>
        <v>6653.2353346634054</v>
      </c>
      <c r="M95">
        <f t="shared" si="202"/>
        <v>3.2083925827477413E-6</v>
      </c>
      <c r="N95">
        <f t="shared" si="203"/>
        <v>9.8567617962675574E-4</v>
      </c>
      <c r="O95">
        <f t="shared" si="49"/>
        <v>0.34047487735684029</v>
      </c>
      <c r="Q95">
        <f t="shared" si="50"/>
        <v>3.0552869161401532</v>
      </c>
      <c r="R95">
        <f t="shared" si="51"/>
        <v>0.48799999999999999</v>
      </c>
      <c r="S95">
        <f t="shared" si="270"/>
        <v>110554.917</v>
      </c>
      <c r="T95">
        <f t="shared" si="271"/>
        <v>5.1641524177183087E-3</v>
      </c>
      <c r="U95">
        <f t="shared" si="52"/>
        <v>4.1635766835572937E-3</v>
      </c>
      <c r="V95">
        <f t="shared" si="53"/>
        <v>1.2386082996615477E-2</v>
      </c>
      <c r="W95">
        <f t="shared" si="54"/>
        <v>14.390841316904492</v>
      </c>
      <c r="X95">
        <f t="shared" si="242"/>
        <v>3.9558189727321085E-6</v>
      </c>
      <c r="Y95">
        <f t="shared" si="204"/>
        <v>5.7128476482172487E-2</v>
      </c>
      <c r="Z95">
        <f t="shared" si="299"/>
        <v>6315.8339758230313</v>
      </c>
      <c r="AA95">
        <f t="shared" si="205"/>
        <v>3.1259815727325745E-6</v>
      </c>
      <c r="AB95">
        <f t="shared" si="56"/>
        <v>9.2116867953883806E-4</v>
      </c>
      <c r="AC95">
        <f t="shared" si="57"/>
        <v>0.32879507207282993</v>
      </c>
      <c r="AE95">
        <f t="shared" si="58"/>
        <v>4.9529806528731672</v>
      </c>
      <c r="AF95">
        <f t="shared" si="59"/>
        <v>0.48799999999999999</v>
      </c>
      <c r="AG95">
        <f t="shared" si="272"/>
        <v>110554.917</v>
      </c>
      <c r="AH95">
        <f t="shared" si="273"/>
        <v>5.1641524177183087E-3</v>
      </c>
      <c r="AI95">
        <f t="shared" si="60"/>
        <v>4.1635766835572937E-3</v>
      </c>
      <c r="AJ95">
        <f t="shared" si="61"/>
        <v>1.2386082996615477E-2</v>
      </c>
      <c r="AK95">
        <f t="shared" si="62"/>
        <v>14.390841316904492</v>
      </c>
      <c r="AL95">
        <f t="shared" si="243"/>
        <v>3.8229357760087351E-6</v>
      </c>
      <c r="AM95">
        <f t="shared" si="206"/>
        <v>5.4274372618781021E-2</v>
      </c>
      <c r="AN95">
        <f t="shared" si="300"/>
        <v>6000.2987600964088</v>
      </c>
      <c r="AO95">
        <f t="shared" si="207"/>
        <v>3.046895072044171E-6</v>
      </c>
      <c r="AP95">
        <f t="shared" si="64"/>
        <v>8.6145115963660998E-4</v>
      </c>
      <c r="AQ95">
        <f t="shared" si="65"/>
        <v>0.31775024404983421</v>
      </c>
      <c r="AS95">
        <f t="shared" si="66"/>
        <v>6.8506743896061817</v>
      </c>
      <c r="AT95">
        <f t="shared" si="67"/>
        <v>0.48799999999999999</v>
      </c>
      <c r="AU95">
        <f t="shared" si="274"/>
        <v>110554.917</v>
      </c>
      <c r="AV95">
        <f t="shared" si="275"/>
        <v>5.1641524177183087E-3</v>
      </c>
      <c r="AW95">
        <f t="shared" si="68"/>
        <v>4.1635766835572937E-3</v>
      </c>
      <c r="AX95">
        <f t="shared" si="69"/>
        <v>1.2386082996615477E-2</v>
      </c>
      <c r="AY95">
        <f t="shared" si="70"/>
        <v>14.390841316904492</v>
      </c>
      <c r="AZ95">
        <f t="shared" si="244"/>
        <v>3.6971717499435463E-6</v>
      </c>
      <c r="BA95">
        <f t="shared" si="208"/>
        <v>5.1603055543471499E-2</v>
      </c>
      <c r="BB95">
        <f t="shared" si="301"/>
        <v>5704.9715225548816</v>
      </c>
      <c r="BC95">
        <f t="shared" si="209"/>
        <v>2.9709668188672463E-6</v>
      </c>
      <c r="BD95">
        <f t="shared" si="72"/>
        <v>8.0613049910081651E-4</v>
      </c>
      <c r="BE95">
        <f t="shared" si="73"/>
        <v>0.30729713881440579</v>
      </c>
      <c r="BG95">
        <f t="shared" si="74"/>
        <v>8.7483681263391979</v>
      </c>
      <c r="BH95">
        <f t="shared" si="75"/>
        <v>0.48799999999999999</v>
      </c>
      <c r="BI95">
        <f t="shared" si="276"/>
        <v>110554.917</v>
      </c>
      <c r="BJ95">
        <f t="shared" si="277"/>
        <v>5.1641524177183087E-3</v>
      </c>
      <c r="BK95">
        <f t="shared" si="76"/>
        <v>4.1635766835572937E-3</v>
      </c>
      <c r="BL95">
        <f t="shared" si="77"/>
        <v>1.2386082996615477E-2</v>
      </c>
      <c r="BM95">
        <f t="shared" si="78"/>
        <v>14.390841316904492</v>
      </c>
      <c r="BN95">
        <f t="shared" si="245"/>
        <v>3.5780473043482965E-6</v>
      </c>
      <c r="BO95">
        <f t="shared" si="210"/>
        <v>4.9100795400771252E-2</v>
      </c>
      <c r="BP95">
        <f t="shared" si="302"/>
        <v>5428.3343601662473</v>
      </c>
      <c r="BQ95">
        <f t="shared" si="211"/>
        <v>2.8980398708820819E-6</v>
      </c>
      <c r="BR95">
        <f t="shared" si="80"/>
        <v>7.5484853968141113E-4</v>
      </c>
      <c r="BS95">
        <f t="shared" si="81"/>
        <v>0.2973958943577934</v>
      </c>
      <c r="BU95">
        <f t="shared" si="82"/>
        <v>10.646061863072212</v>
      </c>
      <c r="BV95">
        <f t="shared" si="83"/>
        <v>0.48799999999999999</v>
      </c>
      <c r="BW95">
        <f t="shared" si="278"/>
        <v>110554.917</v>
      </c>
      <c r="BX95">
        <f t="shared" si="279"/>
        <v>5.1641524177183087E-3</v>
      </c>
      <c r="BY95">
        <f t="shared" si="84"/>
        <v>4.1635766835572937E-3</v>
      </c>
      <c r="BZ95">
        <f t="shared" si="85"/>
        <v>1.2386082996615477E-2</v>
      </c>
      <c r="CA95">
        <f t="shared" si="86"/>
        <v>14.390841316904492</v>
      </c>
      <c r="CB95">
        <f t="shared" si="246"/>
        <v>3.4651201332263714E-6</v>
      </c>
      <c r="CC95">
        <f t="shared" si="247"/>
        <v>4.6755014909435566E-2</v>
      </c>
      <c r="CD95">
        <f t="shared" si="303"/>
        <v>5168.9967926464114</v>
      </c>
      <c r="CE95">
        <f t="shared" si="248"/>
        <v>2.8279660559597714E-6</v>
      </c>
      <c r="CF95">
        <f t="shared" si="212"/>
        <v>7.0727877535863091E-4</v>
      </c>
      <c r="CG95">
        <f t="shared" si="88"/>
        <v>0.28800974761448828</v>
      </c>
      <c r="CI95">
        <f t="shared" si="89"/>
        <v>12.543755599805227</v>
      </c>
      <c r="CJ95">
        <f t="shared" si="90"/>
        <v>0.48799999999999999</v>
      </c>
      <c r="CK95">
        <f t="shared" si="280"/>
        <v>110554.917</v>
      </c>
      <c r="CL95">
        <f t="shared" si="281"/>
        <v>5.1641524177183087E-3</v>
      </c>
      <c r="CM95">
        <f t="shared" si="91"/>
        <v>4.1635766835572937E-3</v>
      </c>
      <c r="CN95">
        <f t="shared" si="92"/>
        <v>1.2386082996615477E-2</v>
      </c>
      <c r="CO95">
        <f t="shared" si="93"/>
        <v>14.390841316904492</v>
      </c>
      <c r="CP95">
        <f t="shared" si="249"/>
        <v>3.357982011581588E-6</v>
      </c>
      <c r="CQ95">
        <f t="shared" si="213"/>
        <v>4.4554184490276996E-2</v>
      </c>
      <c r="CR95">
        <f t="shared" si="304"/>
        <v>4925.6841683252605</v>
      </c>
      <c r="CS95">
        <f t="shared" si="214"/>
        <v>2.7606054551032244E-6</v>
      </c>
      <c r="CT95">
        <f t="shared" si="95"/>
        <v>6.6312337057710508E-4</v>
      </c>
      <c r="CU95">
        <f t="shared" si="96"/>
        <v>0.27910476822317531</v>
      </c>
      <c r="CW95">
        <f t="shared" si="97"/>
        <v>14.441449336538241</v>
      </c>
      <c r="CX95">
        <f t="shared" si="98"/>
        <v>0.48799999999999999</v>
      </c>
      <c r="CY95">
        <f t="shared" si="282"/>
        <v>110554.917</v>
      </c>
      <c r="CZ95">
        <f t="shared" si="283"/>
        <v>5.1641524177183087E-3</v>
      </c>
      <c r="DA95">
        <f t="shared" si="99"/>
        <v>4.1635766835572937E-3</v>
      </c>
      <c r="DB95">
        <f t="shared" si="100"/>
        <v>1.2386082996615477E-2</v>
      </c>
      <c r="DC95">
        <f t="shared" si="101"/>
        <v>14.390841316904492</v>
      </c>
      <c r="DD95">
        <f t="shared" si="250"/>
        <v>3.2562558883062241E-6</v>
      </c>
      <c r="DE95">
        <f t="shared" si="215"/>
        <v>4.2487727517274726E-2</v>
      </c>
      <c r="DF95">
        <f t="shared" si="305"/>
        <v>4697.2271891909231</v>
      </c>
      <c r="DG95">
        <f t="shared" si="216"/>
        <v>2.6958259158652253E-6</v>
      </c>
      <c r="DH95">
        <f t="shared" si="103"/>
        <v>6.2211047331411223E-4</v>
      </c>
      <c r="DI95">
        <f t="shared" si="104"/>
        <v>0.27064961689684641</v>
      </c>
      <c r="DK95">
        <f t="shared" si="105"/>
        <v>16.339143073271252</v>
      </c>
      <c r="DL95">
        <f t="shared" si="106"/>
        <v>0.48799999999999999</v>
      </c>
      <c r="DM95">
        <f t="shared" si="284"/>
        <v>110554.917</v>
      </c>
      <c r="DN95">
        <f t="shared" si="285"/>
        <v>5.1641524177183087E-3</v>
      </c>
      <c r="DO95">
        <f t="shared" si="107"/>
        <v>4.1635766835572937E-3</v>
      </c>
      <c r="DP95">
        <f t="shared" si="108"/>
        <v>1.2386082996615477E-2</v>
      </c>
      <c r="DQ95">
        <f t="shared" si="109"/>
        <v>14.390841316904492</v>
      </c>
      <c r="DR95">
        <f t="shared" si="251"/>
        <v>3.1595932462592281E-6</v>
      </c>
      <c r="DS95">
        <f t="shared" si="217"/>
        <v>4.0545934672074263E-2</v>
      </c>
      <c r="DT95">
        <f t="shared" si="306"/>
        <v>4482.5524423585921</v>
      </c>
      <c r="DU95">
        <f t="shared" si="218"/>
        <v>2.6335025945566329E-6</v>
      </c>
      <c r="DV95">
        <f t="shared" si="111"/>
        <v>5.8399179278600672E-4</v>
      </c>
      <c r="DW95">
        <f t="shared" si="112"/>
        <v>0.26261532600091048</v>
      </c>
      <c r="DY95">
        <f t="shared" si="113"/>
        <v>18.236836810004267</v>
      </c>
      <c r="DZ95">
        <f t="shared" si="114"/>
        <v>0.48799999999999999</v>
      </c>
      <c r="EA95">
        <f t="shared" si="286"/>
        <v>110554.917</v>
      </c>
      <c r="EB95">
        <f t="shared" si="287"/>
        <v>5.1641524177183087E-3</v>
      </c>
      <c r="EC95">
        <f t="shared" si="115"/>
        <v>4.1635766835572937E-3</v>
      </c>
      <c r="ED95">
        <f t="shared" si="116"/>
        <v>1.2386082996615477E-2</v>
      </c>
      <c r="EE95">
        <f t="shared" si="117"/>
        <v>14.390841316904492</v>
      </c>
      <c r="EF95">
        <f t="shared" si="252"/>
        <v>3.067671703577163E-6</v>
      </c>
      <c r="EG95">
        <f t="shared" si="219"/>
        <v>3.8719886487804098E-2</v>
      </c>
      <c r="EH95">
        <f t="shared" si="307"/>
        <v>4280.6738369086033</v>
      </c>
      <c r="EI95">
        <f t="shared" si="220"/>
        <v>2.5735175256369675E-6</v>
      </c>
      <c r="EJ95">
        <f t="shared" si="119"/>
        <v>5.485404147632122E-4</v>
      </c>
      <c r="EK95">
        <f t="shared" si="120"/>
        <v>0.25497510018179992</v>
      </c>
      <c r="EM95">
        <f t="shared" si="121"/>
        <v>20.134530546737281</v>
      </c>
      <c r="EN95">
        <f t="shared" si="122"/>
        <v>0.48799999999999999</v>
      </c>
      <c r="EO95">
        <f t="shared" si="288"/>
        <v>110554.917</v>
      </c>
      <c r="EP95">
        <f t="shared" si="289"/>
        <v>5.1641524177183087E-3</v>
      </c>
      <c r="EQ95">
        <f t="shared" si="123"/>
        <v>4.1635766835572937E-3</v>
      </c>
      <c r="ER95">
        <f t="shared" si="124"/>
        <v>1.2386082996615477E-2</v>
      </c>
      <c r="ES95">
        <f t="shared" si="125"/>
        <v>14.390841316904492</v>
      </c>
      <c r="ET95">
        <f t="shared" si="253"/>
        <v>2.9801928328863845E-6</v>
      </c>
      <c r="EU95">
        <f t="shared" si="221"/>
        <v>3.700138326277673E-2</v>
      </c>
      <c r="EV95">
        <f t="shared" si="308"/>
        <v>4090.6848555014708</v>
      </c>
      <c r="EW95">
        <f t="shared" si="222"/>
        <v>2.5157592167563305E-6</v>
      </c>
      <c r="EX95">
        <f t="shared" si="127"/>
        <v>5.1554883029399459E-4</v>
      </c>
      <c r="EY95">
        <f t="shared" si="128"/>
        <v>0.24770413510683362</v>
      </c>
      <c r="FA95">
        <f t="shared" si="129"/>
        <v>22.032224283470295</v>
      </c>
      <c r="FB95">
        <f t="shared" si="130"/>
        <v>0.48799999999999999</v>
      </c>
      <c r="FC95">
        <f t="shared" si="290"/>
        <v>110554.917</v>
      </c>
      <c r="FD95">
        <f t="shared" si="291"/>
        <v>5.1641524177183087E-3</v>
      </c>
      <c r="FE95">
        <f t="shared" si="131"/>
        <v>4.1635766835572937E-3</v>
      </c>
      <c r="FF95">
        <f t="shared" si="132"/>
        <v>1.2386082996615477E-2</v>
      </c>
      <c r="FG95">
        <f t="shared" si="133"/>
        <v>14.390841316904492</v>
      </c>
      <c r="FH95">
        <f t="shared" si="254"/>
        <v>2.8968801774377641E-6</v>
      </c>
      <c r="FI95">
        <f t="shared" si="223"/>
        <v>3.5382881609294134E-2</v>
      </c>
      <c r="FJ95">
        <f t="shared" si="309"/>
        <v>3911.7515395363394</v>
      </c>
      <c r="FK95">
        <f t="shared" si="224"/>
        <v>2.4601222679918514E-6</v>
      </c>
      <c r="FL95">
        <f t="shared" si="135"/>
        <v>4.8482715616657052E-4</v>
      </c>
      <c r="FM95">
        <f t="shared" si="136"/>
        <v>0.24077945257165456</v>
      </c>
      <c r="FO95">
        <f t="shared" si="137"/>
        <v>23.92991802020331</v>
      </c>
      <c r="FP95">
        <f t="shared" si="138"/>
        <v>0.48799999999999999</v>
      </c>
      <c r="FQ95">
        <f t="shared" si="292"/>
        <v>110554.917</v>
      </c>
      <c r="FR95">
        <f t="shared" si="293"/>
        <v>5.1641524177183087E-3</v>
      </c>
      <c r="FS95">
        <f t="shared" si="139"/>
        <v>4.1635766835572937E-3</v>
      </c>
      <c r="FT95">
        <f t="shared" si="140"/>
        <v>1.2386082996615477E-2</v>
      </c>
      <c r="FU95">
        <f t="shared" si="141"/>
        <v>14.390841316904492</v>
      </c>
      <c r="FV95">
        <f t="shared" si="255"/>
        <v>2.8174774452937882E-6</v>
      </c>
      <c r="FW95">
        <f t="shared" si="225"/>
        <v>3.3857436978506135E-2</v>
      </c>
      <c r="FX95">
        <f t="shared" si="310"/>
        <v>3743.1061349914767</v>
      </c>
      <c r="FY95">
        <f t="shared" si="226"/>
        <v>2.4065070138936474E-6</v>
      </c>
      <c r="FZ95">
        <f t="shared" si="143"/>
        <v>4.5620152769998922E-4</v>
      </c>
      <c r="GA95">
        <f t="shared" si="144"/>
        <v>0.23417975040681382</v>
      </c>
      <c r="GC95">
        <f t="shared" si="145"/>
        <v>25.827611756936324</v>
      </c>
      <c r="GD95">
        <f t="shared" si="146"/>
        <v>0.48799999999999999</v>
      </c>
      <c r="GE95">
        <f t="shared" si="294"/>
        <v>110554.917</v>
      </c>
      <c r="GF95">
        <f t="shared" si="295"/>
        <v>5.1641524177183087E-3</v>
      </c>
      <c r="GG95">
        <f t="shared" si="147"/>
        <v>4.1635766835572937E-3</v>
      </c>
      <c r="GH95">
        <f t="shared" si="148"/>
        <v>1.2386082996615477E-2</v>
      </c>
      <c r="GI95">
        <f t="shared" si="149"/>
        <v>14.390841316904492</v>
      </c>
      <c r="GJ95">
        <f t="shared" si="256"/>
        <v>2.7417468645878393E-6</v>
      </c>
      <c r="GK95">
        <f t="shared" si="227"/>
        <v>3.2418651570023382E-2</v>
      </c>
      <c r="GL95">
        <f t="shared" si="311"/>
        <v>3584.0413335758549</v>
      </c>
      <c r="GM95">
        <f t="shared" si="228"/>
        <v>2.3548191870246086E-6</v>
      </c>
      <c r="GN95">
        <f t="shared" si="151"/>
        <v>4.2951264647526222E-4</v>
      </c>
      <c r="GO95">
        <f t="shared" si="152"/>
        <v>0.22788526577216114</v>
      </c>
      <c r="GQ95">
        <f t="shared" si="153"/>
        <v>27.725305493669339</v>
      </c>
      <c r="GR95">
        <f t="shared" si="154"/>
        <v>0.48799999999999999</v>
      </c>
      <c r="GS95">
        <f t="shared" si="296"/>
        <v>110554.917</v>
      </c>
      <c r="GT95">
        <f t="shared" si="297"/>
        <v>5.1641524177183087E-3</v>
      </c>
      <c r="GU95">
        <f t="shared" si="155"/>
        <v>4.1635766835572937E-3</v>
      </c>
      <c r="GV95">
        <f t="shared" si="156"/>
        <v>1.2386082996615477E-2</v>
      </c>
      <c r="GW95">
        <f t="shared" si="157"/>
        <v>14.390841316904492</v>
      </c>
      <c r="GX95">
        <f t="shared" si="257"/>
        <v>2.669467684570188E-6</v>
      </c>
      <c r="GY95">
        <f t="shared" si="229"/>
        <v>3.1060627095616869E-2</v>
      </c>
      <c r="GZ95">
        <f t="shared" si="312"/>
        <v>3433.9050505238743</v>
      </c>
      <c r="HA95">
        <f t="shared" si="230"/>
        <v>2.3049696017452853E-6</v>
      </c>
      <c r="HB95">
        <f t="shared" si="159"/>
        <v>4.0461446742511502E-4</v>
      </c>
      <c r="HC95">
        <f t="shared" si="160"/>
        <v>0.22187765056856268</v>
      </c>
      <c r="HE95">
        <f t="shared" si="161"/>
        <v>29.622999230402353</v>
      </c>
      <c r="HF95">
        <f t="shared" si="162"/>
        <v>0.48799999999999999</v>
      </c>
      <c r="HG95">
        <f t="shared" si="33"/>
        <v>110554.917</v>
      </c>
      <c r="HH95">
        <f t="shared" si="34"/>
        <v>5.1641524177183087E-3</v>
      </c>
      <c r="HI95">
        <f t="shared" si="263"/>
        <v>4.1635766835572937E-3</v>
      </c>
      <c r="HJ95">
        <f t="shared" si="164"/>
        <v>1.2386082996615477E-2</v>
      </c>
      <c r="HK95">
        <f t="shared" si="165"/>
        <v>14.390841316904492</v>
      </c>
      <c r="HL95">
        <f t="shared" si="258"/>
        <v>2.6004348086750359E-6</v>
      </c>
      <c r="HM95">
        <f t="shared" si="231"/>
        <v>2.9777921920597389E-2</v>
      </c>
      <c r="HN95">
        <f t="shared" si="166"/>
        <v>3292.095686364125</v>
      </c>
      <c r="HO95">
        <f t="shared" si="232"/>
        <v>2.2568738570596488E-6</v>
      </c>
      <c r="HP95">
        <f t="shared" si="167"/>
        <v>3.8137301131622959E-4</v>
      </c>
      <c r="HQ95">
        <f t="shared" si="168"/>
        <v>0.21613985782278772</v>
      </c>
      <c r="HS95">
        <f t="shared" si="169"/>
        <v>31.520692967135368</v>
      </c>
      <c r="HT95">
        <f t="shared" si="170"/>
        <v>0.48799999999999999</v>
      </c>
      <c r="HU95">
        <f t="shared" si="35"/>
        <v>110554.917</v>
      </c>
      <c r="HV95">
        <f t="shared" si="36"/>
        <v>5.1641524177183087E-3</v>
      </c>
      <c r="HW95">
        <f t="shared" si="264"/>
        <v>4.1635766835572937E-3</v>
      </c>
      <c r="HX95">
        <f t="shared" si="172"/>
        <v>1.2386082996615477E-2</v>
      </c>
      <c r="HY95">
        <f t="shared" si="173"/>
        <v>14.390841316904492</v>
      </c>
      <c r="HZ95">
        <f t="shared" si="259"/>
        <v>2.5344575472065226E-6</v>
      </c>
      <c r="IA95">
        <f t="shared" si="233"/>
        <v>2.8565512155041561E-2</v>
      </c>
      <c r="IB95">
        <f t="shared" si="174"/>
        <v>3158.0578253631111</v>
      </c>
      <c r="IC95">
        <f t="shared" si="234"/>
        <v>2.2104520573995699E-6</v>
      </c>
      <c r="ID95">
        <f t="shared" si="175"/>
        <v>3.5966529010258243E-4</v>
      </c>
      <c r="IE95">
        <f t="shared" si="176"/>
        <v>0.21065603801474292</v>
      </c>
      <c r="IG95">
        <f t="shared" si="177"/>
        <v>33.418386703868386</v>
      </c>
      <c r="IH95">
        <f t="shared" si="178"/>
        <v>0.48799999999999999</v>
      </c>
      <c r="II95">
        <f t="shared" si="37"/>
        <v>110554.917</v>
      </c>
      <c r="IJ95">
        <f t="shared" si="38"/>
        <v>5.1641524177183087E-3</v>
      </c>
      <c r="IK95">
        <f t="shared" si="265"/>
        <v>4.1635766835572937E-3</v>
      </c>
      <c r="IL95">
        <f t="shared" si="180"/>
        <v>1.2386082996615477E-2</v>
      </c>
      <c r="IM95">
        <f t="shared" si="181"/>
        <v>14.390841316904492</v>
      </c>
      <c r="IN95">
        <f t="shared" si="260"/>
        <v>2.4713584784652266E-6</v>
      </c>
      <c r="IO95">
        <f t="shared" si="235"/>
        <v>2.7418756310520112E-2</v>
      </c>
      <c r="IP95">
        <f t="shared" si="182"/>
        <v>3031.2783281527772</v>
      </c>
      <c r="IQ95">
        <f t="shared" si="236"/>
        <v>2.1656285502855679E-6</v>
      </c>
      <c r="IR95">
        <f t="shared" si="183"/>
        <v>3.3937833392049839E-4</v>
      </c>
      <c r="IS95">
        <f t="shared" si="184"/>
        <v>0.2054114444179348</v>
      </c>
      <c r="IU95">
        <f t="shared" si="185"/>
        <v>35.316080440601397</v>
      </c>
      <c r="IV95">
        <f t="shared" si="186"/>
        <v>0.48799999999999999</v>
      </c>
      <c r="IW95">
        <f t="shared" si="39"/>
        <v>110554.917</v>
      </c>
      <c r="IX95">
        <f t="shared" si="40"/>
        <v>5.1641524177183087E-3</v>
      </c>
      <c r="IY95">
        <f t="shared" si="266"/>
        <v>4.1635766835572937E-3</v>
      </c>
      <c r="IZ95">
        <f t="shared" si="188"/>
        <v>1.2386082996615477E-2</v>
      </c>
      <c r="JA95">
        <f t="shared" si="189"/>
        <v>14.390841316904492</v>
      </c>
      <c r="JB95">
        <f t="shared" si="261"/>
        <v>2.4109724082351585E-6</v>
      </c>
      <c r="JC95">
        <f t="shared" si="237"/>
        <v>2.6333363176929372E-2</v>
      </c>
      <c r="JD95">
        <f t="shared" si="190"/>
        <v>2911.2827803562832</v>
      </c>
      <c r="JE95">
        <f t="shared" si="238"/>
        <v>2.1223316798586617E-6</v>
      </c>
      <c r="JF95">
        <f t="shared" si="191"/>
        <v>3.2040830965181298E-4</v>
      </c>
      <c r="JG95">
        <f t="shared" si="192"/>
        <v>0.20039234661534311</v>
      </c>
      <c r="JI95">
        <f t="shared" si="193"/>
        <v>37.213774177334415</v>
      </c>
      <c r="JJ95">
        <f t="shared" si="194"/>
        <v>0.48799999999999999</v>
      </c>
      <c r="JK95">
        <f t="shared" si="41"/>
        <v>110554.917</v>
      </c>
      <c r="JL95">
        <f t="shared" si="42"/>
        <v>5.1641524177183087E-3</v>
      </c>
      <c r="JM95">
        <f t="shared" si="267"/>
        <v>4.1635766835572937E-3</v>
      </c>
      <c r="JN95">
        <f t="shared" si="196"/>
        <v>1.2386082996615477E-2</v>
      </c>
      <c r="JO95">
        <f t="shared" si="197"/>
        <v>14.390841316904492</v>
      </c>
      <c r="JP95">
        <f t="shared" si="262"/>
        <v>2.3531454185375624E-6</v>
      </c>
      <c r="JQ95">
        <f t="shared" si="239"/>
        <v>2.5305362608910534E-2</v>
      </c>
      <c r="JR95">
        <f t="shared" si="198"/>
        <v>2797.6322628830076</v>
      </c>
      <c r="JS95">
        <f t="shared" si="240"/>
        <v>2.0804935553330337E-6</v>
      </c>
      <c r="JT95">
        <f t="shared" si="199"/>
        <v>3.0265972201549447E-4</v>
      </c>
      <c r="JU95">
        <f t="shared" si="200"/>
        <v>0.19558595143486693</v>
      </c>
    </row>
    <row r="96" spans="2:281">
      <c r="B96">
        <v>0.62</v>
      </c>
      <c r="C96">
        <f t="shared" si="43"/>
        <v>1.1765701167744689</v>
      </c>
      <c r="D96">
        <f t="shared" si="44"/>
        <v>0.496</v>
      </c>
      <c r="E96">
        <f t="shared" si="268"/>
        <v>110370.489</v>
      </c>
      <c r="F96">
        <f t="shared" si="269"/>
        <v>5.1670272329912507E-3</v>
      </c>
      <c r="G96">
        <f t="shared" si="45"/>
        <v>4.1624182631876967E-3</v>
      </c>
      <c r="H96">
        <f t="shared" si="46"/>
        <v>1.2406780019303305E-2</v>
      </c>
      <c r="I96">
        <f t="shared" si="47"/>
        <v>14.406868158255339</v>
      </c>
      <c r="J96">
        <f t="shared" si="241"/>
        <v>4.0953321049255741E-6</v>
      </c>
      <c r="K96">
        <f t="shared" si="201"/>
        <v>6.0710566175842182E-2</v>
      </c>
      <c r="L96">
        <f t="shared" si="298"/>
        <v>6700.6548762945613</v>
      </c>
      <c r="M96">
        <f t="shared" si="202"/>
        <v>3.2198058555681091E-6</v>
      </c>
      <c r="N96">
        <f t="shared" si="203"/>
        <v>9.7269767630632216E-4</v>
      </c>
      <c r="O96">
        <f t="shared" si="49"/>
        <v>0.34039095921297768</v>
      </c>
      <c r="Q96">
        <f t="shared" si="50"/>
        <v>3.0742638535074835</v>
      </c>
      <c r="R96">
        <f t="shared" si="51"/>
        <v>0.496</v>
      </c>
      <c r="S96">
        <f t="shared" si="270"/>
        <v>110370.489</v>
      </c>
      <c r="T96">
        <f t="shared" si="271"/>
        <v>5.1670272329912507E-3</v>
      </c>
      <c r="U96">
        <f t="shared" si="52"/>
        <v>4.1624182631876967E-3</v>
      </c>
      <c r="V96">
        <f t="shared" si="53"/>
        <v>1.2406780019303305E-2</v>
      </c>
      <c r="W96">
        <f t="shared" si="54"/>
        <v>14.406868158255339</v>
      </c>
      <c r="X96">
        <f t="shared" si="242"/>
        <v>3.9548754076071696E-6</v>
      </c>
      <c r="Y96">
        <f t="shared" si="204"/>
        <v>5.762397803234167E-2</v>
      </c>
      <c r="Z96">
        <f t="shared" si="299"/>
        <v>6359.9866335548077</v>
      </c>
      <c r="AA96">
        <f t="shared" si="205"/>
        <v>3.1368890804847377E-6</v>
      </c>
      <c r="AB96">
        <f t="shared" si="56"/>
        <v>9.0877161047569989E-4</v>
      </c>
      <c r="AC96">
        <f t="shared" si="57"/>
        <v>0.3287166459452952</v>
      </c>
      <c r="AE96">
        <f t="shared" si="58"/>
        <v>4.971957590240498</v>
      </c>
      <c r="AF96">
        <f t="shared" si="59"/>
        <v>0.496</v>
      </c>
      <c r="AG96">
        <f t="shared" si="272"/>
        <v>110370.489</v>
      </c>
      <c r="AH96">
        <f t="shared" si="273"/>
        <v>5.1670272329912507E-3</v>
      </c>
      <c r="AI96">
        <f t="shared" si="60"/>
        <v>4.1624182631876967E-3</v>
      </c>
      <c r="AJ96">
        <f t="shared" si="61"/>
        <v>1.2406780019303305E-2</v>
      </c>
      <c r="AK96">
        <f t="shared" si="62"/>
        <v>14.406868158255339</v>
      </c>
      <c r="AL96">
        <f t="shared" si="243"/>
        <v>3.8220533803203818E-6</v>
      </c>
      <c r="AM96">
        <f t="shared" si="206"/>
        <v>5.4737751796206685E-2</v>
      </c>
      <c r="AN96">
        <f t="shared" si="300"/>
        <v>6041.4324325079606</v>
      </c>
      <c r="AO96">
        <f t="shared" si="207"/>
        <v>3.0573208799179114E-6</v>
      </c>
      <c r="AP96">
        <f t="shared" si="64"/>
        <v>8.4960733808187819E-4</v>
      </c>
      <c r="AQ96">
        <f t="shared" si="65"/>
        <v>0.31767690213101824</v>
      </c>
      <c r="AS96">
        <f t="shared" si="66"/>
        <v>6.8696513269735124</v>
      </c>
      <c r="AT96">
        <f t="shared" si="67"/>
        <v>0.496</v>
      </c>
      <c r="AU96">
        <f t="shared" si="274"/>
        <v>110370.489</v>
      </c>
      <c r="AV96">
        <f t="shared" si="275"/>
        <v>5.1670272329912507E-3</v>
      </c>
      <c r="AW96">
        <f t="shared" si="68"/>
        <v>4.1624182631876967E-3</v>
      </c>
      <c r="AX96">
        <f t="shared" si="69"/>
        <v>1.2406780019303305E-2</v>
      </c>
      <c r="AY96">
        <f t="shared" si="70"/>
        <v>14.406868158255339</v>
      </c>
      <c r="AZ96">
        <f t="shared" si="244"/>
        <v>3.6963460199312304E-6</v>
      </c>
      <c r="BA96">
        <f t="shared" si="208"/>
        <v>5.2036677442278446E-2</v>
      </c>
      <c r="BB96">
        <f t="shared" si="301"/>
        <v>5743.3135352395411</v>
      </c>
      <c r="BC96">
        <f t="shared" si="209"/>
        <v>2.9809337477922602E-6</v>
      </c>
      <c r="BD96">
        <f t="shared" si="72"/>
        <v>7.9481323971873803E-4</v>
      </c>
      <c r="BE96">
        <f t="shared" si="73"/>
        <v>0.30722850676607816</v>
      </c>
      <c r="BG96">
        <f t="shared" si="74"/>
        <v>8.7673450637065269</v>
      </c>
      <c r="BH96">
        <f t="shared" si="75"/>
        <v>0.496</v>
      </c>
      <c r="BI96">
        <f t="shared" si="276"/>
        <v>110370.489</v>
      </c>
      <c r="BJ96">
        <f t="shared" si="277"/>
        <v>5.1670272329912507E-3</v>
      </c>
      <c r="BK96">
        <f t="shared" si="76"/>
        <v>4.1624182631876967E-3</v>
      </c>
      <c r="BL96">
        <f t="shared" si="77"/>
        <v>1.2406780019303305E-2</v>
      </c>
      <c r="BM96">
        <f t="shared" si="78"/>
        <v>14.406868158255339</v>
      </c>
      <c r="BN96">
        <f t="shared" si="245"/>
        <v>3.5772741031176484E-6</v>
      </c>
      <c r="BO96">
        <f t="shared" si="210"/>
        <v>4.9506832459849624E-2</v>
      </c>
      <c r="BP96">
        <f t="shared" si="302"/>
        <v>5464.0933074346758</v>
      </c>
      <c r="BQ96">
        <f t="shared" si="211"/>
        <v>2.9075695665309057E-6</v>
      </c>
      <c r="BR96">
        <f t="shared" si="80"/>
        <v>7.440325712995972E-4</v>
      </c>
      <c r="BS96">
        <f t="shared" si="81"/>
        <v>0.29733162833447174</v>
      </c>
      <c r="BU96">
        <f t="shared" si="82"/>
        <v>10.665038800439541</v>
      </c>
      <c r="BV96">
        <f t="shared" si="83"/>
        <v>0.496</v>
      </c>
      <c r="BW96">
        <f t="shared" si="278"/>
        <v>110370.489</v>
      </c>
      <c r="BX96">
        <f t="shared" si="279"/>
        <v>5.1670272329912507E-3</v>
      </c>
      <c r="BY96">
        <f t="shared" si="84"/>
        <v>4.1624182631876967E-3</v>
      </c>
      <c r="BZ96">
        <f t="shared" si="85"/>
        <v>1.2406780019303305E-2</v>
      </c>
      <c r="CA96">
        <f t="shared" si="86"/>
        <v>14.406868158255339</v>
      </c>
      <c r="CB96">
        <f t="shared" si="246"/>
        <v>3.4643956583274074E-6</v>
      </c>
      <c r="CC96">
        <f t="shared" si="247"/>
        <v>4.7135463938344571E-2</v>
      </c>
      <c r="CD96">
        <f t="shared" si="303"/>
        <v>5202.364204116956</v>
      </c>
      <c r="CE96">
        <f t="shared" si="248"/>
        <v>2.8370790537806201E-6</v>
      </c>
      <c r="CF96">
        <f t="shared" si="212"/>
        <v>6.9694015913153993E-4</v>
      </c>
      <c r="CG96">
        <f t="shared" si="88"/>
        <v>0.28794953156864245</v>
      </c>
      <c r="CI96">
        <f t="shared" si="89"/>
        <v>12.562732537172556</v>
      </c>
      <c r="CJ96">
        <f t="shared" si="90"/>
        <v>0.496</v>
      </c>
      <c r="CK96">
        <f t="shared" si="280"/>
        <v>110370.489</v>
      </c>
      <c r="CL96">
        <f t="shared" si="281"/>
        <v>5.1670272329912507E-3</v>
      </c>
      <c r="CM96">
        <f t="shared" si="91"/>
        <v>4.1624182631876967E-3</v>
      </c>
      <c r="CN96">
        <f t="shared" si="92"/>
        <v>1.2406780019303305E-2</v>
      </c>
      <c r="CO96">
        <f t="shared" si="93"/>
        <v>14.406868158255339</v>
      </c>
      <c r="CP96">
        <f t="shared" si="249"/>
        <v>3.3573027656411796E-6</v>
      </c>
      <c r="CQ96">
        <f t="shared" si="213"/>
        <v>4.4910882091240632E-2</v>
      </c>
      <c r="CR96">
        <f t="shared" si="304"/>
        <v>4956.8360178315716</v>
      </c>
      <c r="CS96">
        <f t="shared" si="214"/>
        <v>2.769321241609437E-6</v>
      </c>
      <c r="CT96">
        <f t="shared" si="95"/>
        <v>6.5323942321141731E-4</v>
      </c>
      <c r="CU96">
        <f t="shared" si="96"/>
        <v>0.27904831146429143</v>
      </c>
      <c r="CW96">
        <f t="shared" si="97"/>
        <v>14.46042627390557</v>
      </c>
      <c r="CX96">
        <f t="shared" si="98"/>
        <v>0.496</v>
      </c>
      <c r="CY96">
        <f t="shared" si="282"/>
        <v>110370.489</v>
      </c>
      <c r="CZ96">
        <f t="shared" si="283"/>
        <v>5.1670272329912507E-3</v>
      </c>
      <c r="DA96">
        <f t="shared" si="99"/>
        <v>4.1624182631876967E-3</v>
      </c>
      <c r="DB96">
        <f t="shared" si="100"/>
        <v>1.2406780019303305E-2</v>
      </c>
      <c r="DC96">
        <f t="shared" si="101"/>
        <v>14.406868158255339</v>
      </c>
      <c r="DD96">
        <f t="shared" si="250"/>
        <v>3.2556186524128241E-6</v>
      </c>
      <c r="DE96">
        <f t="shared" si="215"/>
        <v>4.2822364061862767E-2</v>
      </c>
      <c r="DF96">
        <f t="shared" si="305"/>
        <v>4726.3252616438194</v>
      </c>
      <c r="DG96">
        <f t="shared" si="216"/>
        <v>2.7041629863958296E-6</v>
      </c>
      <c r="DH96">
        <f t="shared" si="103"/>
        <v>6.1265969502837989E-4</v>
      </c>
      <c r="DI96">
        <f t="shared" si="104"/>
        <v>0.27059665187925031</v>
      </c>
      <c r="DK96">
        <f t="shared" si="105"/>
        <v>16.358120010638583</v>
      </c>
      <c r="DL96">
        <f t="shared" si="106"/>
        <v>0.496</v>
      </c>
      <c r="DM96">
        <f t="shared" si="284"/>
        <v>110370.489</v>
      </c>
      <c r="DN96">
        <f t="shared" si="285"/>
        <v>5.1670272329912507E-3</v>
      </c>
      <c r="DO96">
        <f t="shared" si="107"/>
        <v>4.1624182631876967E-3</v>
      </c>
      <c r="DP96">
        <f t="shared" si="108"/>
        <v>1.2406780019303305E-2</v>
      </c>
      <c r="DQ96">
        <f t="shared" si="109"/>
        <v>14.406868158255339</v>
      </c>
      <c r="DR96">
        <f t="shared" si="251"/>
        <v>3.1589950558287859E-6</v>
      </c>
      <c r="DS96">
        <f t="shared" si="217"/>
        <v>4.0860066974918535E-2</v>
      </c>
      <c r="DT96">
        <f t="shared" si="306"/>
        <v>4509.7455725945092</v>
      </c>
      <c r="DU96">
        <f t="shared" si="218"/>
        <v>2.6414785077109237E-6</v>
      </c>
      <c r="DV96">
        <f t="shared" si="111"/>
        <v>5.7495379969902825E-4</v>
      </c>
      <c r="DW96">
        <f t="shared" si="112"/>
        <v>0.26256560631781928</v>
      </c>
      <c r="DY96">
        <f t="shared" si="113"/>
        <v>18.255813747371597</v>
      </c>
      <c r="DZ96">
        <f t="shared" si="114"/>
        <v>0.496</v>
      </c>
      <c r="EA96">
        <f t="shared" si="286"/>
        <v>110370.489</v>
      </c>
      <c r="EB96">
        <f t="shared" si="287"/>
        <v>5.1670272329912507E-3</v>
      </c>
      <c r="EC96">
        <f t="shared" si="115"/>
        <v>4.1624182631876967E-3</v>
      </c>
      <c r="ED96">
        <f t="shared" si="116"/>
        <v>1.2406780019303305E-2</v>
      </c>
      <c r="EE96">
        <f t="shared" si="117"/>
        <v>14.406868158255339</v>
      </c>
      <c r="EF96">
        <f t="shared" si="252"/>
        <v>3.0671098264568414E-6</v>
      </c>
      <c r="EG96">
        <f t="shared" si="219"/>
        <v>3.9014949305160952E-2</v>
      </c>
      <c r="EH96">
        <f t="shared" si="307"/>
        <v>4306.099033120825</v>
      </c>
      <c r="EI96">
        <f t="shared" si="220"/>
        <v>2.581148954574933E-6</v>
      </c>
      <c r="EJ96">
        <f t="shared" si="119"/>
        <v>5.3989587542604077E-4</v>
      </c>
      <c r="EK96">
        <f t="shared" si="120"/>
        <v>0.25492839874537282</v>
      </c>
      <c r="EM96">
        <f t="shared" si="121"/>
        <v>20.153507484104612</v>
      </c>
      <c r="EN96">
        <f t="shared" si="122"/>
        <v>0.496</v>
      </c>
      <c r="EO96">
        <f t="shared" si="288"/>
        <v>110370.489</v>
      </c>
      <c r="EP96">
        <f t="shared" si="289"/>
        <v>5.1670272329912507E-3</v>
      </c>
      <c r="EQ96">
        <f t="shared" si="123"/>
        <v>4.1624182631876967E-3</v>
      </c>
      <c r="ER96">
        <f t="shared" si="124"/>
        <v>1.2406780019303305E-2</v>
      </c>
      <c r="ES96">
        <f t="shared" si="125"/>
        <v>14.406868158255339</v>
      </c>
      <c r="ET96">
        <f t="shared" si="253"/>
        <v>2.9796647494774788E-6</v>
      </c>
      <c r="EU96">
        <f t="shared" si="221"/>
        <v>3.7278699730729677E-2</v>
      </c>
      <c r="EV96">
        <f t="shared" si="308"/>
        <v>4114.4683185648028</v>
      </c>
      <c r="EW96">
        <f t="shared" si="222"/>
        <v>2.523061997546258E-6</v>
      </c>
      <c r="EX96">
        <f t="shared" si="127"/>
        <v>5.0727940609949184E-4</v>
      </c>
      <c r="EY96">
        <f t="shared" si="128"/>
        <v>0.24766024249605226</v>
      </c>
      <c r="FA96">
        <f t="shared" si="129"/>
        <v>22.051201220837626</v>
      </c>
      <c r="FB96">
        <f t="shared" si="130"/>
        <v>0.496</v>
      </c>
      <c r="FC96">
        <f t="shared" si="290"/>
        <v>110370.489</v>
      </c>
      <c r="FD96">
        <f t="shared" si="291"/>
        <v>5.1670272329912507E-3</v>
      </c>
      <c r="FE96">
        <f t="shared" si="131"/>
        <v>4.1624182631876967E-3</v>
      </c>
      <c r="FF96">
        <f t="shared" si="132"/>
        <v>1.2406780019303305E-2</v>
      </c>
      <c r="FG96">
        <f t="shared" si="133"/>
        <v>14.406868158255339</v>
      </c>
      <c r="FH96">
        <f t="shared" si="254"/>
        <v>2.8963835626414265E-6</v>
      </c>
      <c r="FI96">
        <f t="shared" si="223"/>
        <v>3.5643672724733406E-2</v>
      </c>
      <c r="FJ96">
        <f t="shared" si="309"/>
        <v>3934.0095883847885</v>
      </c>
      <c r="FK96">
        <f t="shared" si="224"/>
        <v>2.467111445176423E-6</v>
      </c>
      <c r="FL96">
        <f t="shared" si="135"/>
        <v>4.7691544538811756E-4</v>
      </c>
      <c r="FM96">
        <f t="shared" si="136"/>
        <v>0.24073817553170915</v>
      </c>
      <c r="FO96">
        <f t="shared" si="137"/>
        <v>23.948894957570641</v>
      </c>
      <c r="FP96">
        <f t="shared" si="138"/>
        <v>0.496</v>
      </c>
      <c r="FQ96">
        <f t="shared" si="292"/>
        <v>110370.489</v>
      </c>
      <c r="FR96">
        <f t="shared" si="293"/>
        <v>5.1670272329912507E-3</v>
      </c>
      <c r="FS96">
        <f t="shared" si="139"/>
        <v>4.1624182631876967E-3</v>
      </c>
      <c r="FT96">
        <f t="shared" si="140"/>
        <v>1.2406780019303305E-2</v>
      </c>
      <c r="FU96">
        <f t="shared" si="141"/>
        <v>14.406868158255339</v>
      </c>
      <c r="FV96">
        <f t="shared" si="255"/>
        <v>2.8170101521030376E-6</v>
      </c>
      <c r="FW96">
        <f t="shared" si="225"/>
        <v>3.4102830215581963E-2</v>
      </c>
      <c r="FX96">
        <f t="shared" si="310"/>
        <v>3763.9460471777566</v>
      </c>
      <c r="FY96">
        <f t="shared" si="226"/>
        <v>2.4131968834363226E-6</v>
      </c>
      <c r="FZ96">
        <f t="shared" si="143"/>
        <v>4.4863101292740834E-4</v>
      </c>
      <c r="GA96">
        <f t="shared" si="144"/>
        <v>0.23414091048532321</v>
      </c>
      <c r="GC96">
        <f t="shared" si="145"/>
        <v>25.846588694303655</v>
      </c>
      <c r="GD96">
        <f t="shared" si="146"/>
        <v>0.496</v>
      </c>
      <c r="GE96">
        <f t="shared" si="294"/>
        <v>110370.489</v>
      </c>
      <c r="GF96">
        <f t="shared" si="295"/>
        <v>5.1670272329912507E-3</v>
      </c>
      <c r="GG96">
        <f t="shared" si="147"/>
        <v>4.1624182631876967E-3</v>
      </c>
      <c r="GH96">
        <f t="shared" si="148"/>
        <v>1.2406780019303305E-2</v>
      </c>
      <c r="GI96">
        <f t="shared" si="149"/>
        <v>14.406868158255339</v>
      </c>
      <c r="GJ96">
        <f t="shared" si="256"/>
        <v>2.7413069091671479E-6</v>
      </c>
      <c r="GK96">
        <f t="shared" si="227"/>
        <v>3.2649688715416028E-2</v>
      </c>
      <c r="GL96">
        <f t="shared" si="311"/>
        <v>3603.5621092182491</v>
      </c>
      <c r="GM96">
        <f t="shared" si="228"/>
        <v>2.3612233367890454E-6</v>
      </c>
      <c r="GN96">
        <f t="shared" si="151"/>
        <v>4.222676452313198E-4</v>
      </c>
      <c r="GO96">
        <f t="shared" si="152"/>
        <v>0.2278486980790356</v>
      </c>
      <c r="GQ96">
        <f t="shared" si="153"/>
        <v>27.74428243103667</v>
      </c>
      <c r="GR96">
        <f t="shared" si="154"/>
        <v>0.496</v>
      </c>
      <c r="GS96">
        <f t="shared" si="296"/>
        <v>110370.489</v>
      </c>
      <c r="GT96">
        <f t="shared" si="297"/>
        <v>5.1670272329912507E-3</v>
      </c>
      <c r="GU96">
        <f t="shared" si="155"/>
        <v>4.1624182631876967E-3</v>
      </c>
      <c r="GV96">
        <f t="shared" si="156"/>
        <v>1.2406780019303305E-2</v>
      </c>
      <c r="GW96">
        <f t="shared" si="157"/>
        <v>14.406868158255339</v>
      </c>
      <c r="GX96">
        <f t="shared" si="257"/>
        <v>2.6690532326799012E-6</v>
      </c>
      <c r="GY96">
        <f t="shared" si="229"/>
        <v>3.1278271377585286E-2</v>
      </c>
      <c r="GZ96">
        <f t="shared" si="312"/>
        <v>3452.1981070187917</v>
      </c>
      <c r="HA96">
        <f t="shared" si="230"/>
        <v>2.3111009496519737E-6</v>
      </c>
      <c r="HB96">
        <f t="shared" si="159"/>
        <v>3.976800857602287E-4</v>
      </c>
      <c r="HC96">
        <f t="shared" si="160"/>
        <v>0.22184320264764493</v>
      </c>
      <c r="HE96">
        <f t="shared" si="161"/>
        <v>29.641976167769684</v>
      </c>
      <c r="HF96">
        <f t="shared" si="162"/>
        <v>0.496</v>
      </c>
      <c r="HG96">
        <f t="shared" si="33"/>
        <v>110370.489</v>
      </c>
      <c r="HH96">
        <f t="shared" si="34"/>
        <v>5.1670272329912507E-3</v>
      </c>
      <c r="HI96">
        <f t="shared" si="263"/>
        <v>4.1624182631876967E-3</v>
      </c>
      <c r="HJ96">
        <f t="shared" si="164"/>
        <v>1.2406780019303305E-2</v>
      </c>
      <c r="HK96">
        <f t="shared" si="165"/>
        <v>14.406868158255339</v>
      </c>
      <c r="HL96">
        <f t="shared" si="258"/>
        <v>2.600044163312179E-6</v>
      </c>
      <c r="HM96">
        <f t="shared" si="231"/>
        <v>2.9983064499255717E-2</v>
      </c>
      <c r="HN96">
        <f t="shared" si="166"/>
        <v>3309.2454905013938</v>
      </c>
      <c r="HO96">
        <f t="shared" si="232"/>
        <v>2.26274468705575E-6</v>
      </c>
      <c r="HP96">
        <f t="shared" si="167"/>
        <v>3.7473510019231105E-4</v>
      </c>
      <c r="HQ96">
        <f t="shared" si="168"/>
        <v>0.21610738862459619</v>
      </c>
      <c r="HS96">
        <f t="shared" si="169"/>
        <v>31.539669904502702</v>
      </c>
      <c r="HT96">
        <f t="shared" si="170"/>
        <v>0.496</v>
      </c>
      <c r="HU96">
        <f t="shared" si="35"/>
        <v>110370.489</v>
      </c>
      <c r="HV96">
        <f t="shared" si="36"/>
        <v>5.1670272329912507E-3</v>
      </c>
      <c r="HW96">
        <f t="shared" si="264"/>
        <v>4.1624182631876967E-3</v>
      </c>
      <c r="HX96">
        <f t="shared" si="172"/>
        <v>1.2406780019303305E-2</v>
      </c>
      <c r="HY96">
        <f t="shared" si="173"/>
        <v>14.406868158255339</v>
      </c>
      <c r="HZ96">
        <f t="shared" si="259"/>
        <v>2.5340891373463855E-6</v>
      </c>
      <c r="IA96">
        <f t="shared" si="233"/>
        <v>2.8758978034577474E-2</v>
      </c>
      <c r="IB96">
        <f t="shared" si="174"/>
        <v>3174.1424688165748</v>
      </c>
      <c r="IC96">
        <f t="shared" si="234"/>
        <v>2.2160740533702449E-6</v>
      </c>
      <c r="ID96">
        <f t="shared" si="175"/>
        <v>3.5331040438932147E-4</v>
      </c>
      <c r="IE96">
        <f t="shared" si="176"/>
        <v>0.21062541696070808</v>
      </c>
      <c r="IG96">
        <f t="shared" si="177"/>
        <v>33.437363641235713</v>
      </c>
      <c r="IH96">
        <f t="shared" si="178"/>
        <v>0.496</v>
      </c>
      <c r="II96">
        <f t="shared" si="37"/>
        <v>110370.489</v>
      </c>
      <c r="IJ96">
        <f t="shared" si="38"/>
        <v>5.1670272329912507E-3</v>
      </c>
      <c r="IK96">
        <f t="shared" si="265"/>
        <v>4.1624182631876967E-3</v>
      </c>
      <c r="IL96">
        <f t="shared" si="180"/>
        <v>1.2406780019303305E-2</v>
      </c>
      <c r="IM96">
        <f t="shared" si="181"/>
        <v>14.406868158255339</v>
      </c>
      <c r="IN96">
        <f t="shared" si="260"/>
        <v>2.4710108487996073E-6</v>
      </c>
      <c r="IO96">
        <f t="shared" si="235"/>
        <v>2.7601309728028402E-2</v>
      </c>
      <c r="IP96">
        <f t="shared" si="182"/>
        <v>3046.3700517229518</v>
      </c>
      <c r="IQ96">
        <f t="shared" si="236"/>
        <v>2.1710128280277094E-6</v>
      </c>
      <c r="IR96">
        <f t="shared" si="183"/>
        <v>3.3329369383896103E-4</v>
      </c>
      <c r="IS96">
        <f t="shared" si="184"/>
        <v>0.20538255054747465</v>
      </c>
      <c r="IU96">
        <f t="shared" si="185"/>
        <v>35.335057377968731</v>
      </c>
      <c r="IV96">
        <f t="shared" si="186"/>
        <v>0.496</v>
      </c>
      <c r="IW96">
        <f t="shared" si="39"/>
        <v>110370.489</v>
      </c>
      <c r="IX96">
        <f t="shared" si="40"/>
        <v>5.1670272329912507E-3</v>
      </c>
      <c r="IY96">
        <f t="shared" si="266"/>
        <v>4.1624182631876967E-3</v>
      </c>
      <c r="IZ96">
        <f t="shared" si="188"/>
        <v>1.2406780019303305E-2</v>
      </c>
      <c r="JA96">
        <f t="shared" si="189"/>
        <v>14.406868158255339</v>
      </c>
      <c r="JB96">
        <f t="shared" si="261"/>
        <v>2.4106442098134761E-6</v>
      </c>
      <c r="JC96">
        <f t="shared" si="237"/>
        <v>2.6505712517116531E-2</v>
      </c>
      <c r="JD96">
        <f t="shared" si="190"/>
        <v>2925.4484518075724</v>
      </c>
      <c r="JE96">
        <f t="shared" si="238"/>
        <v>2.1274888172310362E-6</v>
      </c>
      <c r="JF96">
        <f t="shared" si="191"/>
        <v>3.1458176451097089E-4</v>
      </c>
      <c r="JG96">
        <f t="shared" si="192"/>
        <v>0.20036506780798233</v>
      </c>
      <c r="JI96">
        <f t="shared" si="193"/>
        <v>37.232751114701742</v>
      </c>
      <c r="JJ96">
        <f t="shared" si="194"/>
        <v>0.496</v>
      </c>
      <c r="JK96">
        <f t="shared" si="41"/>
        <v>110370.489</v>
      </c>
      <c r="JL96">
        <f t="shared" si="42"/>
        <v>5.1670272329912507E-3</v>
      </c>
      <c r="JM96">
        <f t="shared" si="267"/>
        <v>4.1624182631876967E-3</v>
      </c>
      <c r="JN96">
        <f t="shared" si="196"/>
        <v>1.2406780019303305E-2</v>
      </c>
      <c r="JO96">
        <f t="shared" si="197"/>
        <v>14.406868158255339</v>
      </c>
      <c r="JP96">
        <f t="shared" si="262"/>
        <v>2.3528354002263012E-6</v>
      </c>
      <c r="JQ96">
        <f t="shared" si="239"/>
        <v>2.5468164889061336E-2</v>
      </c>
      <c r="JR96">
        <f t="shared" si="198"/>
        <v>2810.9338127383303</v>
      </c>
      <c r="JS96">
        <f t="shared" si="240"/>
        <v>2.08543362069017E-6</v>
      </c>
      <c r="JT96">
        <f t="shared" si="199"/>
        <v>2.9707971609743781E-4</v>
      </c>
      <c r="JU96">
        <f t="shared" si="200"/>
        <v>0.19556018370037309</v>
      </c>
    </row>
    <row r="97" spans="2:281">
      <c r="B97">
        <v>0.63</v>
      </c>
      <c r="C97">
        <f t="shared" si="43"/>
        <v>1.1955470541417992</v>
      </c>
      <c r="D97">
        <f t="shared" si="44"/>
        <v>0.504</v>
      </c>
      <c r="E97">
        <f t="shared" si="268"/>
        <v>110186.061</v>
      </c>
      <c r="F97">
        <f t="shared" si="269"/>
        <v>5.1699084604603322E-3</v>
      </c>
      <c r="G97">
        <f t="shared" si="45"/>
        <v>4.1612582286025494E-3</v>
      </c>
      <c r="H97">
        <f t="shared" si="46"/>
        <v>1.2427546326807483E-2</v>
      </c>
      <c r="I97">
        <f t="shared" si="47"/>
        <v>14.422939696345331</v>
      </c>
      <c r="J97">
        <f t="shared" si="241"/>
        <v>4.0943357579753812E-6</v>
      </c>
      <c r="K97">
        <f t="shared" si="201"/>
        <v>6.1233785448448187E-2</v>
      </c>
      <c r="L97">
        <f t="shared" si="298"/>
        <v>6747.1096186836248</v>
      </c>
      <c r="M97">
        <f t="shared" si="202"/>
        <v>3.2309478187650299E-6</v>
      </c>
      <c r="N97">
        <f t="shared" si="203"/>
        <v>9.6001460274005375E-4</v>
      </c>
      <c r="O97">
        <f t="shared" si="49"/>
        <v>0.34030814602826009</v>
      </c>
      <c r="Q97">
        <f t="shared" si="50"/>
        <v>3.0932407908748134</v>
      </c>
      <c r="R97">
        <f t="shared" si="51"/>
        <v>0.504</v>
      </c>
      <c r="S97">
        <f t="shared" si="270"/>
        <v>110186.061</v>
      </c>
      <c r="T97">
        <f t="shared" si="271"/>
        <v>5.1699084604603322E-3</v>
      </c>
      <c r="U97">
        <f t="shared" si="52"/>
        <v>4.1612582286025494E-3</v>
      </c>
      <c r="V97">
        <f t="shared" si="53"/>
        <v>1.2427546326807483E-2</v>
      </c>
      <c r="W97">
        <f t="shared" si="54"/>
        <v>14.422939696345331</v>
      </c>
      <c r="X97">
        <f t="shared" si="242"/>
        <v>3.9539445409621936E-6</v>
      </c>
      <c r="Y97">
        <f t="shared" si="204"/>
        <v>5.8112811132882906E-2</v>
      </c>
      <c r="Z97">
        <f t="shared" si="299"/>
        <v>6403.2217523693153</v>
      </c>
      <c r="AA97">
        <f t="shared" si="205"/>
        <v>3.147533289962433E-6</v>
      </c>
      <c r="AB97">
        <f t="shared" si="56"/>
        <v>8.9666132872054285E-4</v>
      </c>
      <c r="AC97">
        <f t="shared" si="57"/>
        <v>0.32863927527496506</v>
      </c>
      <c r="AE97">
        <f t="shared" si="58"/>
        <v>4.9909345276078279</v>
      </c>
      <c r="AF97">
        <f t="shared" si="59"/>
        <v>0.504</v>
      </c>
      <c r="AG97">
        <f t="shared" si="272"/>
        <v>110186.061</v>
      </c>
      <c r="AH97">
        <f t="shared" si="273"/>
        <v>5.1699084604603322E-3</v>
      </c>
      <c r="AI97">
        <f t="shared" si="60"/>
        <v>4.1612582286025494E-3</v>
      </c>
      <c r="AJ97">
        <f t="shared" si="61"/>
        <v>1.2427546326807483E-2</v>
      </c>
      <c r="AK97">
        <f t="shared" si="62"/>
        <v>14.422939696345331</v>
      </c>
      <c r="AL97">
        <f t="shared" si="243"/>
        <v>3.8211831164133335E-6</v>
      </c>
      <c r="AM97">
        <f t="shared" si="206"/>
        <v>5.5194760118792541E-2</v>
      </c>
      <c r="AN97">
        <f t="shared" si="300"/>
        <v>6081.6932053296423</v>
      </c>
      <c r="AO97">
        <f t="shared" si="207"/>
        <v>3.0674911261080446E-6</v>
      </c>
      <c r="AP97">
        <f t="shared" si="64"/>
        <v>8.3804195518766582E-4</v>
      </c>
      <c r="AQ97">
        <f t="shared" si="65"/>
        <v>0.31760456856721953</v>
      </c>
      <c r="AS97">
        <f t="shared" si="66"/>
        <v>6.8886282643408423</v>
      </c>
      <c r="AT97">
        <f t="shared" si="67"/>
        <v>0.504</v>
      </c>
      <c r="AU97">
        <f t="shared" si="274"/>
        <v>110186.061</v>
      </c>
      <c r="AV97">
        <f t="shared" si="275"/>
        <v>5.1699084604603322E-3</v>
      </c>
      <c r="AW97">
        <f t="shared" si="68"/>
        <v>4.1612582286025494E-3</v>
      </c>
      <c r="AX97">
        <f t="shared" si="69"/>
        <v>1.2427546326807483E-2</v>
      </c>
      <c r="AY97">
        <f t="shared" si="70"/>
        <v>14.422939696345331</v>
      </c>
      <c r="AZ97">
        <f t="shared" si="244"/>
        <v>3.6955318823356998E-6</v>
      </c>
      <c r="BA97">
        <f t="shared" si="208"/>
        <v>5.2464211726849196E-2</v>
      </c>
      <c r="BB97">
        <f t="shared" si="301"/>
        <v>5780.8248336515207</v>
      </c>
      <c r="BC97">
        <f t="shared" si="209"/>
        <v>2.9906525893773323E-6</v>
      </c>
      <c r="BD97">
        <f t="shared" si="72"/>
        <v>7.8376635076465992E-4</v>
      </c>
      <c r="BE97">
        <f t="shared" si="73"/>
        <v>0.30716083824250695</v>
      </c>
      <c r="BG97">
        <f t="shared" si="74"/>
        <v>8.7863220010738559</v>
      </c>
      <c r="BH97">
        <f t="shared" si="75"/>
        <v>0.504</v>
      </c>
      <c r="BI97">
        <f t="shared" si="276"/>
        <v>110186.061</v>
      </c>
      <c r="BJ97">
        <f t="shared" si="277"/>
        <v>5.1699084604603322E-3</v>
      </c>
      <c r="BK97">
        <f t="shared" si="76"/>
        <v>4.1612582286025494E-3</v>
      </c>
      <c r="BL97">
        <f t="shared" si="77"/>
        <v>1.2427546326807483E-2</v>
      </c>
      <c r="BM97">
        <f t="shared" si="78"/>
        <v>14.422939696345331</v>
      </c>
      <c r="BN97">
        <f t="shared" si="245"/>
        <v>3.5765119808248583E-6</v>
      </c>
      <c r="BO97">
        <f t="shared" si="210"/>
        <v>4.990705155179688E-2</v>
      </c>
      <c r="BP97">
        <f t="shared" si="302"/>
        <v>5499.0614266164357</v>
      </c>
      <c r="BQ97">
        <f t="shared" si="211"/>
        <v>2.9168583987242395E-6</v>
      </c>
      <c r="BR97">
        <f t="shared" si="80"/>
        <v>7.3347917292610073E-4</v>
      </c>
      <c r="BS97">
        <f t="shared" si="81"/>
        <v>0.29726828315717385</v>
      </c>
      <c r="BU97">
        <f t="shared" si="82"/>
        <v>10.68401573780687</v>
      </c>
      <c r="BV97">
        <f t="shared" si="83"/>
        <v>0.504</v>
      </c>
      <c r="BW97">
        <f t="shared" si="278"/>
        <v>110186.061</v>
      </c>
      <c r="BX97">
        <f t="shared" si="279"/>
        <v>5.1699084604603322E-3</v>
      </c>
      <c r="BY97">
        <f t="shared" si="84"/>
        <v>4.1612582286025494E-3</v>
      </c>
      <c r="BZ97">
        <f t="shared" si="85"/>
        <v>1.2427546326807483E-2</v>
      </c>
      <c r="CA97">
        <f t="shared" si="86"/>
        <v>14.422939696345331</v>
      </c>
      <c r="CB97">
        <f t="shared" si="246"/>
        <v>3.4636817734082473E-6</v>
      </c>
      <c r="CC97">
        <f t="shared" si="247"/>
        <v>4.751035177039472E-2</v>
      </c>
      <c r="CD97">
        <f t="shared" si="303"/>
        <v>5234.9785183041704</v>
      </c>
      <c r="CE97">
        <f t="shared" si="248"/>
        <v>2.8459581726817411E-6</v>
      </c>
      <c r="CF97">
        <f t="shared" si="212"/>
        <v>6.8685656843549118E-4</v>
      </c>
      <c r="CG97">
        <f t="shared" si="88"/>
        <v>0.28789019572818436</v>
      </c>
      <c r="CI97">
        <f t="shared" si="89"/>
        <v>12.581709474539885</v>
      </c>
      <c r="CJ97">
        <f t="shared" si="90"/>
        <v>0.504</v>
      </c>
      <c r="CK97">
        <f t="shared" si="280"/>
        <v>110186.061</v>
      </c>
      <c r="CL97">
        <f t="shared" si="281"/>
        <v>5.1699084604603322E-3</v>
      </c>
      <c r="CM97">
        <f t="shared" si="91"/>
        <v>4.1612582286025494E-3</v>
      </c>
      <c r="CN97">
        <f t="shared" si="92"/>
        <v>1.2427546326807483E-2</v>
      </c>
      <c r="CO97">
        <f t="shared" si="93"/>
        <v>14.422939696345331</v>
      </c>
      <c r="CP97">
        <f t="shared" si="249"/>
        <v>3.356633643957314E-6</v>
      </c>
      <c r="CQ97">
        <f t="shared" si="213"/>
        <v>4.526226306415311E-2</v>
      </c>
      <c r="CR97">
        <f t="shared" si="304"/>
        <v>4987.2704789848212</v>
      </c>
      <c r="CS97">
        <f t="shared" si="214"/>
        <v>2.7778099048587591E-6</v>
      </c>
      <c r="CT97">
        <f t="shared" si="95"/>
        <v>6.4360320165629385E-4</v>
      </c>
      <c r="CU97">
        <f t="shared" si="96"/>
        <v>0.27899269620136141</v>
      </c>
      <c r="CW97">
        <f t="shared" si="97"/>
        <v>14.479403211272899</v>
      </c>
      <c r="CX97">
        <f t="shared" si="98"/>
        <v>0.504</v>
      </c>
      <c r="CY97">
        <f t="shared" si="282"/>
        <v>110186.061</v>
      </c>
      <c r="CZ97">
        <f t="shared" si="283"/>
        <v>5.1699084604603322E-3</v>
      </c>
      <c r="DA97">
        <f t="shared" si="99"/>
        <v>4.1612582286025494E-3</v>
      </c>
      <c r="DB97">
        <f t="shared" si="100"/>
        <v>1.2427546326807483E-2</v>
      </c>
      <c r="DC97">
        <f t="shared" si="101"/>
        <v>14.422939696345331</v>
      </c>
      <c r="DD97">
        <f t="shared" si="250"/>
        <v>3.2549910970752135E-6</v>
      </c>
      <c r="DE97">
        <f t="shared" si="215"/>
        <v>4.3151916982360122E-2</v>
      </c>
      <c r="DF97">
        <f t="shared" si="305"/>
        <v>4754.7397568852684</v>
      </c>
      <c r="DG97">
        <f t="shared" si="216"/>
        <v>2.7122794703405201E-6</v>
      </c>
      <c r="DH97">
        <f t="shared" si="103"/>
        <v>6.0344957704485454E-4</v>
      </c>
      <c r="DI97">
        <f t="shared" si="104"/>
        <v>0.27054449147861476</v>
      </c>
      <c r="DK97">
        <f t="shared" si="105"/>
        <v>16.377096948005917</v>
      </c>
      <c r="DL97">
        <f t="shared" si="106"/>
        <v>0.504</v>
      </c>
      <c r="DM97">
        <f t="shared" si="284"/>
        <v>110186.061</v>
      </c>
      <c r="DN97">
        <f t="shared" si="285"/>
        <v>5.1699084604603322E-3</v>
      </c>
      <c r="DO97">
        <f t="shared" si="107"/>
        <v>4.1612582286025494E-3</v>
      </c>
      <c r="DP97">
        <f t="shared" si="108"/>
        <v>1.2427546326807483E-2</v>
      </c>
      <c r="DQ97">
        <f t="shared" si="109"/>
        <v>14.422939696345331</v>
      </c>
      <c r="DR97">
        <f t="shared" si="251"/>
        <v>3.1584061231328558E-6</v>
      </c>
      <c r="DS97">
        <f t="shared" si="217"/>
        <v>4.1169337693034151E-2</v>
      </c>
      <c r="DT97">
        <f t="shared" si="306"/>
        <v>4536.2871543742604</v>
      </c>
      <c r="DU97">
        <f t="shared" si="218"/>
        <v>2.649240161282346E-6</v>
      </c>
      <c r="DV97">
        <f t="shared" si="111"/>
        <v>5.6614962567317522E-4</v>
      </c>
      <c r="DW97">
        <f t="shared" si="112"/>
        <v>0.26251665610813091</v>
      </c>
      <c r="DY97">
        <f t="shared" si="113"/>
        <v>18.274790684738932</v>
      </c>
      <c r="DZ97">
        <f t="shared" si="114"/>
        <v>0.504</v>
      </c>
      <c r="EA97">
        <f t="shared" si="286"/>
        <v>110186.061</v>
      </c>
      <c r="EB97">
        <f t="shared" si="287"/>
        <v>5.1699084604603322E-3</v>
      </c>
      <c r="EC97">
        <f t="shared" si="115"/>
        <v>4.1612582286025494E-3</v>
      </c>
      <c r="ED97">
        <f t="shared" si="116"/>
        <v>1.2427546326807483E-2</v>
      </c>
      <c r="EE97">
        <f t="shared" si="117"/>
        <v>14.422939696345331</v>
      </c>
      <c r="EF97">
        <f t="shared" si="252"/>
        <v>3.0665568040512108E-6</v>
      </c>
      <c r="EG97">
        <f t="shared" si="219"/>
        <v>3.9305362178661533E-2</v>
      </c>
      <c r="EH97">
        <f t="shared" si="307"/>
        <v>4330.9030346450927</v>
      </c>
      <c r="EI97">
        <f t="shared" si="220"/>
        <v>2.5885722500671519E-6</v>
      </c>
      <c r="EJ97">
        <f t="shared" si="119"/>
        <v>5.3147852879271084E-4</v>
      </c>
      <c r="EK97">
        <f t="shared" si="120"/>
        <v>0.25488243328462484</v>
      </c>
      <c r="EM97">
        <f t="shared" si="121"/>
        <v>20.172484421471946</v>
      </c>
      <c r="EN97">
        <f t="shared" si="122"/>
        <v>0.504</v>
      </c>
      <c r="EO97">
        <f t="shared" si="288"/>
        <v>110186.061</v>
      </c>
      <c r="EP97">
        <f t="shared" si="289"/>
        <v>5.1699084604603322E-3</v>
      </c>
      <c r="EQ97">
        <f t="shared" si="123"/>
        <v>4.1612582286025494E-3</v>
      </c>
      <c r="ER97">
        <f t="shared" si="124"/>
        <v>1.2427546326807483E-2</v>
      </c>
      <c r="ES97">
        <f t="shared" si="125"/>
        <v>14.422939696345331</v>
      </c>
      <c r="ET97">
        <f t="shared" si="253"/>
        <v>2.9791451365479179E-6</v>
      </c>
      <c r="EU97">
        <f t="shared" si="221"/>
        <v>3.7551568031264047E-2</v>
      </c>
      <c r="EV97">
        <f t="shared" si="308"/>
        <v>4137.6593657385101</v>
      </c>
      <c r="EW97">
        <f t="shared" si="222"/>
        <v>2.5301625784747411E-6</v>
      </c>
      <c r="EX97">
        <f t="shared" si="127"/>
        <v>4.9923075427721494E-4</v>
      </c>
      <c r="EY97">
        <f t="shared" si="128"/>
        <v>0.24761705392453201</v>
      </c>
      <c r="FA97">
        <f t="shared" si="129"/>
        <v>22.070178158204961</v>
      </c>
      <c r="FB97">
        <f t="shared" si="130"/>
        <v>0.504</v>
      </c>
      <c r="FC97">
        <f t="shared" si="290"/>
        <v>110186.061</v>
      </c>
      <c r="FD97">
        <f t="shared" si="291"/>
        <v>5.1699084604603322E-3</v>
      </c>
      <c r="FE97">
        <f t="shared" si="131"/>
        <v>4.1612582286025494E-3</v>
      </c>
      <c r="FF97">
        <f t="shared" si="132"/>
        <v>1.2427546326807483E-2</v>
      </c>
      <c r="FG97">
        <f t="shared" si="133"/>
        <v>14.422939696345331</v>
      </c>
      <c r="FH97">
        <f t="shared" si="254"/>
        <v>2.8958950519139037E-6</v>
      </c>
      <c r="FI97">
        <f t="shared" si="223"/>
        <v>3.5900208088710167E-2</v>
      </c>
      <c r="FJ97">
        <f t="shared" si="309"/>
        <v>3955.7025183753121</v>
      </c>
      <c r="FK97">
        <f t="shared" si="224"/>
        <v>2.4739041713861265E-6</v>
      </c>
      <c r="FL97">
        <f t="shared" si="135"/>
        <v>4.692182843095042E-4</v>
      </c>
      <c r="FM97">
        <f t="shared" si="136"/>
        <v>0.24069757207614878</v>
      </c>
      <c r="FO97">
        <f t="shared" si="137"/>
        <v>23.967871894937975</v>
      </c>
      <c r="FP97">
        <f t="shared" si="138"/>
        <v>0.504</v>
      </c>
      <c r="FQ97">
        <f t="shared" si="292"/>
        <v>110186.061</v>
      </c>
      <c r="FR97">
        <f t="shared" si="293"/>
        <v>5.1699084604603322E-3</v>
      </c>
      <c r="FS97">
        <f t="shared" si="139"/>
        <v>4.1612582286025494E-3</v>
      </c>
      <c r="FT97">
        <f t="shared" si="140"/>
        <v>1.2427546326807483E-2</v>
      </c>
      <c r="FU97">
        <f t="shared" si="141"/>
        <v>14.422939696345331</v>
      </c>
      <c r="FV97">
        <f t="shared" si="255"/>
        <v>2.8165506134895708E-6</v>
      </c>
      <c r="FW97">
        <f t="shared" si="225"/>
        <v>3.4344151232348227E-2</v>
      </c>
      <c r="FX97">
        <f t="shared" si="310"/>
        <v>3784.246742680747</v>
      </c>
      <c r="FY97">
        <f t="shared" si="226"/>
        <v>2.4196958736190139E-6</v>
      </c>
      <c r="FZ97">
        <f t="shared" si="143"/>
        <v>4.4126901493526488E-4</v>
      </c>
      <c r="GA97">
        <f t="shared" si="144"/>
        <v>0.23410271509959485</v>
      </c>
      <c r="GC97">
        <f t="shared" si="145"/>
        <v>25.865565631670989</v>
      </c>
      <c r="GD97">
        <f t="shared" si="146"/>
        <v>0.504</v>
      </c>
      <c r="GE97">
        <f t="shared" si="294"/>
        <v>110186.061</v>
      </c>
      <c r="GF97">
        <f t="shared" si="295"/>
        <v>5.1699084604603322E-3</v>
      </c>
      <c r="GG97">
        <f t="shared" si="147"/>
        <v>4.1612582286025494E-3</v>
      </c>
      <c r="GH97">
        <f t="shared" si="148"/>
        <v>1.2427546326807483E-2</v>
      </c>
      <c r="GI97">
        <f t="shared" si="149"/>
        <v>14.422939696345331</v>
      </c>
      <c r="GJ97">
        <f t="shared" si="256"/>
        <v>2.7408743748959765E-6</v>
      </c>
      <c r="GK97">
        <f t="shared" si="227"/>
        <v>3.2876828735963842E-2</v>
      </c>
      <c r="GL97">
        <f t="shared" si="311"/>
        <v>3622.5682565874649</v>
      </c>
      <c r="GM97">
        <f t="shared" si="228"/>
        <v>2.3674420085607599E-6</v>
      </c>
      <c r="GN97">
        <f t="shared" si="151"/>
        <v>4.1522531012590165E-4</v>
      </c>
      <c r="GO97">
        <f t="shared" si="152"/>
        <v>0.2278127472082187</v>
      </c>
      <c r="GQ97">
        <f t="shared" si="153"/>
        <v>27.763259368404004</v>
      </c>
      <c r="GR97">
        <f t="shared" si="154"/>
        <v>0.504</v>
      </c>
      <c r="GS97">
        <f t="shared" si="296"/>
        <v>110186.061</v>
      </c>
      <c r="GT97">
        <f t="shared" si="297"/>
        <v>5.1699084604603322E-3</v>
      </c>
      <c r="GU97">
        <f t="shared" si="155"/>
        <v>4.1612582286025494E-3</v>
      </c>
      <c r="GV97">
        <f t="shared" si="156"/>
        <v>1.2427546326807483E-2</v>
      </c>
      <c r="GW97">
        <f t="shared" si="157"/>
        <v>14.422939696345331</v>
      </c>
      <c r="GX97">
        <f t="shared" si="257"/>
        <v>2.6686458837674375E-6</v>
      </c>
      <c r="GY97">
        <f t="shared" si="229"/>
        <v>3.1492185618638618E-2</v>
      </c>
      <c r="GZ97">
        <f t="shared" si="312"/>
        <v>3469.9998855986378</v>
      </c>
      <c r="HA97">
        <f t="shared" si="230"/>
        <v>2.3170520573330261E-6</v>
      </c>
      <c r="HB97">
        <f t="shared" si="159"/>
        <v>3.9094269479718964E-4</v>
      </c>
      <c r="HC97">
        <f t="shared" si="160"/>
        <v>0.22180934510361788</v>
      </c>
      <c r="HE97">
        <f t="shared" si="161"/>
        <v>29.660953105137018</v>
      </c>
      <c r="HF97">
        <f t="shared" si="162"/>
        <v>0.504</v>
      </c>
      <c r="HG97">
        <f t="shared" si="33"/>
        <v>110186.061</v>
      </c>
      <c r="HH97">
        <f t="shared" si="34"/>
        <v>5.1699084604603322E-3</v>
      </c>
      <c r="HI97">
        <f t="shared" si="263"/>
        <v>4.1612582286025494E-3</v>
      </c>
      <c r="HJ97">
        <f t="shared" si="164"/>
        <v>1.2427546326807483E-2</v>
      </c>
      <c r="HK97">
        <f t="shared" si="165"/>
        <v>14.422939696345331</v>
      </c>
      <c r="HL97">
        <f t="shared" si="258"/>
        <v>2.599660317248493E-6</v>
      </c>
      <c r="HM97">
        <f t="shared" si="231"/>
        <v>3.0184636510085579E-2</v>
      </c>
      <c r="HN97">
        <f t="shared" si="166"/>
        <v>3325.9261997631165</v>
      </c>
      <c r="HO97">
        <f t="shared" si="232"/>
        <v>2.2684403572876803E-6</v>
      </c>
      <c r="HP97">
        <f t="shared" si="167"/>
        <v>3.6828867284406918E-4</v>
      </c>
      <c r="HQ97">
        <f t="shared" si="168"/>
        <v>0.21607548456249312</v>
      </c>
      <c r="HS97">
        <f t="shared" si="169"/>
        <v>31.558646841870029</v>
      </c>
      <c r="HT97">
        <f t="shared" si="170"/>
        <v>0.504</v>
      </c>
      <c r="HU97">
        <f t="shared" si="35"/>
        <v>110186.061</v>
      </c>
      <c r="HV97">
        <f t="shared" si="36"/>
        <v>5.1699084604603322E-3</v>
      </c>
      <c r="HW97">
        <f t="shared" si="264"/>
        <v>4.1612582286025494E-3</v>
      </c>
      <c r="HX97">
        <f t="shared" si="172"/>
        <v>1.2427546326807483E-2</v>
      </c>
      <c r="HY97">
        <f t="shared" si="173"/>
        <v>14.422939696345331</v>
      </c>
      <c r="HZ97">
        <f t="shared" si="259"/>
        <v>2.53372723687879E-6</v>
      </c>
      <c r="IA97">
        <f t="shared" si="233"/>
        <v>2.8949025587164067E-2</v>
      </c>
      <c r="IB97">
        <f t="shared" si="174"/>
        <v>3189.7790992378209</v>
      </c>
      <c r="IC97">
        <f t="shared" si="234"/>
        <v>2.2215258186964213E-6</v>
      </c>
      <c r="ID97">
        <f t="shared" si="175"/>
        <v>3.4714165769485737E-4</v>
      </c>
      <c r="IE97">
        <f t="shared" si="176"/>
        <v>0.21059533694664612</v>
      </c>
      <c r="IG97">
        <f t="shared" si="177"/>
        <v>33.45634057860304</v>
      </c>
      <c r="IH97">
        <f t="shared" si="178"/>
        <v>0.504</v>
      </c>
      <c r="II97">
        <f t="shared" si="37"/>
        <v>110186.061</v>
      </c>
      <c r="IJ97">
        <f t="shared" si="38"/>
        <v>5.1699084604603322E-3</v>
      </c>
      <c r="IK97">
        <f t="shared" si="265"/>
        <v>4.1612582286025494E-3</v>
      </c>
      <c r="IL97">
        <f t="shared" si="180"/>
        <v>1.2427546326807483E-2</v>
      </c>
      <c r="IM97">
        <f t="shared" si="181"/>
        <v>14.422939696345331</v>
      </c>
      <c r="IN97">
        <f t="shared" si="260"/>
        <v>2.4706694517103948E-6</v>
      </c>
      <c r="IO97">
        <f t="shared" si="235"/>
        <v>2.7780590185155395E-2</v>
      </c>
      <c r="IP97">
        <f t="shared" si="182"/>
        <v>3061.0338047575337</v>
      </c>
      <c r="IQ97">
        <f t="shared" si="236"/>
        <v>2.1762316585570985E-6</v>
      </c>
      <c r="IR97">
        <f t="shared" si="183"/>
        <v>3.2739000417847272E-4</v>
      </c>
      <c r="IS97">
        <f t="shared" si="184"/>
        <v>0.20535417470891207</v>
      </c>
      <c r="IU97">
        <f t="shared" si="185"/>
        <v>35.354034315336058</v>
      </c>
      <c r="IV97">
        <f t="shared" si="186"/>
        <v>0.504</v>
      </c>
      <c r="IW97">
        <f t="shared" si="39"/>
        <v>110186.061</v>
      </c>
      <c r="IX97">
        <f t="shared" si="40"/>
        <v>5.1699084604603322E-3</v>
      </c>
      <c r="IY97">
        <f t="shared" si="266"/>
        <v>4.1612582286025494E-3</v>
      </c>
      <c r="IZ97">
        <f t="shared" si="188"/>
        <v>1.2427546326807483E-2</v>
      </c>
      <c r="JA97">
        <f t="shared" si="189"/>
        <v>14.422939696345331</v>
      </c>
      <c r="JB97">
        <f t="shared" si="261"/>
        <v>2.4103219795981775E-6</v>
      </c>
      <c r="JC97">
        <f t="shared" si="237"/>
        <v>2.6674927727568708E-2</v>
      </c>
      <c r="JD97">
        <f t="shared" si="190"/>
        <v>2939.2052137604769</v>
      </c>
      <c r="JE97">
        <f t="shared" si="238"/>
        <v>2.1324851504977369E-6</v>
      </c>
      <c r="JF97">
        <f t="shared" si="191"/>
        <v>3.0893113165254854E-4</v>
      </c>
      <c r="JG97">
        <f t="shared" si="192"/>
        <v>0.20033828505892495</v>
      </c>
      <c r="JI97">
        <f t="shared" si="193"/>
        <v>37.251728052069069</v>
      </c>
      <c r="JJ97">
        <f t="shared" si="194"/>
        <v>0.504</v>
      </c>
      <c r="JK97">
        <f t="shared" si="41"/>
        <v>110186.061</v>
      </c>
      <c r="JL97">
        <f t="shared" si="42"/>
        <v>5.1699084604603322E-3</v>
      </c>
      <c r="JM97">
        <f t="shared" si="267"/>
        <v>4.1612582286025494E-3</v>
      </c>
      <c r="JN97">
        <f t="shared" si="196"/>
        <v>1.2427546326807483E-2</v>
      </c>
      <c r="JO97">
        <f t="shared" si="197"/>
        <v>14.422939696345331</v>
      </c>
      <c r="JP97">
        <f t="shared" si="262"/>
        <v>2.3525310975880738E-6</v>
      </c>
      <c r="JQ97">
        <f t="shared" si="239"/>
        <v>2.5627965654241251E-2</v>
      </c>
      <c r="JR97">
        <f t="shared" si="198"/>
        <v>2823.8445868841313</v>
      </c>
      <c r="JS97">
        <f t="shared" si="240"/>
        <v>2.0902173898148599E-6</v>
      </c>
      <c r="JT97">
        <f t="shared" si="199"/>
        <v>2.9167072937281226E-4</v>
      </c>
      <c r="JU97">
        <f t="shared" si="200"/>
        <v>0.19553489103441501</v>
      </c>
    </row>
    <row r="98" spans="2:281">
      <c r="B98">
        <v>0.64</v>
      </c>
      <c r="C98">
        <f t="shared" si="43"/>
        <v>1.2145239915091293</v>
      </c>
      <c r="D98">
        <f t="shared" si="44"/>
        <v>0.51200000000000001</v>
      </c>
      <c r="E98">
        <f t="shared" ref="E98:E129" si="313">$C$13+$C$18*$C$19*($C$3-D98)+4*$C$22/$C$11</f>
        <v>110001.633</v>
      </c>
      <c r="F98">
        <f t="shared" ref="F98:F129" si="314">$C$11*($G$27/E98)^(1/3)</f>
        <v>5.1727961251963918E-3</v>
      </c>
      <c r="G98">
        <f t="shared" si="45"/>
        <v>4.1600965748449939E-3</v>
      </c>
      <c r="H98">
        <f t="shared" si="46"/>
        <v>1.2448382267615384E-2</v>
      </c>
      <c r="I98">
        <f t="shared" si="47"/>
        <v>14.439056130954048</v>
      </c>
      <c r="J98">
        <f t="shared" si="241"/>
        <v>4.0933524024633046E-6</v>
      </c>
      <c r="K98">
        <f t="shared" si="201"/>
        <v>6.1750182428077248E-2</v>
      </c>
      <c r="L98">
        <f t="shared" si="298"/>
        <v>6792.6209051364021</v>
      </c>
      <c r="M98">
        <f t="shared" si="202"/>
        <v>3.2418263628947384E-6</v>
      </c>
      <c r="N98">
        <f t="shared" si="203"/>
        <v>9.476185582814945E-4</v>
      </c>
      <c r="O98">
        <f t="shared" si="49"/>
        <v>0.34022641265049552</v>
      </c>
      <c r="Q98">
        <f t="shared" si="50"/>
        <v>3.1122177282421437</v>
      </c>
      <c r="R98">
        <f t="shared" si="51"/>
        <v>0.51200000000000001</v>
      </c>
      <c r="S98">
        <f t="shared" ref="S98:S129" si="315">$C$13+$C$18*$C$19*($C$3-R98)+4*$C$22/$C$11</f>
        <v>110001.633</v>
      </c>
      <c r="T98">
        <f t="shared" ref="T98:T129" si="316">$C$11*($G$27/S98)^(1/3)</f>
        <v>5.1727961251963918E-3</v>
      </c>
      <c r="U98">
        <f t="shared" si="52"/>
        <v>4.1600965748449939E-3</v>
      </c>
      <c r="V98">
        <f t="shared" si="53"/>
        <v>1.2448382267615384E-2</v>
      </c>
      <c r="W98">
        <f t="shared" si="54"/>
        <v>14.439056130954048</v>
      </c>
      <c r="X98">
        <f t="shared" si="242"/>
        <v>3.953026079037191E-6</v>
      </c>
      <c r="Y98">
        <f t="shared" si="204"/>
        <v>5.8595130048220125E-2</v>
      </c>
      <c r="Z98">
        <f t="shared" si="299"/>
        <v>6445.5599911515828</v>
      </c>
      <c r="AA98">
        <f t="shared" si="205"/>
        <v>3.1579219244059179E-6</v>
      </c>
      <c r="AB98">
        <f t="shared" si="56"/>
        <v>8.8482960905935304E-4</v>
      </c>
      <c r="AC98">
        <f t="shared" si="57"/>
        <v>0.32856293564544481</v>
      </c>
      <c r="AE98">
        <f t="shared" si="58"/>
        <v>5.0099114649751586</v>
      </c>
      <c r="AF98">
        <f t="shared" si="59"/>
        <v>0.51200000000000001</v>
      </c>
      <c r="AG98">
        <f t="shared" ref="AG98:AG129" si="317">$C$13+$C$18*$C$19*($C$3-AF98)+4*$C$22/$C$11</f>
        <v>110001.633</v>
      </c>
      <c r="AH98">
        <f t="shared" ref="AH98:AH129" si="318">$C$11*($G$27/AG98)^(1/3)</f>
        <v>5.1727961251963918E-3</v>
      </c>
      <c r="AI98">
        <f t="shared" si="60"/>
        <v>4.1600965748449939E-3</v>
      </c>
      <c r="AJ98">
        <f t="shared" si="61"/>
        <v>1.2448382267615384E-2</v>
      </c>
      <c r="AK98">
        <f t="shared" si="62"/>
        <v>14.439056130954048</v>
      </c>
      <c r="AL98">
        <f t="shared" si="243"/>
        <v>3.8203246990792293E-6</v>
      </c>
      <c r="AM98">
        <f t="shared" si="206"/>
        <v>5.5645547360180507E-2</v>
      </c>
      <c r="AN98">
        <f t="shared" si="300"/>
        <v>6121.1010787986952</v>
      </c>
      <c r="AO98">
        <f t="shared" si="207"/>
        <v>3.0774133719755552E-6</v>
      </c>
      <c r="AP98">
        <f t="shared" si="64"/>
        <v>8.2674695547497535E-4</v>
      </c>
      <c r="AQ98">
        <f t="shared" si="65"/>
        <v>0.3175332196528276</v>
      </c>
      <c r="AS98">
        <f t="shared" si="66"/>
        <v>6.907605201708173</v>
      </c>
      <c r="AT98">
        <f t="shared" si="67"/>
        <v>0.51200000000000001</v>
      </c>
      <c r="AU98">
        <f t="shared" ref="AU98:AU129" si="319">$C$13+$C$18*$C$19*($C$3-AT98)+4*$C$22/$C$11</f>
        <v>110001.633</v>
      </c>
      <c r="AV98">
        <f t="shared" ref="AV98:AV129" si="320">$C$11*($G$27/AU98)^(1/3)</f>
        <v>5.1727961251963918E-3</v>
      </c>
      <c r="AW98">
        <f t="shared" si="68"/>
        <v>4.1600965748449939E-3</v>
      </c>
      <c r="AX98">
        <f t="shared" si="69"/>
        <v>1.2448382267615384E-2</v>
      </c>
      <c r="AY98">
        <f t="shared" si="70"/>
        <v>14.439056130954048</v>
      </c>
      <c r="AZ98">
        <f t="shared" si="244"/>
        <v>3.6947290602129893E-6</v>
      </c>
      <c r="BA98">
        <f t="shared" si="208"/>
        <v>5.2885803830880311E-2</v>
      </c>
      <c r="BB98">
        <f t="shared" si="301"/>
        <v>5817.5247839144904</v>
      </c>
      <c r="BC98">
        <f t="shared" si="209"/>
        <v>3.0001307482583552E-6</v>
      </c>
      <c r="BD98">
        <f t="shared" si="72"/>
        <v>7.7298194109566012E-4</v>
      </c>
      <c r="BE98">
        <f t="shared" si="73"/>
        <v>0.30709411022499206</v>
      </c>
      <c r="BG98">
        <f t="shared" si="74"/>
        <v>8.8052989384411866</v>
      </c>
      <c r="BH98">
        <f t="shared" si="75"/>
        <v>0.51200000000000001</v>
      </c>
      <c r="BI98">
        <f t="shared" ref="BI98:BI129" si="321">$C$13+$C$18*$C$19*($C$3-BH98)+4*$C$22/$C$11</f>
        <v>110001.633</v>
      </c>
      <c r="BJ98">
        <f t="shared" ref="BJ98:BJ129" si="322">$C$11*($G$27/BI98)^(1/3)</f>
        <v>5.1727961251963918E-3</v>
      </c>
      <c r="BK98">
        <f t="shared" si="76"/>
        <v>4.1600965748449939E-3</v>
      </c>
      <c r="BL98">
        <f t="shared" si="77"/>
        <v>1.2448382267615384E-2</v>
      </c>
      <c r="BM98">
        <f t="shared" si="78"/>
        <v>14.439056130954048</v>
      </c>
      <c r="BN98">
        <f t="shared" si="245"/>
        <v>3.575760668516033E-6</v>
      </c>
      <c r="BO98">
        <f t="shared" si="210"/>
        <v>5.0301593914422203E-2</v>
      </c>
      <c r="BP98">
        <f t="shared" si="302"/>
        <v>5533.2574730893048</v>
      </c>
      <c r="BQ98">
        <f t="shared" si="211"/>
        <v>2.9259136202607444E-6</v>
      </c>
      <c r="BR98">
        <f t="shared" si="80"/>
        <v>7.2318061263653896E-4</v>
      </c>
      <c r="BS98">
        <f t="shared" si="81"/>
        <v>0.29720583647130872</v>
      </c>
      <c r="BU98">
        <f t="shared" si="82"/>
        <v>10.702992675174201</v>
      </c>
      <c r="BV98">
        <f t="shared" si="83"/>
        <v>0.51200000000000001</v>
      </c>
      <c r="BW98">
        <f t="shared" ref="BW98:BW129" si="323">$C$13+$C$18*$C$19*($C$3-BV98)+4*$C$22/$C$11</f>
        <v>110001.633</v>
      </c>
      <c r="BX98">
        <f t="shared" ref="BX98:BX129" si="324">$C$11*($G$27/BW98)^(1/3)</f>
        <v>5.1727961251963918E-3</v>
      </c>
      <c r="BY98">
        <f t="shared" si="84"/>
        <v>4.1600965748449939E-3</v>
      </c>
      <c r="BZ98">
        <f t="shared" si="85"/>
        <v>1.2448382267615384E-2</v>
      </c>
      <c r="CA98">
        <f t="shared" si="86"/>
        <v>14.439056130954048</v>
      </c>
      <c r="CB98">
        <f t="shared" si="246"/>
        <v>3.4629782172429038E-6</v>
      </c>
      <c r="CC98">
        <f t="shared" si="247"/>
        <v>4.7879815585180591E-2</v>
      </c>
      <c r="CD98">
        <f t="shared" si="303"/>
        <v>5266.8579021087153</v>
      </c>
      <c r="CE98">
        <f t="shared" si="248"/>
        <v>2.8546105182613944E-6</v>
      </c>
      <c r="CF98">
        <f t="shared" si="212"/>
        <v>6.7702042571238079E-4</v>
      </c>
      <c r="CG98">
        <f t="shared" si="88"/>
        <v>0.28783171838084215</v>
      </c>
      <c r="CI98">
        <f t="shared" si="89"/>
        <v>12.600686411907216</v>
      </c>
      <c r="CJ98">
        <f t="shared" si="90"/>
        <v>0.51200000000000001</v>
      </c>
      <c r="CK98">
        <f t="shared" ref="CK98:CK129" si="325">$C$13+$C$18*$C$19*($C$3-CJ98)+4*$C$22/$C$11</f>
        <v>110001.633</v>
      </c>
      <c r="CL98">
        <f t="shared" ref="CL98:CL129" si="326">$C$11*($G$27/CK98)^(1/3)</f>
        <v>5.1727961251963918E-3</v>
      </c>
      <c r="CM98">
        <f t="shared" si="91"/>
        <v>4.1600965748449939E-3</v>
      </c>
      <c r="CN98">
        <f t="shared" si="92"/>
        <v>1.2448382267615384E-2</v>
      </c>
      <c r="CO98">
        <f t="shared" si="93"/>
        <v>14.439056130954048</v>
      </c>
      <c r="CP98">
        <f t="shared" si="249"/>
        <v>3.3559743927812041E-6</v>
      </c>
      <c r="CQ98">
        <f t="shared" si="213"/>
        <v>4.5608460662050383E-2</v>
      </c>
      <c r="CR98">
        <f t="shared" si="304"/>
        <v>5017.0051514418037</v>
      </c>
      <c r="CS98">
        <f t="shared" si="214"/>
        <v>2.7860784076492677E-6</v>
      </c>
      <c r="CT98">
        <f t="shared" si="95"/>
        <v>6.3420727811771454E-4</v>
      </c>
      <c r="CU98">
        <f t="shared" si="96"/>
        <v>0.27893790134359436</v>
      </c>
      <c r="CW98">
        <f t="shared" si="97"/>
        <v>14.49838014864023</v>
      </c>
      <c r="CX98">
        <f t="shared" si="98"/>
        <v>0.51200000000000001</v>
      </c>
      <c r="CY98">
        <f t="shared" ref="CY98:CY129" si="327">$C$13+$C$18*$C$19*($C$3-CX98)+4*$C$22/$C$11</f>
        <v>110001.633</v>
      </c>
      <c r="CZ98">
        <f t="shared" ref="CZ98:CZ129" si="328">$C$11*($G$27/CY98)^(1/3)</f>
        <v>5.1727961251963918E-3</v>
      </c>
      <c r="DA98">
        <f t="shared" si="99"/>
        <v>4.1600965748449939E-3</v>
      </c>
      <c r="DB98">
        <f t="shared" si="100"/>
        <v>1.2448382267615384E-2</v>
      </c>
      <c r="DC98">
        <f t="shared" si="101"/>
        <v>14.439056130954048</v>
      </c>
      <c r="DD98">
        <f t="shared" si="250"/>
        <v>3.2543729757818978E-6</v>
      </c>
      <c r="DE98">
        <f t="shared" si="215"/>
        <v>4.3476515731228099E-2</v>
      </c>
      <c r="DF98">
        <f t="shared" si="305"/>
        <v>4782.4877275852805</v>
      </c>
      <c r="DG98">
        <f t="shared" si="216"/>
        <v>2.7201821918743986E-6</v>
      </c>
      <c r="DH98">
        <f t="shared" si="103"/>
        <v>5.944728369671015E-4</v>
      </c>
      <c r="DI98">
        <f t="shared" si="104"/>
        <v>0.27049311520568964</v>
      </c>
      <c r="DK98">
        <f t="shared" si="105"/>
        <v>16.396073885373244</v>
      </c>
      <c r="DL98">
        <f t="shared" si="106"/>
        <v>0.51200000000000001</v>
      </c>
      <c r="DM98">
        <f t="shared" ref="DM98:DM129" si="329">$C$13+$C$18*$C$19*($C$3-DL98)+4*$C$22/$C$11</f>
        <v>110001.633</v>
      </c>
      <c r="DN98">
        <f t="shared" ref="DN98:DN129" si="330">$C$11*($G$27/DM98)^(1/3)</f>
        <v>5.1727961251963918E-3</v>
      </c>
      <c r="DO98">
        <f t="shared" si="107"/>
        <v>4.1600965748449939E-3</v>
      </c>
      <c r="DP98">
        <f t="shared" si="108"/>
        <v>1.2448382267615384E-2</v>
      </c>
      <c r="DQ98">
        <f t="shared" si="109"/>
        <v>14.439056130954048</v>
      </c>
      <c r="DR98">
        <f t="shared" si="251"/>
        <v>3.1578262086675164E-6</v>
      </c>
      <c r="DS98">
        <f t="shared" si="217"/>
        <v>4.1473872598942106E-2</v>
      </c>
      <c r="DT98">
        <f t="shared" si="306"/>
        <v>4562.1937127175861</v>
      </c>
      <c r="DU98">
        <f t="shared" si="218"/>
        <v>2.6567942447900649E-6</v>
      </c>
      <c r="DV98">
        <f t="shared" si="111"/>
        <v>5.575721295652356E-4</v>
      </c>
      <c r="DW98">
        <f t="shared" si="112"/>
        <v>0.26246845546504244</v>
      </c>
      <c r="DY98">
        <f t="shared" si="113"/>
        <v>18.293767622106259</v>
      </c>
      <c r="DZ98">
        <f t="shared" si="114"/>
        <v>0.51200000000000001</v>
      </c>
      <c r="EA98">
        <f t="shared" ref="EA98:EA129" si="331">$C$13+$C$18*$C$19*($C$3-DZ98)+4*$C$22/$C$11</f>
        <v>110001.633</v>
      </c>
      <c r="EB98">
        <f t="shared" ref="EB98:EB129" si="332">$C$11*($G$27/EA98)^(1/3)</f>
        <v>5.1727961251963918E-3</v>
      </c>
      <c r="EC98">
        <f t="shared" si="115"/>
        <v>4.1600965748449939E-3</v>
      </c>
      <c r="ED98">
        <f t="shared" si="116"/>
        <v>1.2448382267615384E-2</v>
      </c>
      <c r="EE98">
        <f t="shared" si="117"/>
        <v>14.439056130954048</v>
      </c>
      <c r="EF98">
        <f t="shared" si="252"/>
        <v>3.0660124036438138E-6</v>
      </c>
      <c r="EG98">
        <f t="shared" si="219"/>
        <v>3.9591247316473885E-2</v>
      </c>
      <c r="EH98">
        <f t="shared" si="307"/>
        <v>4355.1018573189949</v>
      </c>
      <c r="EI98">
        <f t="shared" si="220"/>
        <v>2.5957939707458588E-6</v>
      </c>
      <c r="EJ98">
        <f t="shared" si="119"/>
        <v>5.2328137103817176E-4</v>
      </c>
      <c r="EK98">
        <f t="shared" si="120"/>
        <v>0.25483718445690534</v>
      </c>
      <c r="EM98">
        <f t="shared" si="121"/>
        <v>20.191461358839273</v>
      </c>
      <c r="EN98">
        <f t="shared" si="122"/>
        <v>0.51200000000000001</v>
      </c>
      <c r="EO98">
        <f t="shared" ref="EO98:EO129" si="333">$C$13+$C$18*$C$19*($C$3-EN98)+4*$C$22/$C$11</f>
        <v>110001.633</v>
      </c>
      <c r="EP98">
        <f t="shared" ref="EP98:EP129" si="334">$C$11*($G$27/EO98)^(1/3)</f>
        <v>5.1727961251963918E-3</v>
      </c>
      <c r="EQ98">
        <f t="shared" si="123"/>
        <v>4.1600965748449939E-3</v>
      </c>
      <c r="ER98">
        <f t="shared" si="124"/>
        <v>1.2448382267615384E-2</v>
      </c>
      <c r="ES98">
        <f t="shared" si="125"/>
        <v>14.439056130954048</v>
      </c>
      <c r="ET98">
        <f t="shared" si="253"/>
        <v>2.978633767957674E-6</v>
      </c>
      <c r="EU98">
        <f t="shared" si="221"/>
        <v>3.7820106919017257E-2</v>
      </c>
      <c r="EV98">
        <f t="shared" si="308"/>
        <v>4160.2735213264968</v>
      </c>
      <c r="EW98">
        <f t="shared" si="222"/>
        <v>2.5370673908694657E-6</v>
      </c>
      <c r="EX98">
        <f t="shared" si="127"/>
        <v>4.9139600458245015E-4</v>
      </c>
      <c r="EY98">
        <f t="shared" si="128"/>
        <v>0.24757455059623415</v>
      </c>
      <c r="FA98">
        <f t="shared" si="129"/>
        <v>22.089155095572288</v>
      </c>
      <c r="FB98">
        <f t="shared" si="130"/>
        <v>0.51200000000000001</v>
      </c>
      <c r="FC98">
        <f t="shared" ref="FC98:FC129" si="335">$C$13+$C$18*$C$19*($C$3-FB98)+4*$C$22/$C$11</f>
        <v>110001.633</v>
      </c>
      <c r="FD98">
        <f t="shared" ref="FD98:FD129" si="336">$C$11*($G$27/FC98)^(1/3)</f>
        <v>5.1727961251963918E-3</v>
      </c>
      <c r="FE98">
        <f t="shared" si="131"/>
        <v>4.1600965748449939E-3</v>
      </c>
      <c r="FF98">
        <f t="shared" si="132"/>
        <v>1.2448382267615384E-2</v>
      </c>
      <c r="FG98">
        <f t="shared" si="133"/>
        <v>14.439056130954048</v>
      </c>
      <c r="FH98">
        <f t="shared" si="254"/>
        <v>2.8954144254891327E-6</v>
      </c>
      <c r="FI98">
        <f t="shared" si="223"/>
        <v>3.615260310865314E-2</v>
      </c>
      <c r="FJ98">
        <f t="shared" si="309"/>
        <v>3976.8453791527218</v>
      </c>
      <c r="FK98">
        <f t="shared" si="224"/>
        <v>2.4805067540506618E-6</v>
      </c>
      <c r="FL98">
        <f t="shared" si="135"/>
        <v>4.6172893271433167E-4</v>
      </c>
      <c r="FM98">
        <f t="shared" si="136"/>
        <v>0.24065762393871831</v>
      </c>
      <c r="FO98">
        <f t="shared" si="137"/>
        <v>23.986848832305302</v>
      </c>
      <c r="FP98">
        <f t="shared" si="138"/>
        <v>0.51200000000000001</v>
      </c>
      <c r="FQ98">
        <f t="shared" ref="FQ98:FQ129" si="337">$C$13+$C$18*$C$19*($C$3-FP98)+4*$C$22/$C$11</f>
        <v>110001.633</v>
      </c>
      <c r="FR98">
        <f t="shared" ref="FR98:FR129" si="338">$C$11*($G$27/FQ98)^(1/3)</f>
        <v>5.1727961251963918E-3</v>
      </c>
      <c r="FS98">
        <f t="shared" si="139"/>
        <v>4.1600965748449939E-3</v>
      </c>
      <c r="FT98">
        <f t="shared" si="140"/>
        <v>1.2448382267615384E-2</v>
      </c>
      <c r="FU98">
        <f t="shared" si="141"/>
        <v>14.439056130954048</v>
      </c>
      <c r="FV98">
        <f t="shared" si="255"/>
        <v>2.8160986158669236E-6</v>
      </c>
      <c r="FW98">
        <f t="shared" si="225"/>
        <v>3.4581512191094108E-2</v>
      </c>
      <c r="FX98">
        <f t="shared" si="310"/>
        <v>3804.0228126297598</v>
      </c>
      <c r="FY98">
        <f t="shared" si="226"/>
        <v>2.4260101712143695E-6</v>
      </c>
      <c r="FZ98">
        <f t="shared" si="143"/>
        <v>4.3410892015846412E-4</v>
      </c>
      <c r="GA98">
        <f t="shared" si="144"/>
        <v>0.23406514649700219</v>
      </c>
      <c r="GC98">
        <f t="shared" si="145"/>
        <v>25.884542569038317</v>
      </c>
      <c r="GD98">
        <f t="shared" si="146"/>
        <v>0.51200000000000001</v>
      </c>
      <c r="GE98">
        <f t="shared" ref="GE98:GE129" si="339">$C$13+$C$18*$C$19*($C$3-GD98)+4*$C$22/$C$11</f>
        <v>110001.633</v>
      </c>
      <c r="GF98">
        <f t="shared" ref="GF98:GF129" si="340">$C$11*($G$27/GE98)^(1/3)</f>
        <v>5.1727961251963918E-3</v>
      </c>
      <c r="GG98">
        <f t="shared" si="147"/>
        <v>4.1600965748449939E-3</v>
      </c>
      <c r="GH98">
        <f t="shared" si="148"/>
        <v>1.2448382267615384E-2</v>
      </c>
      <c r="GI98">
        <f t="shared" si="149"/>
        <v>14.439056130954048</v>
      </c>
      <c r="GJ98">
        <f t="shared" si="256"/>
        <v>2.7404490541807491E-6</v>
      </c>
      <c r="GK98">
        <f t="shared" si="227"/>
        <v>3.3100180646864492E-2</v>
      </c>
      <c r="GL98">
        <f t="shared" si="311"/>
        <v>3641.0739237500907</v>
      </c>
      <c r="GM98">
        <f t="shared" si="228"/>
        <v>2.3734812715402678E-6</v>
      </c>
      <c r="GN98">
        <f t="shared" si="151"/>
        <v>4.0837915103303043E-4</v>
      </c>
      <c r="GO98">
        <f t="shared" si="152"/>
        <v>0.22777739590519366</v>
      </c>
      <c r="GQ98">
        <f t="shared" si="153"/>
        <v>27.782236305771331</v>
      </c>
      <c r="GR98">
        <f t="shared" si="154"/>
        <v>0.51200000000000001</v>
      </c>
      <c r="GS98">
        <f t="shared" ref="GS98:GS129" si="341">$C$13+$C$18*$C$19*($C$3-GR98)+4*$C$22/$C$11</f>
        <v>110001.633</v>
      </c>
      <c r="GT98">
        <f t="shared" ref="GT98:GT129" si="342">$C$11*($G$27/GS98)^(1/3)</f>
        <v>5.1727961251963918E-3</v>
      </c>
      <c r="GU98">
        <f t="shared" si="155"/>
        <v>4.1600965748449939E-3</v>
      </c>
      <c r="GV98">
        <f t="shared" si="156"/>
        <v>1.2448382267615384E-2</v>
      </c>
      <c r="GW98">
        <f t="shared" si="157"/>
        <v>14.439056130954048</v>
      </c>
      <c r="GX98">
        <f t="shared" si="257"/>
        <v>2.6682454360526446E-6</v>
      </c>
      <c r="GY98">
        <f t="shared" si="229"/>
        <v>3.1702475781126851E-2</v>
      </c>
      <c r="GZ98">
        <f t="shared" si="312"/>
        <v>3487.3241060669043</v>
      </c>
      <c r="HA98">
        <f t="shared" si="230"/>
        <v>2.3228288793548215E-6</v>
      </c>
      <c r="HB98">
        <f t="shared" si="159"/>
        <v>3.8439592479214211E-4</v>
      </c>
      <c r="HC98">
        <f t="shared" si="160"/>
        <v>0.22177606116515805</v>
      </c>
      <c r="HE98">
        <f t="shared" si="161"/>
        <v>29.679930042504346</v>
      </c>
      <c r="HF98">
        <f t="shared" si="162"/>
        <v>0.51200000000000001</v>
      </c>
      <c r="HG98">
        <f t="shared" ref="HG98:HG134" si="343">$C$13+$C$18*$C$19*($C$3-HF98)+4*$C$22/$C$11</f>
        <v>110001.633</v>
      </c>
      <c r="HH98">
        <f t="shared" ref="HH98:HH134" si="344">$C$11*($G$27/HG98)^(1/3)</f>
        <v>5.1727961251963918E-3</v>
      </c>
      <c r="HI98">
        <f t="shared" si="263"/>
        <v>4.1600965748449939E-3</v>
      </c>
      <c r="HJ98">
        <f t="shared" si="164"/>
        <v>1.2448382267615384E-2</v>
      </c>
      <c r="HK98">
        <f t="shared" si="165"/>
        <v>14.439056130954048</v>
      </c>
      <c r="HL98">
        <f t="shared" si="258"/>
        <v>2.5992830743446425E-6</v>
      </c>
      <c r="HM98">
        <f t="shared" si="231"/>
        <v>3.0382740953231992E-2</v>
      </c>
      <c r="HN98">
        <f t="shared" si="166"/>
        <v>3342.1511198714957</v>
      </c>
      <c r="HO98">
        <f t="shared" si="232"/>
        <v>2.2739667104873179E-6</v>
      </c>
      <c r="HP98">
        <f t="shared" si="167"/>
        <v>3.6202747699887953E-4</v>
      </c>
      <c r="HQ98">
        <f t="shared" si="168"/>
        <v>0.21604412933400177</v>
      </c>
      <c r="HS98">
        <f t="shared" si="169"/>
        <v>31.57762377923736</v>
      </c>
      <c r="HT98">
        <f t="shared" si="170"/>
        <v>0.51200000000000001</v>
      </c>
      <c r="HU98">
        <f t="shared" ref="HU98:HU134" si="345">$C$13+$C$18*$C$19*($C$3-HT98)+4*$C$22/$C$11</f>
        <v>110001.633</v>
      </c>
      <c r="HV98">
        <f t="shared" ref="HV98:HV134" si="346">$C$11*($G$27/HU98)^(1/3)</f>
        <v>5.1727961251963918E-3</v>
      </c>
      <c r="HW98">
        <f t="shared" si="264"/>
        <v>4.1600965748449939E-3</v>
      </c>
      <c r="HX98">
        <f t="shared" si="172"/>
        <v>1.2448382267615384E-2</v>
      </c>
      <c r="HY98">
        <f t="shared" si="173"/>
        <v>14.439056130954048</v>
      </c>
      <c r="HZ98">
        <f t="shared" si="259"/>
        <v>2.5333716551391044E-6</v>
      </c>
      <c r="IA98">
        <f t="shared" si="233"/>
        <v>2.9135754937973324E-2</v>
      </c>
      <c r="IB98">
        <f t="shared" si="174"/>
        <v>3204.9806218648796</v>
      </c>
      <c r="IC98">
        <f t="shared" si="234"/>
        <v>2.226813086944863E-6</v>
      </c>
      <c r="ID98">
        <f t="shared" si="175"/>
        <v>3.411529124444053E-4</v>
      </c>
      <c r="IE98">
        <f t="shared" si="176"/>
        <v>0.21056578212512025</v>
      </c>
      <c r="IG98">
        <f t="shared" si="177"/>
        <v>33.475317515970374</v>
      </c>
      <c r="IH98">
        <f t="shared" si="178"/>
        <v>0.51200000000000001</v>
      </c>
      <c r="II98">
        <f t="shared" ref="II98:II134" si="347">$C$13+$C$18*$C$19*($C$3-IH98)+4*$C$22/$C$11</f>
        <v>110001.633</v>
      </c>
      <c r="IJ98">
        <f t="shared" ref="IJ98:IJ134" si="348">$C$11*($G$27/II98)^(1/3)</f>
        <v>5.1727961251963918E-3</v>
      </c>
      <c r="IK98">
        <f t="shared" si="265"/>
        <v>4.1600965748449939E-3</v>
      </c>
      <c r="IL98">
        <f t="shared" si="180"/>
        <v>1.2448382267615384E-2</v>
      </c>
      <c r="IM98">
        <f t="shared" si="181"/>
        <v>14.439056130954048</v>
      </c>
      <c r="IN98">
        <f t="shared" si="260"/>
        <v>2.4703341018477061E-6</v>
      </c>
      <c r="IO98">
        <f t="shared" si="235"/>
        <v>2.7956695016098602E-2</v>
      </c>
      <c r="IP98">
        <f t="shared" si="182"/>
        <v>3075.2821050538078</v>
      </c>
      <c r="IQ98">
        <f t="shared" si="236"/>
        <v>2.181290668822141E-6</v>
      </c>
      <c r="IR98">
        <f t="shared" si="183"/>
        <v>3.2166123941811028E-4</v>
      </c>
      <c r="IS98">
        <f t="shared" si="184"/>
        <v>0.20532630149655517</v>
      </c>
      <c r="IU98">
        <f t="shared" si="185"/>
        <v>35.373011252703392</v>
      </c>
      <c r="IV98">
        <f t="shared" si="186"/>
        <v>0.51200000000000001</v>
      </c>
      <c r="IW98">
        <f t="shared" ref="IW98:IW134" si="349">$C$13+$C$18*$C$19*($C$3-IV98)+4*$C$22/$C$11</f>
        <v>110001.633</v>
      </c>
      <c r="IX98">
        <f t="shared" ref="IX98:IX134" si="350">$C$11*($G$27/IW98)^(1/3)</f>
        <v>5.1727961251963918E-3</v>
      </c>
      <c r="IY98">
        <f t="shared" si="266"/>
        <v>4.1600965748449939E-3</v>
      </c>
      <c r="IZ98">
        <f t="shared" si="188"/>
        <v>1.2448382267615384E-2</v>
      </c>
      <c r="JA98">
        <f t="shared" si="189"/>
        <v>14.439056130954048</v>
      </c>
      <c r="JB98">
        <f t="shared" si="261"/>
        <v>2.4100055374000112E-6</v>
      </c>
      <c r="JC98">
        <f t="shared" si="237"/>
        <v>2.684110343244181E-2</v>
      </c>
      <c r="JD98">
        <f t="shared" si="190"/>
        <v>2952.5652090905041</v>
      </c>
      <c r="JE98">
        <f t="shared" si="238"/>
        <v>2.1373262024201828E-6</v>
      </c>
      <c r="JF98">
        <f t="shared" si="191"/>
        <v>3.0345049508722071E-4</v>
      </c>
      <c r="JG98">
        <f t="shared" si="192"/>
        <v>0.20031198339141434</v>
      </c>
      <c r="JI98">
        <f t="shared" si="193"/>
        <v>37.270704989436403</v>
      </c>
      <c r="JJ98">
        <f t="shared" si="194"/>
        <v>0.51200000000000001</v>
      </c>
      <c r="JK98">
        <f t="shared" ref="JK98:JK134" si="351">$C$13+$C$18*$C$19*($C$3-JJ98)+4*$C$22/$C$11</f>
        <v>110001.633</v>
      </c>
      <c r="JL98">
        <f t="shared" ref="JL98:JL134" si="352">$C$11*($G$27/JK98)^(1/3)</f>
        <v>5.1727961251963918E-3</v>
      </c>
      <c r="JM98">
        <f t="shared" si="267"/>
        <v>4.1600965748449939E-3</v>
      </c>
      <c r="JN98">
        <f t="shared" si="196"/>
        <v>1.2448382267615384E-2</v>
      </c>
      <c r="JO98">
        <f t="shared" si="197"/>
        <v>14.439056130954048</v>
      </c>
      <c r="JP98">
        <f t="shared" si="262"/>
        <v>2.3522323354456839E-6</v>
      </c>
      <c r="JQ98">
        <f t="shared" si="239"/>
        <v>2.5784856896587428E-2</v>
      </c>
      <c r="JR98">
        <f t="shared" si="198"/>
        <v>2836.3763652959292</v>
      </c>
      <c r="JS98">
        <f t="shared" si="240"/>
        <v>2.0948502836043193E-6</v>
      </c>
      <c r="JT98">
        <f t="shared" si="199"/>
        <v>2.864269529761194E-4</v>
      </c>
      <c r="JU98">
        <f t="shared" si="200"/>
        <v>0.19551005887682216</v>
      </c>
    </row>
    <row r="99" spans="2:281">
      <c r="B99">
        <v>0.65</v>
      </c>
      <c r="C99">
        <f t="shared" ref="C99:C134" si="353">B99*$G$18</f>
        <v>1.2335009288764593</v>
      </c>
      <c r="D99">
        <f t="shared" ref="D99:D134" si="354">C99*$G$13</f>
        <v>0.52</v>
      </c>
      <c r="E99">
        <f t="shared" si="313"/>
        <v>109817.205</v>
      </c>
      <c r="F99">
        <f t="shared" si="314"/>
        <v>5.1756902524105388E-3</v>
      </c>
      <c r="G99">
        <f t="shared" ref="G99:G134" si="355">2*SQRT($G$12*$G$13/(PI()*F99))</f>
        <v>4.1589332969346081E-3</v>
      </c>
      <c r="H99">
        <f t="shared" ref="H99:H134" si="356">$C$12*$G$18*$C$10*$C$26/($C$4*$C$27*E99)</f>
        <v>1.2469288192555395E-2</v>
      </c>
      <c r="I99">
        <f t="shared" ref="I99:I134" si="357">6*H99/F99</f>
        <v>14.455217663090929</v>
      </c>
      <c r="J99">
        <f t="shared" si="241"/>
        <v>4.0923817443816746E-6</v>
      </c>
      <c r="K99">
        <f t="shared" si="201"/>
        <v>6.2259911509218641E-2</v>
      </c>
      <c r="L99">
        <f t="shared" ref="L99:L130" si="358">K99*E99</f>
        <v>6837.2094654897228</v>
      </c>
      <c r="M99">
        <f t="shared" si="202"/>
        <v>3.2524490617324933E-6</v>
      </c>
      <c r="N99">
        <f t="shared" si="203"/>
        <v>9.3550147765088069E-4</v>
      </c>
      <c r="O99">
        <f t="shared" ref="O99:O134" si="359">J99/$G$10</f>
        <v>0.34014573464270309</v>
      </c>
      <c r="Q99">
        <f t="shared" ref="Q99:Q134" si="360">(Q$32-1+$B99)*$G$18</f>
        <v>3.1311946656094736</v>
      </c>
      <c r="R99">
        <f t="shared" ref="R99:R134" si="361">D99</f>
        <v>0.52</v>
      </c>
      <c r="S99">
        <f t="shared" si="315"/>
        <v>109817.205</v>
      </c>
      <c r="T99">
        <f t="shared" si="316"/>
        <v>5.1756902524105388E-3</v>
      </c>
      <c r="U99">
        <f t="shared" ref="U99:U134" si="362">2*SQRT($G$12*$G$13/(PI()*T99))</f>
        <v>4.1589332969346081E-3</v>
      </c>
      <c r="V99">
        <f t="shared" ref="V99:V134" si="363">$C$12*$G$18*$C$10*$C$26/($C$4*$C$27*S99)</f>
        <v>1.2469288192555395E-2</v>
      </c>
      <c r="W99">
        <f t="shared" ref="W99:W134" si="364">6*V99/T99</f>
        <v>14.455217663090929</v>
      </c>
      <c r="X99">
        <f t="shared" si="242"/>
        <v>3.9521197364973653E-6</v>
      </c>
      <c r="Y99">
        <f t="shared" si="204"/>
        <v>5.9071084618390689E-2</v>
      </c>
      <c r="Z99">
        <f t="shared" ref="Z99:Z130" si="365">Y99*S99</f>
        <v>6487.021409110157</v>
      </c>
      <c r="AA99">
        <f t="shared" si="205"/>
        <v>3.1680623962017528E-6</v>
      </c>
      <c r="AB99">
        <f t="shared" ref="AB99:AB134" si="366">$G$24*U99*W99*(X99-AA99)</f>
        <v>8.7326855539912812E-4</v>
      </c>
      <c r="AC99">
        <f t="shared" ref="AC99:AC134" si="367">X99/$G$10</f>
        <v>0.32848760334061522</v>
      </c>
      <c r="AE99">
        <f t="shared" ref="AE99:AE134" si="368">(AE$32-1+$B99)*$G$18</f>
        <v>5.0288884023424885</v>
      </c>
      <c r="AF99">
        <f t="shared" ref="AF99:AF134" si="369">R99</f>
        <v>0.52</v>
      </c>
      <c r="AG99">
        <f t="shared" si="317"/>
        <v>109817.205</v>
      </c>
      <c r="AH99">
        <f t="shared" si="318"/>
        <v>5.1756902524105388E-3</v>
      </c>
      <c r="AI99">
        <f t="shared" ref="AI99:AI134" si="370">2*SQRT($G$12*$G$13/(PI()*AH99))</f>
        <v>4.1589332969346081E-3</v>
      </c>
      <c r="AJ99">
        <f t="shared" ref="AJ99:AJ134" si="371">$C$12*$G$18*$C$10*$C$26/($C$4*$C$27*AG99)</f>
        <v>1.2469288192555395E-2</v>
      </c>
      <c r="AK99">
        <f t="shared" ref="AK99:AK134" si="372">6*AJ99/AH99</f>
        <v>14.455217663090929</v>
      </c>
      <c r="AL99">
        <f t="shared" si="243"/>
        <v>3.81947785136104E-6</v>
      </c>
      <c r="AM99">
        <f t="shared" si="206"/>
        <v>5.6090258960927265E-2</v>
      </c>
      <c r="AN99">
        <f t="shared" ref="AN99:AN130" si="373">AM99*AG99</f>
        <v>6159.6754668152362</v>
      </c>
      <c r="AO99">
        <f t="shared" si="207"/>
        <v>3.0870948737373714E-6</v>
      </c>
      <c r="AP99">
        <f t="shared" ref="AP99:AP134" si="374">$G$24*AI99*AK99*(AL99-AO99)</f>
        <v>8.1571460657099085E-4</v>
      </c>
      <c r="AQ99">
        <f t="shared" ref="AQ99:AQ134" si="375">AL99/$G$10</f>
        <v>0.31746283236805645</v>
      </c>
      <c r="AS99">
        <f t="shared" ref="AS99:AS134" si="376">(AS$32-1+$B99)*$G$18</f>
        <v>6.9265821390755029</v>
      </c>
      <c r="AT99">
        <f t="shared" ref="AT99:AT134" si="377">AF99</f>
        <v>0.52</v>
      </c>
      <c r="AU99">
        <f t="shared" si="319"/>
        <v>109817.205</v>
      </c>
      <c r="AV99">
        <f t="shared" si="320"/>
        <v>5.1756902524105388E-3</v>
      </c>
      <c r="AW99">
        <f t="shared" ref="AW99:AW134" si="378">2*SQRT($G$12*$G$13/(PI()*AV99))</f>
        <v>4.1589332969346081E-3</v>
      </c>
      <c r="AX99">
        <f t="shared" ref="AX99:AX134" si="379">$C$12*$G$18*$C$10*$C$26/($C$4*$C$27*AU99)</f>
        <v>1.2469288192555395E-2</v>
      </c>
      <c r="AY99">
        <f t="shared" ref="AY99:AY134" si="380">6*AX99/AV99</f>
        <v>14.455217663090929</v>
      </c>
      <c r="AZ99">
        <f t="shared" si="244"/>
        <v>3.6939372847021349E-6</v>
      </c>
      <c r="BA99">
        <f t="shared" si="208"/>
        <v>5.3301594943380382E-2</v>
      </c>
      <c r="BB99">
        <f t="shared" ref="BB99:BB130" si="381">BA99*AU99</f>
        <v>5853.432178724167</v>
      </c>
      <c r="BC99">
        <f t="shared" si="209"/>
        <v>3.0093753294301946E-6</v>
      </c>
      <c r="BD99">
        <f t="shared" ref="BD99:BD134" si="382">$G$24*AW99*AY99*(AZ99-BC99)</f>
        <v>7.6245243687934785E-4</v>
      </c>
      <c r="BE99">
        <f t="shared" ref="BE99:BE134" si="383">AZ99/$G$10</f>
        <v>0.30702830036666651</v>
      </c>
      <c r="BG99">
        <f t="shared" ref="BG99:BG134" si="384">(BG$32-1+$B99)*$G$18</f>
        <v>8.8242758758085174</v>
      </c>
      <c r="BH99">
        <f t="shared" ref="BH99:BH134" si="385">AT99</f>
        <v>0.52</v>
      </c>
      <c r="BI99">
        <f t="shared" si="321"/>
        <v>109817.205</v>
      </c>
      <c r="BJ99">
        <f t="shared" si="322"/>
        <v>5.1756902524105388E-3</v>
      </c>
      <c r="BK99">
        <f t="shared" ref="BK99:BK134" si="386">2*SQRT($G$12*$G$13/(PI()*BJ99))</f>
        <v>4.1589332969346081E-3</v>
      </c>
      <c r="BL99">
        <f t="shared" ref="BL99:BL134" si="387">$C$12*$G$18*$C$10*$C$26/($C$4*$C$27*BI99)</f>
        <v>1.2469288192555395E-2</v>
      </c>
      <c r="BM99">
        <f t="shared" ref="BM99:BM134" si="388">6*BL99/BJ99</f>
        <v>14.455217663090929</v>
      </c>
      <c r="BN99">
        <f t="shared" si="245"/>
        <v>3.5750199051571909E-6</v>
      </c>
      <c r="BO99">
        <f t="shared" si="210"/>
        <v>5.0690596626491294E-2</v>
      </c>
      <c r="BP99">
        <f t="shared" ref="BP99:BP130" si="389">BO99*BI99</f>
        <v>5566.6996413037032</v>
      </c>
      <c r="BQ99">
        <f t="shared" si="211"/>
        <v>2.9347421896049137E-6</v>
      </c>
      <c r="BR99">
        <f t="shared" ref="BR99:BR134" si="390">$G$24*BK99*BM99*(BN99-BQ99)</f>
        <v>7.131294702295382E-4</v>
      </c>
      <c r="BS99">
        <f t="shared" ref="BS99:BS134" si="391">BN99/$G$10</f>
        <v>0.29714426658056342</v>
      </c>
      <c r="BU99">
        <f t="shared" ref="BU99:BU134" si="392">(BU$32-1+$B99)*$G$18</f>
        <v>10.721969612541532</v>
      </c>
      <c r="BV99">
        <f t="shared" ref="BV99:BV134" si="393">BH99</f>
        <v>0.52</v>
      </c>
      <c r="BW99">
        <f t="shared" si="323"/>
        <v>109817.205</v>
      </c>
      <c r="BX99">
        <f t="shared" si="324"/>
        <v>5.1756902524105388E-3</v>
      </c>
      <c r="BY99">
        <f t="shared" ref="BY99:BY134" si="394">2*SQRT($G$12*$G$13/(PI()*BX99))</f>
        <v>4.1589332969346081E-3</v>
      </c>
      <c r="BZ99">
        <f t="shared" ref="BZ99:BZ134" si="395">$C$12*$G$18*$C$10*$C$26/($C$4*$C$27*BW99)</f>
        <v>1.2469288192555395E-2</v>
      </c>
      <c r="CA99">
        <f t="shared" ref="CA99:CA134" si="396">6*BZ99/BX99</f>
        <v>14.455217663090929</v>
      </c>
      <c r="CB99">
        <f t="shared" si="246"/>
        <v>3.4622847363671828E-6</v>
      </c>
      <c r="CC99">
        <f t="shared" si="247"/>
        <v>4.8243988486287734E-2</v>
      </c>
      <c r="CD99">
        <f t="shared" ref="CD99:CD130" si="397">CC99*BW99</f>
        <v>5298.0199736162995</v>
      </c>
      <c r="CE99">
        <f t="shared" si="248"/>
        <v>2.8630429069042343E-6</v>
      </c>
      <c r="CF99">
        <f t="shared" ref="CF99:CF134" si="398">$G$24*BY99*CA99*(CB99-CE99)</f>
        <v>6.6742445973726964E-4</v>
      </c>
      <c r="CG99">
        <f t="shared" ref="CG99:CG134" si="399">CB99/$G$10</f>
        <v>0.28777407845947933</v>
      </c>
      <c r="CI99">
        <f t="shared" ref="CI99:CI134" si="400">(CI$32-1+$B99)*$G$18</f>
        <v>12.619663349274546</v>
      </c>
      <c r="CJ99">
        <f t="shared" ref="CJ99:CJ134" si="401">BV99</f>
        <v>0.52</v>
      </c>
      <c r="CK99">
        <f t="shared" si="325"/>
        <v>109817.205</v>
      </c>
      <c r="CL99">
        <f t="shared" si="326"/>
        <v>5.1756902524105388E-3</v>
      </c>
      <c r="CM99">
        <f t="shared" ref="CM99:CM134" si="402">2*SQRT($G$12*$G$13/(PI()*CL99))</f>
        <v>4.1589332969346081E-3</v>
      </c>
      <c r="CN99">
        <f t="shared" ref="CN99:CN134" si="403">$C$12*$G$18*$C$10*$C$26/($C$4*$C$27*CK99)</f>
        <v>1.2469288192555395E-2</v>
      </c>
      <c r="CO99">
        <f t="shared" ref="CO99:CO134" si="404">6*CN99/CL99</f>
        <v>14.455217663090929</v>
      </c>
      <c r="CP99">
        <f t="shared" si="249"/>
        <v>3.3553247659724491E-6</v>
      </c>
      <c r="CQ99">
        <f t="shared" si="213"/>
        <v>4.5949604142518301E-2</v>
      </c>
      <c r="CR99">
        <f t="shared" ref="CR99:CR130" si="405">CQ99*CK99</f>
        <v>5046.0570977877815</v>
      </c>
      <c r="CS99">
        <f t="shared" si="214"/>
        <v>2.7941334285090611E-6</v>
      </c>
      <c r="CT99">
        <f t="shared" ref="CT99:CT134" si="406">$G$24*CM99*CO99*(CP99-CS99)</f>
        <v>6.2504452593274175E-4</v>
      </c>
      <c r="CU99">
        <f t="shared" ref="CU99:CU134" si="407">CP99/$G$10</f>
        <v>0.27888390643258415</v>
      </c>
      <c r="CW99">
        <f t="shared" ref="CW99:CW134" si="408">(CW$32-1+$B99)*$G$18</f>
        <v>14.517357086007561</v>
      </c>
      <c r="CX99">
        <f t="shared" ref="CX99:CX134" si="409">CJ99</f>
        <v>0.52</v>
      </c>
      <c r="CY99">
        <f t="shared" si="327"/>
        <v>109817.205</v>
      </c>
      <c r="CZ99">
        <f t="shared" si="328"/>
        <v>5.1756902524105388E-3</v>
      </c>
      <c r="DA99">
        <f t="shared" ref="DA99:DA134" si="410">2*SQRT($G$12*$G$13/(PI()*CZ99))</f>
        <v>4.1589332969346081E-3</v>
      </c>
      <c r="DB99">
        <f t="shared" ref="DB99:DB134" si="411">$C$12*$G$18*$C$10*$C$26/($C$4*$C$27*CY99)</f>
        <v>1.2469288192555395E-2</v>
      </c>
      <c r="DC99">
        <f t="shared" ref="DC99:DC134" si="412">6*DB99/CZ99</f>
        <v>14.455217663090929</v>
      </c>
      <c r="DD99">
        <f t="shared" si="250"/>
        <v>3.2537640494808361E-6</v>
      </c>
      <c r="DE99">
        <f t="shared" si="215"/>
        <v>4.3796285843688006E-2</v>
      </c>
      <c r="DF99">
        <f t="shared" ref="DF99:DF130" si="413">DE99*CY99</f>
        <v>4809.5857007348841</v>
      </c>
      <c r="DG99">
        <f t="shared" si="216"/>
        <v>2.7278776956781569E-6</v>
      </c>
      <c r="DH99">
        <f t="shared" ref="DH99:DH134" si="414">$G$24*DA99*DC99*(DD99-DG99)</f>
        <v>5.8572248850604931E-4</v>
      </c>
      <c r="DI99">
        <f t="shared" ref="DI99:DI134" si="415">DD99/$G$10</f>
        <v>0.27044250319123075</v>
      </c>
      <c r="DK99">
        <f t="shared" ref="DK99:DK134" si="416">(DK$32-1+$B99)*$G$18</f>
        <v>16.415050822740575</v>
      </c>
      <c r="DL99">
        <f t="shared" ref="DL99:DL134" si="417">CX99</f>
        <v>0.52</v>
      </c>
      <c r="DM99">
        <f t="shared" si="329"/>
        <v>109817.205</v>
      </c>
      <c r="DN99">
        <f t="shared" si="330"/>
        <v>5.1756902524105388E-3</v>
      </c>
      <c r="DO99">
        <f t="shared" ref="DO99:DO134" si="418">2*SQRT($G$12*$G$13/(PI()*DN99))</f>
        <v>4.1589332969346081E-3</v>
      </c>
      <c r="DP99">
        <f t="shared" ref="DP99:DP134" si="419">$C$12*$G$18*$C$10*$C$26/($C$4*$C$27*DM99)</f>
        <v>1.2469288192555395E-2</v>
      </c>
      <c r="DQ99">
        <f t="shared" ref="DQ99:DQ134" si="420">6*DP99/DN99</f>
        <v>14.455217663090929</v>
      </c>
      <c r="DR99">
        <f t="shared" si="251"/>
        <v>3.1572550802436117E-6</v>
      </c>
      <c r="DS99">
        <f t="shared" si="217"/>
        <v>4.1773793623904681E-2</v>
      </c>
      <c r="DT99">
        <f t="shared" ref="DT99:DT130" si="421">DS99*DM99</f>
        <v>4587.4812580240332</v>
      </c>
      <c r="DU99">
        <f t="shared" si="218"/>
        <v>2.6641471728747585E-6</v>
      </c>
      <c r="DV99">
        <f t="shared" ref="DV99:DV134" si="422">$G$24*DO99*DQ99*(DR99-DU99)</f>
        <v>5.4921446148508833E-4</v>
      </c>
      <c r="DW99">
        <f t="shared" ref="DW99:DW134" si="423">DR99/$G$10</f>
        <v>0.26242098508973077</v>
      </c>
      <c r="DY99">
        <f t="shared" ref="DY99:DY134" si="424">(DY$32-1+$B99)*$G$18</f>
        <v>18.31274455947359</v>
      </c>
      <c r="DZ99">
        <f t="shared" ref="DZ99:DZ134" si="425">DL99</f>
        <v>0.52</v>
      </c>
      <c r="EA99">
        <f t="shared" si="331"/>
        <v>109817.205</v>
      </c>
      <c r="EB99">
        <f t="shared" si="332"/>
        <v>5.1756902524105388E-3</v>
      </c>
      <c r="EC99">
        <f t="shared" ref="EC99:EC134" si="426">2*SQRT($G$12*$G$13/(PI()*EB99))</f>
        <v>4.1589332969346081E-3</v>
      </c>
      <c r="ED99">
        <f t="shared" ref="ED99:ED134" si="427">$C$12*$G$18*$C$10*$C$26/($C$4*$C$27*EA99)</f>
        <v>1.2469288192555395E-2</v>
      </c>
      <c r="EE99">
        <f t="shared" ref="EE99:EE134" si="428">6*ED99/EB99</f>
        <v>14.455217663090929</v>
      </c>
      <c r="EF99">
        <f t="shared" si="252"/>
        <v>3.0654763996923022E-6</v>
      </c>
      <c r="EG99">
        <f t="shared" si="219"/>
        <v>3.9872723159371501E-2</v>
      </c>
      <c r="EH99">
        <f t="shared" ref="EH99:EH130" si="429">EG99*EA99</f>
        <v>4378.7110131009476</v>
      </c>
      <c r="EI99">
        <f t="shared" si="220"/>
        <v>2.6028204048290176E-6</v>
      </c>
      <c r="EJ99">
        <f t="shared" ref="EJ99:EJ134" si="430">$G$24*EC99*EE99*(EF99-EI99)</f>
        <v>5.1529768489722775E-4</v>
      </c>
      <c r="EK99">
        <f t="shared" ref="EK99:EK134" si="431">EF99/$G$10</f>
        <v>0.25479263351585285</v>
      </c>
      <c r="EM99">
        <f t="shared" ref="EM99:EM134" si="432">(EM$32-1+$B99)*$G$18</f>
        <v>20.210438296206604</v>
      </c>
      <c r="EN99">
        <f t="shared" ref="EN99:EN134" si="433">DZ99</f>
        <v>0.52</v>
      </c>
      <c r="EO99">
        <f t="shared" si="333"/>
        <v>109817.205</v>
      </c>
      <c r="EP99">
        <f t="shared" si="334"/>
        <v>5.1756902524105388E-3</v>
      </c>
      <c r="EQ99">
        <f t="shared" ref="EQ99:EQ134" si="434">2*SQRT($G$12*$G$13/(PI()*EP99))</f>
        <v>4.1589332969346081E-3</v>
      </c>
      <c r="ER99">
        <f t="shared" ref="ER99:ER134" si="435">$C$12*$G$18*$C$10*$C$26/($C$4*$C$27*EO99)</f>
        <v>1.2469288192555395E-2</v>
      </c>
      <c r="ES99">
        <f t="shared" ref="ES99:ES134" si="436">6*ER99/EP99</f>
        <v>14.455217663090929</v>
      </c>
      <c r="ET99">
        <f t="shared" si="253"/>
        <v>2.9781304246040003E-6</v>
      </c>
      <c r="EU99">
        <f t="shared" si="221"/>
        <v>3.808443145308571E-2</v>
      </c>
      <c r="EV99">
        <f t="shared" ref="EV99:EV130" si="437">EU99*EO99</f>
        <v>4182.3258161919612</v>
      </c>
      <c r="EW99">
        <f t="shared" si="222"/>
        <v>2.5437825999639347E-6</v>
      </c>
      <c r="EX99">
        <f t="shared" ref="EX99:EX134" si="438">$G$24*EQ99*ES99*(ET99-EW99)</f>
        <v>4.8376856879010392E-4</v>
      </c>
      <c r="EY99">
        <f t="shared" ref="EY99:EY134" si="439">ET99/$G$10</f>
        <v>0.24753271430003623</v>
      </c>
      <c r="FA99">
        <f t="shared" ref="FA99:FA134" si="440">(FA$32-1+$B99)*$G$18</f>
        <v>22.108132032939618</v>
      </c>
      <c r="FB99">
        <f t="shared" ref="FB99:FB134" si="441">EN99</f>
        <v>0.52</v>
      </c>
      <c r="FC99">
        <f t="shared" si="335"/>
        <v>109817.205</v>
      </c>
      <c r="FD99">
        <f t="shared" si="336"/>
        <v>5.1756902524105388E-3</v>
      </c>
      <c r="FE99">
        <f t="shared" ref="FE99:FE134" si="442">2*SQRT($G$12*$G$13/(PI()*FD99))</f>
        <v>4.1589332969346081E-3</v>
      </c>
      <c r="FF99">
        <f t="shared" ref="FF99:FF134" si="443">$C$12*$G$18*$C$10*$C$26/($C$4*$C$27*FC99)</f>
        <v>1.2469288192555395E-2</v>
      </c>
      <c r="FG99">
        <f t="shared" ref="FG99:FG134" si="444">6*FF99/FD99</f>
        <v>14.455217663090929</v>
      </c>
      <c r="FH99">
        <f t="shared" si="254"/>
        <v>2.8949414705051415E-6</v>
      </c>
      <c r="FI99">
        <f t="shared" si="223"/>
        <v>3.6400969566392952E-2</v>
      </c>
      <c r="FJ99">
        <f t="shared" ref="FJ99:FJ130" si="445">FI99*FC99</f>
        <v>3997.4527370713358</v>
      </c>
      <c r="FK99">
        <f t="shared" si="224"/>
        <v>2.4869252386886849E-6</v>
      </c>
      <c r="FL99">
        <f t="shared" ref="FL99:FL134" si="446">$G$24*FE99*FG99*(FH99-FK99)</f>
        <v>4.5444092801097229E-4</v>
      </c>
      <c r="FM99">
        <f t="shared" ref="FM99:FM134" si="447">FH99/$G$10</f>
        <v>0.24061831342700873</v>
      </c>
      <c r="FO99">
        <f t="shared" ref="FO99:FO134" si="448">(FO$32-1+$B99)*$G$18</f>
        <v>24.005825769672633</v>
      </c>
      <c r="FP99">
        <f t="shared" ref="FP99:FP134" si="449">FB99</f>
        <v>0.52</v>
      </c>
      <c r="FQ99">
        <f t="shared" si="337"/>
        <v>109817.205</v>
      </c>
      <c r="FR99">
        <f t="shared" si="338"/>
        <v>5.1756902524105388E-3</v>
      </c>
      <c r="FS99">
        <f t="shared" ref="FS99:FS134" si="450">2*SQRT($G$12*$G$13/(PI()*FR99))</f>
        <v>4.1589332969346081E-3</v>
      </c>
      <c r="FT99">
        <f t="shared" ref="FT99:FT134" si="451">$C$12*$G$18*$C$10*$C$26/($C$4*$C$27*FQ99)</f>
        <v>1.2469288192555395E-2</v>
      </c>
      <c r="FU99">
        <f t="shared" ref="FU99:FU134" si="452">6*FT99/FR99</f>
        <v>14.455217663090929</v>
      </c>
      <c r="FV99">
        <f t="shared" si="255"/>
        <v>2.8156539524229916E-6</v>
      </c>
      <c r="FW99">
        <f t="shared" si="225"/>
        <v>3.481502169663709E-2</v>
      </c>
      <c r="FX99">
        <f t="shared" ref="FX99:FX130" si="453">FW99*FQ99</f>
        <v>3823.2883747390433</v>
      </c>
      <c r="FY99">
        <f t="shared" si="226"/>
        <v>2.4321457051369928E-6</v>
      </c>
      <c r="FZ99">
        <f t="shared" ref="FZ99:FZ134" si="454">$G$24*FS99*FU99*(FV99-FY99)</f>
        <v>4.2714438839999442E-4</v>
      </c>
      <c r="GA99">
        <f t="shared" ref="GA99:GA134" si="455">FV99/$G$10</f>
        <v>0.2340281874879819</v>
      </c>
      <c r="GC99">
        <f t="shared" ref="GC99:GC134" si="456">(GC$32-1+$B99)*$G$18</f>
        <v>25.903519506405647</v>
      </c>
      <c r="GD99">
        <f t="shared" ref="GD99:GD134" si="457">FP99</f>
        <v>0.52</v>
      </c>
      <c r="GE99">
        <f t="shared" si="339"/>
        <v>109817.205</v>
      </c>
      <c r="GF99">
        <f t="shared" si="340"/>
        <v>5.1756902524105388E-3</v>
      </c>
      <c r="GG99">
        <f t="shared" ref="GG99:GG134" si="458">2*SQRT($G$12*$G$13/(PI()*GF99))</f>
        <v>4.1589332969346081E-3</v>
      </c>
      <c r="GH99">
        <f t="shared" ref="GH99:GH134" si="459">$C$12*$G$18*$C$10*$C$26/($C$4*$C$27*GE99)</f>
        <v>1.2469288192555395E-2</v>
      </c>
      <c r="GI99">
        <f t="shared" ref="GI99:GI134" si="460">6*GH99/GF99</f>
        <v>14.455217663090929</v>
      </c>
      <c r="GJ99">
        <f t="shared" si="256"/>
        <v>2.7400307460758103E-6</v>
      </c>
      <c r="GK99">
        <f t="shared" si="227"/>
        <v>3.33198499722425E-2</v>
      </c>
      <c r="GL99">
        <f t="shared" ref="GL99:GL130" si="461">GK99*GE99</f>
        <v>3659.092794970999</v>
      </c>
      <c r="GM99">
        <f t="shared" si="228"/>
        <v>2.3793469409993767E-6</v>
      </c>
      <c r="GN99">
        <f t="shared" ref="GN99:GN134" si="462">$G$24*GG99*GI99*(GJ99-GM99)</f>
        <v>4.0172294706941137E-4</v>
      </c>
      <c r="GO99">
        <f t="shared" ref="GO99:GO134" si="463">GJ99/$G$10</f>
        <v>0.2277426274679977</v>
      </c>
      <c r="GQ99">
        <f t="shared" ref="GQ99:GQ134" si="464">(GQ$32-1+$B99)*$G$18</f>
        <v>27.801213243138662</v>
      </c>
      <c r="GR99">
        <f t="shared" ref="GR99:GR134" si="465">GD99</f>
        <v>0.52</v>
      </c>
      <c r="GS99">
        <f t="shared" si="341"/>
        <v>109817.205</v>
      </c>
      <c r="GT99">
        <f t="shared" si="342"/>
        <v>5.1756902524105388E-3</v>
      </c>
      <c r="GU99">
        <f t="shared" ref="GU99:GU134" si="466">2*SQRT($G$12*$G$13/(PI()*GT99))</f>
        <v>4.1589332969346081E-3</v>
      </c>
      <c r="GV99">
        <f t="shared" ref="GV99:GV134" si="467">$C$12*$G$18*$C$10*$C$26/($C$4*$C$27*GS99)</f>
        <v>1.2469288192555395E-2</v>
      </c>
      <c r="GW99">
        <f t="shared" ref="GW99:GW134" si="468">6*GV99/GT99</f>
        <v>14.455217663090929</v>
      </c>
      <c r="GX99">
        <f t="shared" si="257"/>
        <v>2.6678516942799827E-6</v>
      </c>
      <c r="GY99">
        <f t="shared" si="229"/>
        <v>3.1909244401080998E-2</v>
      </c>
      <c r="GZ99">
        <f t="shared" ref="GZ99:GZ130" si="469">GY99*GS99</f>
        <v>3504.1840337886142</v>
      </c>
      <c r="HA99">
        <f t="shared" si="230"/>
        <v>2.3284371201668435E-6</v>
      </c>
      <c r="HB99">
        <f t="shared" ref="HB99:HB134" si="470">$G$24*GU99*GW99*(GX99-HA99)</f>
        <v>3.7803367124327917E-4</v>
      </c>
      <c r="HC99">
        <f t="shared" ref="HC99:HC134" si="471">GX99/$G$10</f>
        <v>0.22174333460324688</v>
      </c>
      <c r="HE99">
        <f t="shared" ref="HE99:HE134" si="472">(HE$32-1+$B99)*$G$18</f>
        <v>29.698906979871676</v>
      </c>
      <c r="HF99">
        <f t="shared" ref="HF99:HF134" si="473">GR99</f>
        <v>0.52</v>
      </c>
      <c r="HG99">
        <f t="shared" si="343"/>
        <v>109817.205</v>
      </c>
      <c r="HH99">
        <f t="shared" si="344"/>
        <v>5.1756902524105388E-3</v>
      </c>
      <c r="HI99">
        <f t="shared" si="263"/>
        <v>4.1589332969346081E-3</v>
      </c>
      <c r="HJ99">
        <f t="shared" ref="HJ99:HJ134" si="474">$C$12*$G$18*$C$10*$C$26/($C$4*$C$27*HG99)</f>
        <v>1.2469288192555395E-2</v>
      </c>
      <c r="HK99">
        <f t="shared" ref="HK99:HK134" si="475">6*HJ99/HH99</f>
        <v>14.455217663090929</v>
      </c>
      <c r="HL99">
        <f t="shared" si="258"/>
        <v>2.5989122448655764E-6</v>
      </c>
      <c r="HM99">
        <f t="shared" si="231"/>
        <v>3.0577477465709373E-2</v>
      </c>
      <c r="HN99">
        <f t="shared" ref="HN99:HN134" si="476">HM99*HG99</f>
        <v>3357.9331112346867</v>
      </c>
      <c r="HO99">
        <f t="shared" si="232"/>
        <v>2.2793293429697878E-6</v>
      </c>
      <c r="HP99">
        <f t="shared" ref="HP99:HP134" si="477">$G$24*HI99*HK99*(HL99-HO99)</f>
        <v>3.5594552174407886E-4</v>
      </c>
      <c r="HQ99">
        <f t="shared" ref="HQ99:HQ134" si="478">HL99/$G$10</f>
        <v>0.21601330716894904</v>
      </c>
      <c r="HS99">
        <f t="shared" ref="HS99:HS134" si="479">(HS$32-1+$B99)*$G$18</f>
        <v>31.596600716604687</v>
      </c>
      <c r="HT99">
        <f t="shared" ref="HT99:HT134" si="480">HF99</f>
        <v>0.52</v>
      </c>
      <c r="HU99">
        <f t="shared" si="345"/>
        <v>109817.205</v>
      </c>
      <c r="HV99">
        <f t="shared" si="346"/>
        <v>5.1756902524105388E-3</v>
      </c>
      <c r="HW99">
        <f t="shared" si="264"/>
        <v>4.1589332969346081E-3</v>
      </c>
      <c r="HX99">
        <f t="shared" ref="HX99:HX134" si="481">$C$12*$G$18*$C$10*$C$26/($C$4*$C$27*HU99)</f>
        <v>1.2469288192555395E-2</v>
      </c>
      <c r="HY99">
        <f t="shared" ref="HY99:HY134" si="482">6*HX99/HV99</f>
        <v>14.455217663090929</v>
      </c>
      <c r="HZ99">
        <f t="shared" si="259"/>
        <v>2.5330222077494962E-6</v>
      </c>
      <c r="IA99">
        <f t="shared" si="233"/>
        <v>2.9319262910742799E-2</v>
      </c>
      <c r="IB99">
        <f t="shared" ref="IB99:IB134" si="483">IA99*HU99</f>
        <v>3219.7595055179386</v>
      </c>
      <c r="IC99">
        <f t="shared" si="234"/>
        <v>2.2319413488595938E-6</v>
      </c>
      <c r="ID99">
        <f t="shared" ref="ID99:ID134" si="484">$G$24*HW99*HY99*(HZ99-IC99)</f>
        <v>3.353382886537145E-4</v>
      </c>
      <c r="IE99">
        <f t="shared" ref="IE99:IE134" si="485">HZ99/$G$10</f>
        <v>0.21053673717123236</v>
      </c>
      <c r="IG99">
        <f t="shared" ref="IG99:IG134" si="486">(IG$32-1+$B99)*$G$18</f>
        <v>33.494294453337702</v>
      </c>
      <c r="IH99">
        <f t="shared" ref="IH99:IH134" si="487">HT99</f>
        <v>0.52</v>
      </c>
      <c r="II99">
        <f t="shared" si="347"/>
        <v>109817.205</v>
      </c>
      <c r="IJ99">
        <f t="shared" si="348"/>
        <v>5.1756902524105388E-3</v>
      </c>
      <c r="IK99">
        <f t="shared" si="265"/>
        <v>4.1589332969346081E-3</v>
      </c>
      <c r="IL99">
        <f t="shared" ref="IL99:IL134" si="488">$C$12*$G$18*$C$10*$C$26/($C$4*$C$27*II99)</f>
        <v>1.2469288192555395E-2</v>
      </c>
      <c r="IM99">
        <f t="shared" ref="IM99:IM134" si="489">6*IL99/IJ99</f>
        <v>14.455217663090929</v>
      </c>
      <c r="IN99">
        <f t="shared" si="260"/>
        <v>2.4700046200336792E-6</v>
      </c>
      <c r="IO99">
        <f t="shared" si="235"/>
        <v>2.8129718313895463E-2</v>
      </c>
      <c r="IP99">
        <f t="shared" ref="IP99:IP134" si="490">IO99*II99</f>
        <v>3089.1270426693127</v>
      </c>
      <c r="IQ99">
        <f t="shared" si="236"/>
        <v>2.1861952464416987E-6</v>
      </c>
      <c r="IR99">
        <f t="shared" ref="IR99:IR134" si="491">$G$24*IK99*IM99*(IN99-IQ99)</f>
        <v>3.1610162796506271E-4</v>
      </c>
      <c r="IS99">
        <f t="shared" ref="IS99:IS134" si="492">IN99/$G$10</f>
        <v>0.20529891601771086</v>
      </c>
      <c r="IU99">
        <f t="shared" ref="IU99:IU134" si="493">(IU$32-1+$B99)*$G$18</f>
        <v>35.39198819007072</v>
      </c>
      <c r="IV99">
        <f t="shared" ref="IV99:IV134" si="494">IH99</f>
        <v>0.52</v>
      </c>
      <c r="IW99">
        <f t="shared" si="349"/>
        <v>109817.205</v>
      </c>
      <c r="IX99">
        <f t="shared" si="350"/>
        <v>5.1756902524105388E-3</v>
      </c>
      <c r="IY99">
        <f t="shared" si="266"/>
        <v>4.1589332969346081E-3</v>
      </c>
      <c r="IZ99">
        <f t="shared" ref="IZ99:IZ134" si="495">$C$12*$G$18*$C$10*$C$26/($C$4*$C$27*IW99)</f>
        <v>1.2469288192555395E-2</v>
      </c>
      <c r="JA99">
        <f t="shared" ref="JA99:JA134" si="496">6*IZ99/IX99</f>
        <v>14.455217663090929</v>
      </c>
      <c r="JB99">
        <f t="shared" si="261"/>
        <v>2.4096947090895515E-6</v>
      </c>
      <c r="JC99">
        <f t="shared" si="237"/>
        <v>2.7004331073649253E-2</v>
      </c>
      <c r="JD99">
        <f t="shared" ref="JD99:JD134" si="497">JC99*IW99</f>
        <v>2965.5401614028101</v>
      </c>
      <c r="JE99">
        <f t="shared" si="238"/>
        <v>2.1420172598276469E-6</v>
      </c>
      <c r="JF99">
        <f t="shared" ref="JF99:JF134" si="498">$G$24*IY99*JA99*(JB99-JE99)</f>
        <v>2.9813418919301821E-4</v>
      </c>
      <c r="JG99">
        <f t="shared" ref="JG99:JG134" si="499">JB99/$G$10</f>
        <v>0.20028614833236733</v>
      </c>
      <c r="JI99">
        <f t="shared" ref="JI99:JI134" si="500">(JI$32-1+$B99)*$G$18</f>
        <v>37.289681926803731</v>
      </c>
      <c r="JJ99">
        <f t="shared" ref="JJ99:JJ134" si="501">IV99</f>
        <v>0.52</v>
      </c>
      <c r="JK99">
        <f t="shared" si="351"/>
        <v>109817.205</v>
      </c>
      <c r="JL99">
        <f t="shared" si="352"/>
        <v>5.1756902524105388E-3</v>
      </c>
      <c r="JM99">
        <f t="shared" si="267"/>
        <v>4.1589332969346081E-3</v>
      </c>
      <c r="JN99">
        <f t="shared" ref="JN99:JN134" si="502">$C$12*$G$18*$C$10*$C$26/($C$4*$C$27*JK99)</f>
        <v>1.2469288192555395E-2</v>
      </c>
      <c r="JO99">
        <f t="shared" ref="JO99:JO134" si="503">6*JN99/JL99</f>
        <v>14.455217663090929</v>
      </c>
      <c r="JP99">
        <f t="shared" si="262"/>
        <v>2.351938944572032E-6</v>
      </c>
      <c r="JQ99">
        <f t="shared" si="239"/>
        <v>2.5938927483617081E-2</v>
      </c>
      <c r="JR99">
        <f t="shared" ref="JR99:JR134" si="504">JQ99*JK99</f>
        <v>2848.5405169485111</v>
      </c>
      <c r="JS99">
        <f t="shared" si="240"/>
        <v>2.0993374903300055E-6</v>
      </c>
      <c r="JT99">
        <f t="shared" ref="JT99:JT134" si="505">$G$24*JM99*JO99*(JP99-JS99)</f>
        <v>2.8134282494502881E-4</v>
      </c>
      <c r="JU99">
        <f t="shared" ref="JU99:JU134" si="506">JP99/$G$10</f>
        <v>0.19548567316197704</v>
      </c>
    </row>
    <row r="100" spans="2:281">
      <c r="B100">
        <v>0.66</v>
      </c>
      <c r="C100">
        <f t="shared" si="353"/>
        <v>1.2524778662437897</v>
      </c>
      <c r="D100">
        <f t="shared" si="354"/>
        <v>0.52800000000000002</v>
      </c>
      <c r="E100">
        <f t="shared" si="313"/>
        <v>109632.777</v>
      </c>
      <c r="F100">
        <f t="shared" si="314"/>
        <v>5.1785908674551748E-3</v>
      </c>
      <c r="G100">
        <f t="shared" si="355"/>
        <v>4.1577683898672557E-3</v>
      </c>
      <c r="H100">
        <f t="shared" si="356"/>
        <v>1.2490264454816605E-2</v>
      </c>
      <c r="I100">
        <f t="shared" si="357"/>
        <v>14.471424495004928</v>
      </c>
      <c r="J100">
        <f t="shared" si="241"/>
        <v>4.0914234979841942E-6</v>
      </c>
      <c r="K100">
        <f t="shared" ref="K100:K134" si="507">K99+N99*(C100-C99)/$G$21</f>
        <v>6.2763122748004607E-2</v>
      </c>
      <c r="L100">
        <f t="shared" si="358"/>
        <v>6880.8954400556167</v>
      </c>
      <c r="M100">
        <f t="shared" ref="M100:M134" si="508">$G$10*$G$23*SQRT(L100)</f>
        <v>3.2628231892607956E-6</v>
      </c>
      <c r="N100">
        <f t="shared" ref="N100:N134" si="509">$G$24*G100*I100*(J100-M100)</f>
        <v>9.236556129704833E-4</v>
      </c>
      <c r="O100">
        <f t="shared" si="359"/>
        <v>0.34006608825456075</v>
      </c>
      <c r="Q100">
        <f t="shared" si="360"/>
        <v>3.1501716029768043</v>
      </c>
      <c r="R100">
        <f t="shared" si="361"/>
        <v>0.52800000000000002</v>
      </c>
      <c r="S100">
        <f t="shared" si="315"/>
        <v>109632.777</v>
      </c>
      <c r="T100">
        <f t="shared" si="316"/>
        <v>5.1785908674551748E-3</v>
      </c>
      <c r="U100">
        <f t="shared" si="362"/>
        <v>4.1577683898672557E-3</v>
      </c>
      <c r="V100">
        <f t="shared" si="363"/>
        <v>1.2490264454816605E-2</v>
      </c>
      <c r="W100">
        <f t="shared" si="364"/>
        <v>14.471424495004928</v>
      </c>
      <c r="X100">
        <f t="shared" si="242"/>
        <v>3.9512252360959917E-6</v>
      </c>
      <c r="Y100">
        <f t="shared" ref="Y100:Y134" si="510">Y99+AB99*(Q100-Q99)/$G$21</f>
        <v>5.9540820436081436E-2</v>
      </c>
      <c r="Z100">
        <f t="shared" si="365"/>
        <v>6527.625489265959</v>
      </c>
      <c r="AA100">
        <f t="shared" ref="AA100:AA134" si="511">$G$10*$G$23*SQRT(Z100)</f>
        <v>3.1779618235596965E-6</v>
      </c>
      <c r="AB100">
        <f t="shared" si="366"/>
        <v>8.6197058313223704E-4</v>
      </c>
      <c r="AC100">
        <f t="shared" si="367"/>
        <v>0.32841325531661153</v>
      </c>
      <c r="AE100">
        <f t="shared" si="368"/>
        <v>5.0478653397098183</v>
      </c>
      <c r="AF100">
        <f t="shared" si="369"/>
        <v>0.52800000000000002</v>
      </c>
      <c r="AG100">
        <f t="shared" si="317"/>
        <v>109632.777</v>
      </c>
      <c r="AH100">
        <f t="shared" si="318"/>
        <v>5.1785908674551748E-3</v>
      </c>
      <c r="AI100">
        <f t="shared" si="370"/>
        <v>4.1577683898672557E-3</v>
      </c>
      <c r="AJ100">
        <f t="shared" si="371"/>
        <v>1.2490264454816605E-2</v>
      </c>
      <c r="AK100">
        <f t="shared" si="372"/>
        <v>14.471424495004928</v>
      </c>
      <c r="AL100">
        <f t="shared" si="243"/>
        <v>3.8186423042221067E-6</v>
      </c>
      <c r="AM100">
        <f t="shared" ref="AM100:AM134" si="512">AM99+AP99*(AE100-AE99)/$G$21</f>
        <v>5.6529036202304934E-2</v>
      </c>
      <c r="AN100">
        <f t="shared" si="373"/>
        <v>6197.4352199922241</v>
      </c>
      <c r="AO100">
        <f t="shared" ref="AO100:AO134" si="513">$G$10*$G$23*SQRT(AN100)</f>
        <v>3.0965425988436953E-6</v>
      </c>
      <c r="AP100">
        <f t="shared" si="374"/>
        <v>8.0493748189001567E-4</v>
      </c>
      <c r="AQ100">
        <f t="shared" si="375"/>
        <v>0.31739338435143599</v>
      </c>
      <c r="AS100">
        <f t="shared" si="376"/>
        <v>6.9455590764428328</v>
      </c>
      <c r="AT100">
        <f t="shared" si="377"/>
        <v>0.52800000000000002</v>
      </c>
      <c r="AU100">
        <f t="shared" si="319"/>
        <v>109632.777</v>
      </c>
      <c r="AV100">
        <f t="shared" si="320"/>
        <v>5.1785908674551748E-3</v>
      </c>
      <c r="AW100">
        <f t="shared" si="378"/>
        <v>4.1577683898672557E-3</v>
      </c>
      <c r="AX100">
        <f t="shared" si="379"/>
        <v>1.2490264454816605E-2</v>
      </c>
      <c r="AY100">
        <f t="shared" si="380"/>
        <v>14.471424495004928</v>
      </c>
      <c r="AZ100">
        <f t="shared" si="244"/>
        <v>3.6931562947001474E-6</v>
      </c>
      <c r="BA100">
        <f t="shared" ref="BA100:BA134" si="514">BA99+BD99*(AS100-AS99)/$G$21</f>
        <v>5.3711722179353182E-2</v>
      </c>
      <c r="BB100">
        <f t="shared" si="381"/>
        <v>5888.565259974981</v>
      </c>
      <c r="BC100">
        <f t="shared" ref="BC100:BC134" si="515">$G$10*$G$23*SQRT(BB100)</f>
        <v>3.018393154335642E-6</v>
      </c>
      <c r="BD100">
        <f t="shared" si="382"/>
        <v>7.5217056457954677E-4</v>
      </c>
      <c r="BE100">
        <f t="shared" si="383"/>
        <v>0.3069633869654817</v>
      </c>
      <c r="BG100">
        <f t="shared" si="384"/>
        <v>8.8432528131758481</v>
      </c>
      <c r="BH100">
        <f t="shared" si="385"/>
        <v>0.52800000000000002</v>
      </c>
      <c r="BI100">
        <f t="shared" si="321"/>
        <v>109632.777</v>
      </c>
      <c r="BJ100">
        <f t="shared" si="322"/>
        <v>5.1785908674551748E-3</v>
      </c>
      <c r="BK100">
        <f t="shared" si="386"/>
        <v>4.1577683898672557E-3</v>
      </c>
      <c r="BL100">
        <f t="shared" si="387"/>
        <v>1.2490264454816605E-2</v>
      </c>
      <c r="BM100">
        <f t="shared" si="388"/>
        <v>14.471424495004928</v>
      </c>
      <c r="BN100">
        <f t="shared" si="245"/>
        <v>3.574289437314959E-6</v>
      </c>
      <c r="BO100">
        <f t="shared" ref="BO100:BO134" si="516">BO99+BR99*(BG100-BG99)/$G$21</f>
        <v>5.1074192775403968E-2</v>
      </c>
      <c r="BP100">
        <f t="shared" si="389"/>
        <v>5599.4055870008742</v>
      </c>
      <c r="BQ100">
        <f t="shared" ref="BQ100:BQ134" si="517">$G$10*$G$23*SQRT(BP100)</f>
        <v>2.9433507866982919E-6</v>
      </c>
      <c r="BR100">
        <f t="shared" si="390"/>
        <v>7.0331862050590445E-4</v>
      </c>
      <c r="BS100">
        <f t="shared" si="391"/>
        <v>0.29708355242036316</v>
      </c>
      <c r="BU100">
        <f t="shared" si="392"/>
        <v>10.740946549908863</v>
      </c>
      <c r="BV100">
        <f t="shared" si="393"/>
        <v>0.52800000000000002</v>
      </c>
      <c r="BW100">
        <f t="shared" si="323"/>
        <v>109632.777</v>
      </c>
      <c r="BX100">
        <f t="shared" si="324"/>
        <v>5.1785908674551748E-3</v>
      </c>
      <c r="BY100">
        <f t="shared" si="394"/>
        <v>4.1577683898672557E-3</v>
      </c>
      <c r="BZ100">
        <f t="shared" si="395"/>
        <v>1.2490264454816605E-2</v>
      </c>
      <c r="CA100">
        <f t="shared" si="396"/>
        <v>14.471424495004928</v>
      </c>
      <c r="CB100">
        <f t="shared" si="246"/>
        <v>3.4616010847649005E-6</v>
      </c>
      <c r="CC100">
        <f t="shared" ref="CC100:CC134" si="518">CC99+CF99*(BU100-BU99)/$G$21</f>
        <v>4.8602999666071026E-2</v>
      </c>
      <c r="CD100">
        <f t="shared" si="397"/>
        <v>5328.4818239214392</v>
      </c>
      <c r="CE100">
        <f t="shared" ref="CE100:CE134" si="519">$G$10*$G$23*SQRT(CD100)</f>
        <v>2.871261881324949E-6</v>
      </c>
      <c r="CF100">
        <f t="shared" si="398"/>
        <v>6.5806168918029707E-4</v>
      </c>
      <c r="CG100">
        <f t="shared" si="399"/>
        <v>0.2877172555160144</v>
      </c>
      <c r="CI100">
        <f t="shared" si="400"/>
        <v>12.638640286641877</v>
      </c>
      <c r="CJ100">
        <f t="shared" si="401"/>
        <v>0.52800000000000002</v>
      </c>
      <c r="CK100">
        <f t="shared" si="325"/>
        <v>109632.777</v>
      </c>
      <c r="CL100">
        <f t="shared" si="326"/>
        <v>5.1785908674551748E-3</v>
      </c>
      <c r="CM100">
        <f t="shared" si="402"/>
        <v>4.1577683898672557E-3</v>
      </c>
      <c r="CN100">
        <f t="shared" si="403"/>
        <v>1.2490264454816605E-2</v>
      </c>
      <c r="CO100">
        <f t="shared" si="404"/>
        <v>14.471424495004928</v>
      </c>
      <c r="CP100">
        <f t="shared" si="249"/>
        <v>3.3546845246905822E-6</v>
      </c>
      <c r="CQ100">
        <f t="shared" ref="CQ100:CQ134" si="520">CQ99+CT99*(CI100-CI99)/$G$21</f>
        <v>4.6285818929672692E-2</v>
      </c>
      <c r="CR100">
        <f t="shared" si="405"/>
        <v>5074.4428649791853</v>
      </c>
      <c r="CS100">
        <f t="shared" ref="CS100:CS134" si="521">$G$10*$G$23*SQRT(CR100)</f>
        <v>2.8019813769819842E-6</v>
      </c>
      <c r="CT100">
        <f t="shared" si="406"/>
        <v>6.161081034039502E-4</v>
      </c>
      <c r="CU100">
        <f t="shared" si="407"/>
        <v>0.27883069161667207</v>
      </c>
      <c r="CW100">
        <f t="shared" si="408"/>
        <v>14.536334023374891</v>
      </c>
      <c r="CX100">
        <f t="shared" si="409"/>
        <v>0.52800000000000002</v>
      </c>
      <c r="CY100">
        <f t="shared" si="327"/>
        <v>109632.777</v>
      </c>
      <c r="CZ100">
        <f t="shared" si="328"/>
        <v>5.1785908674551748E-3</v>
      </c>
      <c r="DA100">
        <f t="shared" si="410"/>
        <v>4.1577683898672557E-3</v>
      </c>
      <c r="DB100">
        <f t="shared" si="411"/>
        <v>1.2490264454816605E-2</v>
      </c>
      <c r="DC100">
        <f t="shared" si="412"/>
        <v>14.471424495004928</v>
      </c>
      <c r="DD100">
        <f t="shared" si="250"/>
        <v>3.2531640862761349E-6</v>
      </c>
      <c r="DE100">
        <f t="shared" ref="DE100:DE134" si="522">DE99+DH99*(CW100-CW99)/$G$21</f>
        <v>4.4111349096999007E-2</v>
      </c>
      <c r="DF100">
        <f t="shared" si="413"/>
        <v>4836.0496987204433</v>
      </c>
      <c r="DG100">
        <f t="shared" ref="DG100:DG134" si="523">$G$10*$G$23*SQRT(DF100)</f>
        <v>2.735372261975085E-6</v>
      </c>
      <c r="DH100">
        <f t="shared" si="414"/>
        <v>5.7719182557720123E-4</v>
      </c>
      <c r="DI100">
        <f t="shared" si="415"/>
        <v>0.27039263616079012</v>
      </c>
      <c r="DK100">
        <f t="shared" si="416"/>
        <v>16.434027760107906</v>
      </c>
      <c r="DL100">
        <f t="shared" si="417"/>
        <v>0.52800000000000002</v>
      </c>
      <c r="DM100">
        <f t="shared" si="329"/>
        <v>109632.777</v>
      </c>
      <c r="DN100">
        <f t="shared" si="330"/>
        <v>5.1785908674551748E-3</v>
      </c>
      <c r="DO100">
        <f t="shared" si="418"/>
        <v>4.1577683898672557E-3</v>
      </c>
      <c r="DP100">
        <f t="shared" si="419"/>
        <v>1.2490264454816605E-2</v>
      </c>
      <c r="DQ100">
        <f t="shared" si="420"/>
        <v>14.471424495004928</v>
      </c>
      <c r="DR100">
        <f t="shared" si="251"/>
        <v>3.1566925126884181E-6</v>
      </c>
      <c r="DS100">
        <f t="shared" ref="DS100:DS134" si="524">DS99+DV99*(DK100-DK99)/$G$21</f>
        <v>4.2069219014591479E-2</v>
      </c>
      <c r="DT100">
        <f t="shared" si="421"/>
        <v>4612.1653067908674</v>
      </c>
      <c r="DU100">
        <f t="shared" ref="DU100:DU134" si="525">$G$10*$G$23*SQRT(DT100)</f>
        <v>2.6713051000956673E-6</v>
      </c>
      <c r="DV100">
        <f t="shared" si="422"/>
        <v>5.4107004714642809E-4</v>
      </c>
      <c r="DW100">
        <f t="shared" si="423"/>
        <v>0.26237422626655643</v>
      </c>
      <c r="DY100">
        <f t="shared" si="424"/>
        <v>18.33172149684092</v>
      </c>
      <c r="DZ100">
        <f t="shared" si="425"/>
        <v>0.52800000000000002</v>
      </c>
      <c r="EA100">
        <f t="shared" si="331"/>
        <v>109632.777</v>
      </c>
      <c r="EB100">
        <f t="shared" si="332"/>
        <v>5.1785908674551748E-3</v>
      </c>
      <c r="EC100">
        <f t="shared" si="426"/>
        <v>4.1577683898672557E-3</v>
      </c>
      <c r="ED100">
        <f t="shared" si="427"/>
        <v>1.2490264454816605E-2</v>
      </c>
      <c r="EE100">
        <f t="shared" si="428"/>
        <v>14.471424495004928</v>
      </c>
      <c r="EF100">
        <f t="shared" si="252"/>
        <v>3.0649485735349106E-6</v>
      </c>
      <c r="EG100">
        <f t="shared" ref="EG100:EG134" si="526">EG99+EJ99*(DY100-DY99)/$G$21</f>
        <v>4.0149904534874846E-2</v>
      </c>
      <c r="EH100">
        <f t="shared" si="429"/>
        <v>4401.7455304432224</v>
      </c>
      <c r="EI100">
        <f t="shared" ref="EI100:EI134" si="527">$G$10*$G$23*SQRT(EH100)</f>
        <v>2.6096575846858138E-6</v>
      </c>
      <c r="EJ100">
        <f t="shared" si="430"/>
        <v>5.0752102425987745E-4</v>
      </c>
      <c r="EK100">
        <f t="shared" si="431"/>
        <v>0.25474876228699789</v>
      </c>
      <c r="EM100">
        <f t="shared" si="432"/>
        <v>20.229415233573935</v>
      </c>
      <c r="EN100">
        <f t="shared" si="433"/>
        <v>0.52800000000000002</v>
      </c>
      <c r="EO100">
        <f t="shared" si="333"/>
        <v>109632.777</v>
      </c>
      <c r="EP100">
        <f t="shared" si="334"/>
        <v>5.1785908674551748E-3</v>
      </c>
      <c r="EQ100">
        <f t="shared" si="434"/>
        <v>4.1577683898672557E-3</v>
      </c>
      <c r="ER100">
        <f t="shared" si="435"/>
        <v>1.2490264454816605E-2</v>
      </c>
      <c r="ES100">
        <f t="shared" si="436"/>
        <v>14.471424495004928</v>
      </c>
      <c r="ET100">
        <f t="shared" si="253"/>
        <v>2.9776348941325558E-6</v>
      </c>
      <c r="EU100">
        <f t="shared" ref="EU100:EU134" si="528">EU99+EX99*(EM100-EM99)/$G$21</f>
        <v>3.8344653148724157E-2</v>
      </c>
      <c r="EV100">
        <f t="shared" si="437"/>
        <v>4203.8308077964239</v>
      </c>
      <c r="EW100">
        <f t="shared" ref="EW100:EW134" si="529">$G$10*$G$23*SQRT(EV100)</f>
        <v>2.5503141192394008E-6</v>
      </c>
      <c r="EX100">
        <f t="shared" si="438"/>
        <v>4.7634212552618774E-4</v>
      </c>
      <c r="EY100">
        <f t="shared" si="439"/>
        <v>0.24749152738572192</v>
      </c>
      <c r="FA100">
        <f t="shared" si="440"/>
        <v>22.127108970306949</v>
      </c>
      <c r="FB100">
        <f t="shared" si="441"/>
        <v>0.52800000000000002</v>
      </c>
      <c r="FC100">
        <f t="shared" si="335"/>
        <v>109632.777</v>
      </c>
      <c r="FD100">
        <f t="shared" si="336"/>
        <v>5.1785908674551748E-3</v>
      </c>
      <c r="FE100">
        <f t="shared" si="442"/>
        <v>4.1577683898672557E-3</v>
      </c>
      <c r="FF100">
        <f t="shared" si="443"/>
        <v>1.2490264454816605E-2</v>
      </c>
      <c r="FG100">
        <f t="shared" si="444"/>
        <v>14.471424495004928</v>
      </c>
      <c r="FH100">
        <f t="shared" si="254"/>
        <v>2.8944759807196761E-6</v>
      </c>
      <c r="FI100">
        <f t="shared" ref="FI100:FI134" si="530">FI99+FL99*(FA100-FA99)/$G$21</f>
        <v>3.6645415767497504E-2</v>
      </c>
      <c r="FJ100">
        <f t="shared" si="445"/>
        <v>4017.5386949103377</v>
      </c>
      <c r="FK100">
        <f t="shared" ref="FK100:FK134" si="531">$G$10*$G$23*SQRT(FJ100)</f>
        <v>2.4931654230338006E-6</v>
      </c>
      <c r="FL100">
        <f t="shared" si="446"/>
        <v>4.4734807029212799E-4</v>
      </c>
      <c r="FM100">
        <f t="shared" si="447"/>
        <v>0.24057962339882083</v>
      </c>
      <c r="FO100">
        <f t="shared" si="448"/>
        <v>24.024802707039964</v>
      </c>
      <c r="FP100">
        <f t="shared" si="449"/>
        <v>0.52800000000000002</v>
      </c>
      <c r="FQ100">
        <f t="shared" si="337"/>
        <v>109632.777</v>
      </c>
      <c r="FR100">
        <f t="shared" si="338"/>
        <v>5.1785908674551748E-3</v>
      </c>
      <c r="FS100">
        <f t="shared" si="450"/>
        <v>4.1577683898672557E-3</v>
      </c>
      <c r="FT100">
        <f t="shared" si="451"/>
        <v>1.2490264454816605E-2</v>
      </c>
      <c r="FU100">
        <f t="shared" si="452"/>
        <v>14.471424495004928</v>
      </c>
      <c r="FV100">
        <f t="shared" si="255"/>
        <v>2.8152164228400176E-6</v>
      </c>
      <c r="FW100">
        <f t="shared" ref="FW100:FW134" si="532">FW99+FZ99*(FO100-FO99)/$G$21</f>
        <v>3.504478494336865E-2</v>
      </c>
      <c r="FX100">
        <f t="shared" si="453"/>
        <v>3842.0570927092926</v>
      </c>
      <c r="FY100">
        <f t="shared" ref="FY100:FY134" si="533">$G$10*$G$23*SQRT(FX100)</f>
        <v>2.4381081603607805E-6</v>
      </c>
      <c r="FZ100">
        <f t="shared" si="454"/>
        <v>4.2036933811084111E-4</v>
      </c>
      <c r="GA100">
        <f t="shared" si="455"/>
        <v>0.23399182142276015</v>
      </c>
      <c r="GC100">
        <f t="shared" si="456"/>
        <v>25.922496443772978</v>
      </c>
      <c r="GD100">
        <f t="shared" si="457"/>
        <v>0.52800000000000002</v>
      </c>
      <c r="GE100">
        <f t="shared" si="339"/>
        <v>109632.777</v>
      </c>
      <c r="GF100">
        <f t="shared" si="340"/>
        <v>5.1785908674551748E-3</v>
      </c>
      <c r="GG100">
        <f t="shared" si="458"/>
        <v>4.1577683898672557E-3</v>
      </c>
      <c r="GH100">
        <f t="shared" si="459"/>
        <v>1.2490264454816605E-2</v>
      </c>
      <c r="GI100">
        <f t="shared" si="460"/>
        <v>14.471424495004928</v>
      </c>
      <c r="GJ100">
        <f t="shared" si="256"/>
        <v>2.7396192560076372E-6</v>
      </c>
      <c r="GK100">
        <f t="shared" ref="GK100:GK134" si="534">GK99+GN99*(GC100-GC99)/$G$21</f>
        <v>3.3535938889975879E-2</v>
      </c>
      <c r="GL100">
        <f t="shared" si="461"/>
        <v>3676.6381098103529</v>
      </c>
      <c r="GM100">
        <f t="shared" ref="GM100:GM134" si="535">$G$10*$G$23*SQRT(GL100)</f>
        <v>2.3850445919968211E-6</v>
      </c>
      <c r="GN100">
        <f t="shared" si="462"/>
        <v>3.9525073208733318E-4</v>
      </c>
      <c r="GO100">
        <f t="shared" si="463"/>
        <v>0.22770842572429942</v>
      </c>
      <c r="GQ100">
        <f t="shared" si="464"/>
        <v>27.820190180505993</v>
      </c>
      <c r="GR100">
        <f t="shared" si="465"/>
        <v>0.52800000000000002</v>
      </c>
      <c r="GS100">
        <f t="shared" si="341"/>
        <v>109632.777</v>
      </c>
      <c r="GT100">
        <f t="shared" si="342"/>
        <v>5.1785908674551748E-3</v>
      </c>
      <c r="GU100">
        <f t="shared" si="466"/>
        <v>4.1577683898672557E-3</v>
      </c>
      <c r="GV100">
        <f t="shared" si="467"/>
        <v>1.2490264454816605E-2</v>
      </c>
      <c r="GW100">
        <f t="shared" si="468"/>
        <v>14.471424495004928</v>
      </c>
      <c r="GX100">
        <f t="shared" si="257"/>
        <v>2.6674644694468324E-6</v>
      </c>
      <c r="GY100">
        <f t="shared" ref="GY100:GY134" si="536">GY99+HB99*(GQ100-GQ99)/$G$21</f>
        <v>3.2112590730887798E-2</v>
      </c>
      <c r="GZ100">
        <f t="shared" si="469"/>
        <v>3520.5924984916892</v>
      </c>
      <c r="HA100">
        <f t="shared" ref="HA100:HA134" si="537">$G$10*$G$23*SQRT(GZ100)</f>
        <v>2.3338822476222709E-6</v>
      </c>
      <c r="HB100">
        <f t="shared" si="470"/>
        <v>3.7185008058966977E-4</v>
      </c>
      <c r="HC100">
        <f t="shared" si="471"/>
        <v>0.22171114970858874</v>
      </c>
      <c r="HE100">
        <f t="shared" si="472"/>
        <v>29.717883917239007</v>
      </c>
      <c r="HF100">
        <f t="shared" si="473"/>
        <v>0.52800000000000002</v>
      </c>
      <c r="HG100">
        <f t="shared" si="343"/>
        <v>109632.777</v>
      </c>
      <c r="HH100">
        <f t="shared" si="344"/>
        <v>5.1785908674551748E-3</v>
      </c>
      <c r="HI100">
        <f t="shared" si="263"/>
        <v>4.1577683898672557E-3</v>
      </c>
      <c r="HJ100">
        <f t="shared" si="474"/>
        <v>1.2490264454816605E-2</v>
      </c>
      <c r="HK100">
        <f t="shared" si="475"/>
        <v>14.471424495004928</v>
      </c>
      <c r="HL100">
        <f t="shared" si="258"/>
        <v>2.5985476452128138E-6</v>
      </c>
      <c r="HM100">
        <f t="shared" ref="HM100:HM134" si="538">HM99+HP99*(HE100-HE99)/$G$21</f>
        <v>3.0768942461988091E-2</v>
      </c>
      <c r="HN100">
        <f t="shared" si="476"/>
        <v>3373.2846074609715</v>
      </c>
      <c r="HO100">
        <f t="shared" ref="HO100:HO134" si="539">$G$10*$G$23*SQRT(HN100)</f>
        <v>2.2845336179653594E-6</v>
      </c>
      <c r="HP100">
        <f t="shared" si="477"/>
        <v>3.5003706342498871E-4</v>
      </c>
      <c r="HQ100">
        <f t="shared" si="478"/>
        <v>0.21598300280721403</v>
      </c>
      <c r="HS100">
        <f t="shared" si="479"/>
        <v>31.615577653972021</v>
      </c>
      <c r="HT100">
        <f t="shared" si="480"/>
        <v>0.52800000000000002</v>
      </c>
      <c r="HU100">
        <f t="shared" si="345"/>
        <v>109632.777</v>
      </c>
      <c r="HV100">
        <f t="shared" si="346"/>
        <v>5.1785908674551748E-3</v>
      </c>
      <c r="HW100">
        <f t="shared" si="264"/>
        <v>4.1577683898672557E-3</v>
      </c>
      <c r="HX100">
        <f t="shared" si="481"/>
        <v>1.2490264454816605E-2</v>
      </c>
      <c r="HY100">
        <f t="shared" si="482"/>
        <v>14.471424495004928</v>
      </c>
      <c r="HZ100">
        <f t="shared" si="259"/>
        <v>2.5326787163550768E-6</v>
      </c>
      <c r="IA100">
        <f t="shared" ref="IA100:IA134" si="540">IA99+ID99*(HS100-HS99)/$G$21</f>
        <v>2.9499643166335309E-2</v>
      </c>
      <c r="IB100">
        <f t="shared" si="483"/>
        <v>3234.1278008344129</v>
      </c>
      <c r="IC100">
        <f t="shared" ref="IC100:IC134" si="541">$G$10*$G$23*SQRT(IB100)</f>
        <v>2.2369158655112038E-6</v>
      </c>
      <c r="ID100">
        <f t="shared" si="484"/>
        <v>3.2969215001980943E-4</v>
      </c>
      <c r="IE100">
        <f t="shared" si="485"/>
        <v>0.21050818726069223</v>
      </c>
      <c r="IG100">
        <f t="shared" si="486"/>
        <v>33.513271390705036</v>
      </c>
      <c r="IH100">
        <f t="shared" si="487"/>
        <v>0.52800000000000002</v>
      </c>
      <c r="II100">
        <f t="shared" si="347"/>
        <v>109632.777</v>
      </c>
      <c r="IJ100">
        <f t="shared" si="348"/>
        <v>5.1785908674551748E-3</v>
      </c>
      <c r="IK100">
        <f t="shared" si="265"/>
        <v>4.1577683898672557E-3</v>
      </c>
      <c r="IL100">
        <f t="shared" si="488"/>
        <v>1.2490264454816605E-2</v>
      </c>
      <c r="IM100">
        <f t="shared" si="489"/>
        <v>14.471424495004928</v>
      </c>
      <c r="IN100">
        <f t="shared" si="260"/>
        <v>2.4696808330023688E-6</v>
      </c>
      <c r="IO100">
        <f t="shared" ref="IO100:IO134" si="542">IO99+IR99*(IG100-IG99)/$G$21</f>
        <v>2.8299751067013098E-2</v>
      </c>
      <c r="IP100">
        <f t="shared" si="490"/>
        <v>3102.580297885359</v>
      </c>
      <c r="IQ100">
        <f t="shared" ref="IQ100:IQ134" si="543">$G$10*$G$23*SQRT(IP100)</f>
        <v>2.1909505526775942E-6</v>
      </c>
      <c r="IR100">
        <f t="shared" si="491"/>
        <v>3.1070563843194987E-4</v>
      </c>
      <c r="IS100">
        <f t="shared" si="492"/>
        <v>0.20527200387106567</v>
      </c>
      <c r="IU100">
        <f t="shared" si="493"/>
        <v>35.410965127438047</v>
      </c>
      <c r="IV100">
        <f t="shared" si="494"/>
        <v>0.52800000000000002</v>
      </c>
      <c r="IW100">
        <f t="shared" si="349"/>
        <v>109632.777</v>
      </c>
      <c r="IX100">
        <f t="shared" si="350"/>
        <v>5.1785908674551748E-3</v>
      </c>
      <c r="IY100">
        <f t="shared" si="266"/>
        <v>4.1577683898672557E-3</v>
      </c>
      <c r="IZ100">
        <f t="shared" si="495"/>
        <v>1.2490264454816605E-2</v>
      </c>
      <c r="JA100">
        <f t="shared" si="496"/>
        <v>14.471424495004928</v>
      </c>
      <c r="JB100">
        <f t="shared" si="261"/>
        <v>2.4093893263407425E-6</v>
      </c>
      <c r="JC100">
        <f t="shared" ref="JC100:JC134" si="544">JC99+JF99*(IU100-IU99)/$G$21</f>
        <v>2.7164699045536339E-2</v>
      </c>
      <c r="JD100">
        <f t="shared" si="497"/>
        <v>2978.1413927313984</v>
      </c>
      <c r="JE100">
        <f t="shared" ref="JE100:JE134" si="545">$G$10*$G$23*SQRT(JD100)</f>
        <v>2.1465633864185095E-6</v>
      </c>
      <c r="JF100">
        <f t="shared" si="498"/>
        <v>2.929767851733342E-4</v>
      </c>
      <c r="JG100">
        <f t="shared" si="499"/>
        <v>0.20026076589105829</v>
      </c>
      <c r="JI100">
        <f t="shared" si="500"/>
        <v>37.308658864171065</v>
      </c>
      <c r="JJ100">
        <f t="shared" si="501"/>
        <v>0.52800000000000002</v>
      </c>
      <c r="JK100">
        <f t="shared" si="351"/>
        <v>109632.777</v>
      </c>
      <c r="JL100">
        <f t="shared" si="352"/>
        <v>5.1785908674551748E-3</v>
      </c>
      <c r="JM100">
        <f t="shared" si="267"/>
        <v>4.1577683898672557E-3</v>
      </c>
      <c r="JN100">
        <f t="shared" si="502"/>
        <v>1.2490264454816605E-2</v>
      </c>
      <c r="JO100">
        <f t="shared" si="503"/>
        <v>14.471424495004928</v>
      </c>
      <c r="JP100">
        <f t="shared" si="262"/>
        <v>2.3516507614372095E-6</v>
      </c>
      <c r="JQ100">
        <f t="shared" ref="JQ100:JQ134" si="546">JQ99+JT99*(JI100-JI99)/$G$21</f>
        <v>2.6090263291038432E-2</v>
      </c>
      <c r="JR100">
        <f t="shared" si="504"/>
        <v>2860.3480172577024</v>
      </c>
      <c r="JS100">
        <f t="shared" ref="JS100:JS134" si="547">$G$10*$G$23*SQRT(JR100)</f>
        <v>2.1036839782729453E-6</v>
      </c>
      <c r="JT100">
        <f t="shared" si="505"/>
        <v>2.7641301685341703E-4</v>
      </c>
      <c r="JU100">
        <f t="shared" si="506"/>
        <v>0.19546172029779463</v>
      </c>
    </row>
    <row r="101" spans="2:281">
      <c r="B101">
        <v>0.67</v>
      </c>
      <c r="C101">
        <f t="shared" si="353"/>
        <v>1.2714548036111197</v>
      </c>
      <c r="D101">
        <f t="shared" si="354"/>
        <v>0.53600000000000003</v>
      </c>
      <c r="E101">
        <f t="shared" si="313"/>
        <v>109448.349</v>
      </c>
      <c r="F101">
        <f t="shared" si="314"/>
        <v>5.1814979958250199E-3</v>
      </c>
      <c r="G101">
        <f t="shared" si="355"/>
        <v>4.1566018486149329E-3</v>
      </c>
      <c r="H101">
        <f t="shared" si="356"/>
        <v>1.251131140996869E-2</v>
      </c>
      <c r="I101">
        <f t="shared" si="357"/>
        <v>14.487676830194262</v>
      </c>
      <c r="J101">
        <f t="shared" ref="J101:J134" si="548">J100-N100*(C101-C100)/$G$24</f>
        <v>4.0904773854608195E-6</v>
      </c>
      <c r="K101">
        <f t="shared" si="507"/>
        <v>6.3259962032942582E-2</v>
      </c>
      <c r="L101">
        <f t="shared" si="358"/>
        <v>6923.6984023082496</v>
      </c>
      <c r="M101">
        <f t="shared" si="508"/>
        <v>3.2729557355052224E-6</v>
      </c>
      <c r="N101">
        <f t="shared" si="509"/>
        <v>9.1207351701866053E-4</v>
      </c>
      <c r="O101">
        <f t="shared" si="359"/>
        <v>0.33998745039538258</v>
      </c>
      <c r="Q101">
        <f t="shared" si="360"/>
        <v>3.1691485403441342</v>
      </c>
      <c r="R101">
        <f t="shared" si="361"/>
        <v>0.53600000000000003</v>
      </c>
      <c r="S101">
        <f t="shared" si="315"/>
        <v>109448.349</v>
      </c>
      <c r="T101">
        <f t="shared" si="316"/>
        <v>5.1814979958250199E-3</v>
      </c>
      <c r="U101">
        <f t="shared" si="362"/>
        <v>4.1566018486149329E-3</v>
      </c>
      <c r="V101">
        <f t="shared" si="363"/>
        <v>1.251131140996869E-2</v>
      </c>
      <c r="W101">
        <f t="shared" si="364"/>
        <v>14.487676830194262</v>
      </c>
      <c r="X101">
        <f t="shared" ref="X101:X134" si="549">X100-AB100*(Q101-Q100)/$G$24</f>
        <v>3.9503423083553598E-6</v>
      </c>
      <c r="Y101">
        <f t="shared" si="510"/>
        <v>6.00044790141782E-2</v>
      </c>
      <c r="Z101">
        <f t="shared" si="365"/>
        <v>6567.3911607069513</v>
      </c>
      <c r="AA101">
        <f t="shared" si="511"/>
        <v>3.1876270460582435E-6</v>
      </c>
      <c r="AB101">
        <f t="shared" si="366"/>
        <v>8.5092840269725546E-4</v>
      </c>
      <c r="AC101">
        <f t="shared" si="367"/>
        <v>0.32833986917530494</v>
      </c>
      <c r="AE101">
        <f t="shared" si="368"/>
        <v>5.0668422770771482</v>
      </c>
      <c r="AF101">
        <f t="shared" si="369"/>
        <v>0.53600000000000003</v>
      </c>
      <c r="AG101">
        <f t="shared" si="317"/>
        <v>109448.349</v>
      </c>
      <c r="AH101">
        <f t="shared" si="318"/>
        <v>5.1814979958250199E-3</v>
      </c>
      <c r="AI101">
        <f t="shared" si="370"/>
        <v>4.1566018486149329E-3</v>
      </c>
      <c r="AJ101">
        <f t="shared" si="371"/>
        <v>1.251131140996869E-2</v>
      </c>
      <c r="AK101">
        <f t="shared" si="372"/>
        <v>14.487676830194262</v>
      </c>
      <c r="AL101">
        <f t="shared" ref="AL101:AL134" si="550">AL100-AP100*(AE101-AE100)/$G$24</f>
        <v>3.8178177962329212E-6</v>
      </c>
      <c r="AM101">
        <f t="shared" si="512"/>
        <v>5.6962016370785531E-2</v>
      </c>
      <c r="AN101">
        <f t="shared" si="373"/>
        <v>6234.3986474934482</v>
      </c>
      <c r="AO101">
        <f t="shared" si="513"/>
        <v>3.1057632412442118E-6</v>
      </c>
      <c r="AP101">
        <f t="shared" si="374"/>
        <v>7.9440844448949266E-4</v>
      </c>
      <c r="AQ101">
        <f t="shared" si="375"/>
        <v>0.31732485387377829</v>
      </c>
      <c r="AS101">
        <f t="shared" si="376"/>
        <v>6.9645360138101626</v>
      </c>
      <c r="AT101">
        <f t="shared" si="377"/>
        <v>0.53600000000000003</v>
      </c>
      <c r="AU101">
        <f t="shared" si="319"/>
        <v>109448.349</v>
      </c>
      <c r="AV101">
        <f t="shared" si="320"/>
        <v>5.1814979958250199E-3</v>
      </c>
      <c r="AW101">
        <f t="shared" si="378"/>
        <v>4.1566018486149329E-3</v>
      </c>
      <c r="AX101">
        <f t="shared" si="379"/>
        <v>1.251131140996869E-2</v>
      </c>
      <c r="AY101">
        <f t="shared" si="380"/>
        <v>14.487676830194262</v>
      </c>
      <c r="AZ101">
        <f t="shared" ref="AZ101:AZ134" si="551">AZ100-BD100*(AS101-AS100)/$G$24</f>
        <v>3.6923858365544168E-6</v>
      </c>
      <c r="BA101">
        <f t="shared" si="514"/>
        <v>5.411631874132853E-2</v>
      </c>
      <c r="BB101">
        <f t="shared" si="381"/>
        <v>5922.9417401961655</v>
      </c>
      <c r="BC101">
        <f t="shared" si="515"/>
        <v>3.0271907758627392E-6</v>
      </c>
      <c r="BD101">
        <f t="shared" si="382"/>
        <v>7.4212933509644973E-4</v>
      </c>
      <c r="BE101">
        <f t="shared" si="383"/>
        <v>0.30689934893864051</v>
      </c>
      <c r="BG101">
        <f t="shared" si="384"/>
        <v>8.8622297505431771</v>
      </c>
      <c r="BH101">
        <f t="shared" si="385"/>
        <v>0.53600000000000003</v>
      </c>
      <c r="BI101">
        <f t="shared" si="321"/>
        <v>109448.349</v>
      </c>
      <c r="BJ101">
        <f t="shared" si="322"/>
        <v>5.1814979958250199E-3</v>
      </c>
      <c r="BK101">
        <f t="shared" si="386"/>
        <v>4.1566018486149329E-3</v>
      </c>
      <c r="BL101">
        <f t="shared" si="387"/>
        <v>1.251131140996869E-2</v>
      </c>
      <c r="BM101">
        <f t="shared" si="388"/>
        <v>14.487676830194262</v>
      </c>
      <c r="BN101">
        <f t="shared" ref="BN101:BN134" si="552">BN100-BR100*(BG101-BG100)/$G$24</f>
        <v>3.5735690188543992E-6</v>
      </c>
      <c r="BO101">
        <f t="shared" si="516"/>
        <v>5.1452511615877321E-2</v>
      </c>
      <c r="BP101">
        <f t="shared" si="389"/>
        <v>5631.3924482610946</v>
      </c>
      <c r="BQ101">
        <f t="shared" si="517"/>
        <v>2.9517458276978581E-6</v>
      </c>
      <c r="BR101">
        <f t="shared" si="390"/>
        <v>6.9374121768239099E-4</v>
      </c>
      <c r="BS101">
        <f t="shared" si="391"/>
        <v>0.29702367353275605</v>
      </c>
      <c r="BU101">
        <f t="shared" si="392"/>
        <v>10.759923487276192</v>
      </c>
      <c r="BV101">
        <f t="shared" si="393"/>
        <v>0.53600000000000003</v>
      </c>
      <c r="BW101">
        <f t="shared" si="323"/>
        <v>109448.349</v>
      </c>
      <c r="BX101">
        <f t="shared" si="324"/>
        <v>5.1814979958250199E-3</v>
      </c>
      <c r="BY101">
        <f t="shared" si="394"/>
        <v>4.1566018486149329E-3</v>
      </c>
      <c r="BZ101">
        <f t="shared" si="395"/>
        <v>1.251131140996869E-2</v>
      </c>
      <c r="CA101">
        <f t="shared" si="396"/>
        <v>14.487676830194262</v>
      </c>
      <c r="CB101">
        <f t="shared" ref="CB101:CB134" si="553">CB100-CF100*(BU101-BU100)/$G$24</f>
        <v>3.4609270235709405E-6</v>
      </c>
      <c r="CC101">
        <f t="shared" si="518"/>
        <v>4.8956974561590712E-2</v>
      </c>
      <c r="CD101">
        <f t="shared" si="397"/>
        <v>5358.260037801102</v>
      </c>
      <c r="CE101">
        <f t="shared" si="519"/>
        <v>2.8792737250571544E-6</v>
      </c>
      <c r="CF101">
        <f t="shared" si="398"/>
        <v>6.4892540728406147E-4</v>
      </c>
      <c r="CG101">
        <f t="shared" si="399"/>
        <v>0.28766122969673974</v>
      </c>
      <c r="CI101">
        <f t="shared" si="400"/>
        <v>12.657617224009206</v>
      </c>
      <c r="CJ101">
        <f t="shared" si="401"/>
        <v>0.53600000000000003</v>
      </c>
      <c r="CK101">
        <f t="shared" si="325"/>
        <v>109448.349</v>
      </c>
      <c r="CL101">
        <f t="shared" si="326"/>
        <v>5.1814979958250199E-3</v>
      </c>
      <c r="CM101">
        <f t="shared" si="402"/>
        <v>4.1566018486149329E-3</v>
      </c>
      <c r="CN101">
        <f t="shared" si="403"/>
        <v>1.251131140996869E-2</v>
      </c>
      <c r="CO101">
        <f t="shared" si="404"/>
        <v>14.487676830194262</v>
      </c>
      <c r="CP101">
        <f t="shared" ref="CP101:CP134" si="554">CP100-CT100*(CI101-CI100)/$G$24</f>
        <v>3.3540534371031764E-6</v>
      </c>
      <c r="CQ101">
        <f t="shared" si="520"/>
        <v>4.6617226767443801E-2</v>
      </c>
      <c r="CR101">
        <f t="shared" si="405"/>
        <v>5102.1785046553314</v>
      </c>
      <c r="CS101">
        <f t="shared" si="521"/>
        <v>2.8096284078760506E-6</v>
      </c>
      <c r="CT101">
        <f t="shared" si="406"/>
        <v>6.0739143873087844E-4</v>
      </c>
      <c r="CU101">
        <f t="shared" si="407"/>
        <v>0.27877823762668524</v>
      </c>
      <c r="CW101">
        <f t="shared" si="408"/>
        <v>14.55531096074222</v>
      </c>
      <c r="CX101">
        <f t="shared" si="409"/>
        <v>0.53600000000000003</v>
      </c>
      <c r="CY101">
        <f t="shared" si="327"/>
        <v>109448.349</v>
      </c>
      <c r="CZ101">
        <f t="shared" si="328"/>
        <v>5.1814979958250199E-3</v>
      </c>
      <c r="DA101">
        <f t="shared" si="410"/>
        <v>4.1566018486149329E-3</v>
      </c>
      <c r="DB101">
        <f t="shared" si="411"/>
        <v>1.251131140996869E-2</v>
      </c>
      <c r="DC101">
        <f t="shared" si="412"/>
        <v>14.487676830194262</v>
      </c>
      <c r="DD101">
        <f t="shared" ref="DD101:DD134" si="555">DD100-DH100*(CW101-CW100)/$G$24</f>
        <v>3.2525728611410307E-6</v>
      </c>
      <c r="DE101">
        <f t="shared" si="522"/>
        <v>4.4421823661181588E-2</v>
      </c>
      <c r="DF101">
        <f t="shared" si="413"/>
        <v>4861.8952592854603</v>
      </c>
      <c r="DG101">
        <f t="shared" si="523"/>
        <v>2.7426719205476202E-6</v>
      </c>
      <c r="DH101">
        <f t="shared" si="414"/>
        <v>5.6887440747705549E-4</v>
      </c>
      <c r="DI101">
        <f t="shared" si="415"/>
        <v>0.27034349541086</v>
      </c>
      <c r="DK101">
        <f t="shared" si="416"/>
        <v>16.453004697475237</v>
      </c>
      <c r="DL101">
        <f t="shared" si="417"/>
        <v>0.53600000000000003</v>
      </c>
      <c r="DM101">
        <f t="shared" si="329"/>
        <v>109448.349</v>
      </c>
      <c r="DN101">
        <f t="shared" si="330"/>
        <v>5.1814979958250199E-3</v>
      </c>
      <c r="DO101">
        <f t="shared" si="418"/>
        <v>4.1566018486149329E-3</v>
      </c>
      <c r="DP101">
        <f t="shared" si="419"/>
        <v>1.251131140996869E-2</v>
      </c>
      <c r="DQ101">
        <f t="shared" si="420"/>
        <v>14.487676830194262</v>
      </c>
      <c r="DR101">
        <f t="shared" ref="DR101:DR134" si="556">DR100-DV100*(DK101-DK100)/$G$24</f>
        <v>3.1561382875633394E-6</v>
      </c>
      <c r="DS101">
        <f t="shared" si="524"/>
        <v>4.2360263481328445E-2</v>
      </c>
      <c r="DT101">
        <f t="shared" si="421"/>
        <v>4636.260901236391</v>
      </c>
      <c r="DU101">
        <f t="shared" si="525"/>
        <v>2.678273934723472E-6</v>
      </c>
      <c r="DV101">
        <f t="shared" si="422"/>
        <v>5.3313257327946813E-4</v>
      </c>
      <c r="DW101">
        <f t="shared" si="423"/>
        <v>0.26232816083959909</v>
      </c>
      <c r="DY101">
        <f t="shared" si="424"/>
        <v>18.350698434208251</v>
      </c>
      <c r="DZ101">
        <f t="shared" si="425"/>
        <v>0.53600000000000003</v>
      </c>
      <c r="EA101">
        <f t="shared" si="331"/>
        <v>109448.349</v>
      </c>
      <c r="EB101">
        <f t="shared" si="332"/>
        <v>5.1814979958250199E-3</v>
      </c>
      <c r="EC101">
        <f t="shared" si="426"/>
        <v>4.1566018486149329E-3</v>
      </c>
      <c r="ED101">
        <f t="shared" si="427"/>
        <v>1.251131140996869E-2</v>
      </c>
      <c r="EE101">
        <f t="shared" si="428"/>
        <v>14.487676830194262</v>
      </c>
      <c r="EF101">
        <f t="shared" ref="EF101:EF134" si="557">EF100-EJ100*(DY101-DY100)/$G$24</f>
        <v>3.0644287131127084E-6</v>
      </c>
      <c r="EG101">
        <f t="shared" si="526"/>
        <v>4.0422902803107459E-2</v>
      </c>
      <c r="EH101">
        <f t="shared" si="429"/>
        <v>4424.2199735875838</v>
      </c>
      <c r="EI101">
        <f t="shared" si="527"/>
        <v>2.616311300413661E-6</v>
      </c>
      <c r="EJ101">
        <f t="shared" si="430"/>
        <v>4.9994519981204388E-4</v>
      </c>
      <c r="EK101">
        <f t="shared" si="431"/>
        <v>0.25470555314467769</v>
      </c>
      <c r="EM101">
        <f t="shared" si="432"/>
        <v>20.248392170941266</v>
      </c>
      <c r="EN101">
        <f t="shared" si="433"/>
        <v>0.53600000000000003</v>
      </c>
      <c r="EO101">
        <f t="shared" si="333"/>
        <v>109448.349</v>
      </c>
      <c r="EP101">
        <f t="shared" si="334"/>
        <v>5.1814979958250199E-3</v>
      </c>
      <c r="EQ101">
        <f t="shared" si="434"/>
        <v>4.1566018486149329E-3</v>
      </c>
      <c r="ER101">
        <f t="shared" si="435"/>
        <v>1.251131140996869E-2</v>
      </c>
      <c r="ES101">
        <f t="shared" si="436"/>
        <v>14.487676830194262</v>
      </c>
      <c r="ET101">
        <f t="shared" ref="ET101:ET134" si="558">ET100-EX100*(EM101-EM100)/$G$24</f>
        <v>2.9771469706640651E-6</v>
      </c>
      <c r="EU101">
        <f t="shared" si="528"/>
        <v>3.8600880120886603E-2</v>
      </c>
      <c r="EV101">
        <f t="shared" si="437"/>
        <v>4224.8025991779596</v>
      </c>
      <c r="EW101">
        <f t="shared" si="529"/>
        <v>2.5566676237934433E-6</v>
      </c>
      <c r="EX101">
        <f t="shared" si="438"/>
        <v>4.691106061286906E-4</v>
      </c>
      <c r="EY101">
        <f t="shared" si="439"/>
        <v>0.24745097274126163</v>
      </c>
      <c r="FA101">
        <f t="shared" si="440"/>
        <v>22.14608590767428</v>
      </c>
      <c r="FB101">
        <f t="shared" si="441"/>
        <v>0.53600000000000003</v>
      </c>
      <c r="FC101">
        <f t="shared" si="335"/>
        <v>109448.349</v>
      </c>
      <c r="FD101">
        <f t="shared" si="336"/>
        <v>5.1814979958250199E-3</v>
      </c>
      <c r="FE101">
        <f t="shared" si="442"/>
        <v>4.1566018486149329E-3</v>
      </c>
      <c r="FF101">
        <f t="shared" si="443"/>
        <v>1.251131140996869E-2</v>
      </c>
      <c r="FG101">
        <f t="shared" si="444"/>
        <v>14.487676830194262</v>
      </c>
      <c r="FH101">
        <f t="shared" ref="FH101:FH134" si="559">FH100-FL100*(FA101-FA100)/$G$24</f>
        <v>2.8940177562411285E-6</v>
      </c>
      <c r="FI101">
        <f t="shared" si="530"/>
        <v>3.6886046682571512E-2</v>
      </c>
      <c r="FJ101">
        <f t="shared" si="445"/>
        <v>4037.1169105443792</v>
      </c>
      <c r="FK101">
        <f t="shared" si="531"/>
        <v>2.4992328702018358E-6</v>
      </c>
      <c r="FL101">
        <f t="shared" si="446"/>
        <v>4.4044440840829813E-4</v>
      </c>
      <c r="FM101">
        <f t="shared" si="447"/>
        <v>0.24054153723980087</v>
      </c>
      <c r="FO101">
        <f t="shared" si="448"/>
        <v>24.043779644407294</v>
      </c>
      <c r="FP101">
        <f t="shared" si="449"/>
        <v>0.53600000000000003</v>
      </c>
      <c r="FQ101">
        <f t="shared" si="337"/>
        <v>109448.349</v>
      </c>
      <c r="FR101">
        <f t="shared" si="338"/>
        <v>5.1814979958250199E-3</v>
      </c>
      <c r="FS101">
        <f t="shared" si="450"/>
        <v>4.1566018486149329E-3</v>
      </c>
      <c r="FT101">
        <f t="shared" si="451"/>
        <v>1.251131140996869E-2</v>
      </c>
      <c r="FU101">
        <f t="shared" si="452"/>
        <v>14.487676830194262</v>
      </c>
      <c r="FV101">
        <f t="shared" ref="FV101:FV134" si="560">FV100-FZ100*(FO101-FO100)/$G$24</f>
        <v>2.8147858330296549E-6</v>
      </c>
      <c r="FW101">
        <f t="shared" si="532"/>
        <v>3.527090385438264E-2</v>
      </c>
      <c r="FX101">
        <f t="shared" si="453"/>
        <v>3860.3421945999166</v>
      </c>
      <c r="FY101">
        <f t="shared" si="533"/>
        <v>2.443902990891689E-6</v>
      </c>
      <c r="FZ101">
        <f t="shared" si="454"/>
        <v>4.1377793266884639E-4</v>
      </c>
      <c r="GA101">
        <f t="shared" si="455"/>
        <v>0.23395603216933172</v>
      </c>
      <c r="GC101">
        <f t="shared" si="456"/>
        <v>25.941473381140309</v>
      </c>
      <c r="GD101">
        <f t="shared" si="457"/>
        <v>0.53600000000000003</v>
      </c>
      <c r="GE101">
        <f t="shared" si="339"/>
        <v>109448.349</v>
      </c>
      <c r="GF101">
        <f t="shared" si="340"/>
        <v>5.1814979958250199E-3</v>
      </c>
      <c r="GG101">
        <f t="shared" si="458"/>
        <v>4.1566018486149329E-3</v>
      </c>
      <c r="GH101">
        <f t="shared" si="459"/>
        <v>1.251131140996869E-2</v>
      </c>
      <c r="GI101">
        <f t="shared" si="460"/>
        <v>14.487676830194262</v>
      </c>
      <c r="GJ101">
        <f t="shared" ref="GJ101:GJ134" si="561">GJ100-GN100*(GC101-GC100)/$G$24</f>
        <v>2.7392143955139103E-6</v>
      </c>
      <c r="GK101">
        <f t="shared" si="534"/>
        <v>3.3748546368719975E-2</v>
      </c>
      <c r="GL101">
        <f t="shared" si="461"/>
        <v>3693.7226812063468</v>
      </c>
      <c r="GM101">
        <f t="shared" si="535"/>
        <v>2.3905795721630115E-6</v>
      </c>
      <c r="GN101">
        <f t="shared" si="462"/>
        <v>3.8895678115203984E-4</v>
      </c>
      <c r="GO101">
        <f t="shared" si="463"/>
        <v>0.22767477500971112</v>
      </c>
      <c r="GQ101">
        <f t="shared" si="464"/>
        <v>27.839167117873323</v>
      </c>
      <c r="GR101">
        <f t="shared" si="465"/>
        <v>0.53600000000000003</v>
      </c>
      <c r="GS101">
        <f t="shared" si="341"/>
        <v>109448.349</v>
      </c>
      <c r="GT101">
        <f t="shared" si="342"/>
        <v>5.1814979958250199E-3</v>
      </c>
      <c r="GU101">
        <f t="shared" si="466"/>
        <v>4.1566018486149329E-3</v>
      </c>
      <c r="GV101">
        <f t="shared" si="467"/>
        <v>1.251131140996869E-2</v>
      </c>
      <c r="GW101">
        <f t="shared" si="468"/>
        <v>14.487676830194262</v>
      </c>
      <c r="GX101">
        <f t="shared" ref="GX101:GX134" si="562">GX100-HB100*(GQ101-GQ100)/$G$24</f>
        <v>2.6670835785464538E-6</v>
      </c>
      <c r="GY101">
        <f t="shared" si="536"/>
        <v>3.2312610874272354E-2</v>
      </c>
      <c r="GZ101">
        <f t="shared" si="469"/>
        <v>3536.561912068556</v>
      </c>
      <c r="HA101">
        <f t="shared" si="537"/>
        <v>2.3391695055809073E-6</v>
      </c>
      <c r="HB101">
        <f t="shared" si="470"/>
        <v>3.6583953688057561E-4</v>
      </c>
      <c r="HC101">
        <f t="shared" si="471"/>
        <v>0.22167949127024636</v>
      </c>
      <c r="HE101">
        <f t="shared" si="472"/>
        <v>29.736860854606338</v>
      </c>
      <c r="HF101">
        <f t="shared" si="473"/>
        <v>0.53600000000000003</v>
      </c>
      <c r="HG101">
        <f t="shared" si="343"/>
        <v>109448.349</v>
      </c>
      <c r="HH101">
        <f t="shared" si="344"/>
        <v>5.1814979958250199E-3</v>
      </c>
      <c r="HI101">
        <f t="shared" si="263"/>
        <v>4.1566018486149329E-3</v>
      </c>
      <c r="HJ101">
        <f t="shared" si="474"/>
        <v>1.251131140996869E-2</v>
      </c>
      <c r="HK101">
        <f t="shared" si="475"/>
        <v>14.487676830194262</v>
      </c>
      <c r="HL101">
        <f t="shared" ref="HL101:HL134" si="563">HL100-HP100*(HE101-HE100)/$G$24</f>
        <v>2.5981890976711746E-6</v>
      </c>
      <c r="HM101">
        <f t="shared" si="538"/>
        <v>3.0957229266996036E-2</v>
      </c>
      <c r="HN101">
        <f t="shared" si="476"/>
        <v>3388.2176328871965</v>
      </c>
      <c r="HO101">
        <f t="shared" si="539"/>
        <v>2.2895846780464849E-6</v>
      </c>
      <c r="HP101">
        <f t="shared" si="477"/>
        <v>3.4429659249988185E-4</v>
      </c>
      <c r="HQ101">
        <f t="shared" si="478"/>
        <v>0.21595320147767713</v>
      </c>
      <c r="HS101">
        <f t="shared" si="479"/>
        <v>31.634554591339356</v>
      </c>
      <c r="HT101">
        <f t="shared" si="480"/>
        <v>0.53600000000000003</v>
      </c>
      <c r="HU101">
        <f t="shared" si="345"/>
        <v>109448.349</v>
      </c>
      <c r="HV101">
        <f t="shared" si="346"/>
        <v>5.1814979958250199E-3</v>
      </c>
      <c r="HW101">
        <f t="shared" si="264"/>
        <v>4.1566018486149329E-3</v>
      </c>
      <c r="HX101">
        <f t="shared" si="481"/>
        <v>1.251131140996869E-2</v>
      </c>
      <c r="HY101">
        <f t="shared" si="482"/>
        <v>14.487676830194262</v>
      </c>
      <c r="HZ101">
        <f t="shared" ref="HZ101:HZ134" si="564">HZ100-ID100*(HS101-HS100)/$G$24</f>
        <v>2.5323410083742971E-6</v>
      </c>
      <c r="IA101">
        <f t="shared" si="540"/>
        <v>2.967698633381604E-2</v>
      </c>
      <c r="IB101">
        <f t="shared" si="483"/>
        <v>3248.0971575317285</v>
      </c>
      <c r="IC101">
        <f t="shared" si="541"/>
        <v>2.2417416805536424E-6</v>
      </c>
      <c r="ID101">
        <f t="shared" si="484"/>
        <v>3.2420909095562058E-4</v>
      </c>
      <c r="IE101">
        <f t="shared" si="485"/>
        <v>0.21048011804907121</v>
      </c>
      <c r="IG101">
        <f t="shared" si="486"/>
        <v>33.53224832807237</v>
      </c>
      <c r="IH101">
        <f t="shared" si="487"/>
        <v>0.53600000000000003</v>
      </c>
      <c r="II101">
        <f t="shared" si="347"/>
        <v>109448.349</v>
      </c>
      <c r="IJ101">
        <f t="shared" si="348"/>
        <v>5.1814979958250199E-3</v>
      </c>
      <c r="IK101">
        <f t="shared" si="265"/>
        <v>4.1566018486149329E-3</v>
      </c>
      <c r="IL101">
        <f t="shared" si="488"/>
        <v>1.251131140996869E-2</v>
      </c>
      <c r="IM101">
        <f t="shared" si="489"/>
        <v>14.487676830194262</v>
      </c>
      <c r="IN101">
        <f t="shared" ref="IN101:IN134" si="565">IN100-IR100*(IG101-IG100)/$G$24</f>
        <v>2.4693625731537027E-6</v>
      </c>
      <c r="IO101">
        <f t="shared" si="542"/>
        <v>2.846688128855563E-2</v>
      </c>
      <c r="IP101">
        <f t="shared" si="490"/>
        <v>3115.6531582114062</v>
      </c>
      <c r="IQ101">
        <f t="shared" si="543"/>
        <v>2.1955615345266006E-6</v>
      </c>
      <c r="IR101">
        <f t="shared" si="491"/>
        <v>3.0546796684533895E-4</v>
      </c>
      <c r="IS101">
        <f t="shared" si="492"/>
        <v>0.20524555112623549</v>
      </c>
      <c r="IU101">
        <f t="shared" si="493"/>
        <v>35.429942064805381</v>
      </c>
      <c r="IV101">
        <f t="shared" si="494"/>
        <v>0.53600000000000003</v>
      </c>
      <c r="IW101">
        <f t="shared" si="349"/>
        <v>109448.349</v>
      </c>
      <c r="IX101">
        <f t="shared" si="350"/>
        <v>5.1814979958250199E-3</v>
      </c>
      <c r="IY101">
        <f t="shared" si="266"/>
        <v>4.1566018486149329E-3</v>
      </c>
      <c r="IZ101">
        <f t="shared" si="495"/>
        <v>1.251131140996869E-2</v>
      </c>
      <c r="JA101">
        <f t="shared" si="496"/>
        <v>14.487676830194262</v>
      </c>
      <c r="JB101">
        <f t="shared" ref="JB101:JB134" si="566">JB100-JF100*(IU101-IU100)/$G$24</f>
        <v>2.4090892263883164E-6</v>
      </c>
      <c r="JC101">
        <f t="shared" si="544"/>
        <v>2.7322292822269691E-2</v>
      </c>
      <c r="JD101">
        <f t="shared" si="497"/>
        <v>2990.3798402919683</v>
      </c>
      <c r="JE101">
        <f t="shared" si="545"/>
        <v>2.1509694346926431E-6</v>
      </c>
      <c r="JF101">
        <f t="shared" si="498"/>
        <v>2.8797307843380493E-4</v>
      </c>
      <c r="JG101">
        <f t="shared" si="499"/>
        <v>0.20023582253895672</v>
      </c>
      <c r="JI101">
        <f t="shared" si="500"/>
        <v>37.327635801538399</v>
      </c>
      <c r="JJ101">
        <f t="shared" si="501"/>
        <v>0.53600000000000003</v>
      </c>
      <c r="JK101">
        <f t="shared" si="351"/>
        <v>109448.349</v>
      </c>
      <c r="JL101">
        <f t="shared" si="352"/>
        <v>5.1814979958250199E-3</v>
      </c>
      <c r="JM101">
        <f t="shared" si="267"/>
        <v>4.1566018486149329E-3</v>
      </c>
      <c r="JN101">
        <f t="shared" si="502"/>
        <v>1.251131140996869E-2</v>
      </c>
      <c r="JO101">
        <f t="shared" si="503"/>
        <v>14.487676830194262</v>
      </c>
      <c r="JP101">
        <f t="shared" ref="JP101:JP134" si="567">JP100-JT100*(JI101-JI100)/$G$24</f>
        <v>2.3513676279692844E-6</v>
      </c>
      <c r="JQ101">
        <f t="shared" si="546"/>
        <v>2.6238947328370666E-2</v>
      </c>
      <c r="JR101">
        <f t="shared" si="504"/>
        <v>2871.8094645881301</v>
      </c>
      <c r="JS101">
        <f t="shared" si="547"/>
        <v>2.1078945075014497E-6</v>
      </c>
      <c r="JT101">
        <f t="shared" si="505"/>
        <v>2.7163242135137009E-4</v>
      </c>
      <c r="JU101">
        <f t="shared" si="506"/>
        <v>0.19543818714583938</v>
      </c>
    </row>
    <row r="102" spans="2:281">
      <c r="B102">
        <v>0.68</v>
      </c>
      <c r="C102">
        <f t="shared" si="353"/>
        <v>1.2904317409784498</v>
      </c>
      <c r="D102">
        <f t="shared" si="354"/>
        <v>0.54400000000000004</v>
      </c>
      <c r="E102">
        <f t="shared" si="313"/>
        <v>109263.921</v>
      </c>
      <c r="F102">
        <f t="shared" si="314"/>
        <v>5.1844116631581593E-3</v>
      </c>
      <c r="G102">
        <f t="shared" si="355"/>
        <v>4.1554336681256122E-3</v>
      </c>
      <c r="H102">
        <f t="shared" si="356"/>
        <v>1.2532429415982017E-2</v>
      </c>
      <c r="I102">
        <f t="shared" si="357"/>
        <v>14.503974873416253</v>
      </c>
      <c r="J102">
        <f t="shared" si="548"/>
        <v>4.0895431366297912E-6</v>
      </c>
      <c r="K102">
        <f t="shared" si="507"/>
        <v>6.3750571246639742E-2</v>
      </c>
      <c r="L102">
        <f t="shared" si="358"/>
        <v>6965.6373803977167</v>
      </c>
      <c r="M102">
        <f t="shared" si="508"/>
        <v>3.2828534213120426E-6</v>
      </c>
      <c r="N102">
        <f t="shared" si="509"/>
        <v>9.0074802760302234E-4</v>
      </c>
      <c r="O102">
        <f t="shared" si="359"/>
        <v>0.33990979860852144</v>
      </c>
      <c r="Q102">
        <f t="shared" si="360"/>
        <v>3.1881254777114645</v>
      </c>
      <c r="R102">
        <f t="shared" si="361"/>
        <v>0.54400000000000004</v>
      </c>
      <c r="S102">
        <f t="shared" si="315"/>
        <v>109263.921</v>
      </c>
      <c r="T102">
        <f t="shared" si="316"/>
        <v>5.1844116631581593E-3</v>
      </c>
      <c r="U102">
        <f t="shared" si="362"/>
        <v>4.1554336681256122E-3</v>
      </c>
      <c r="V102">
        <f t="shared" si="363"/>
        <v>1.2532429415982017E-2</v>
      </c>
      <c r="W102">
        <f t="shared" si="364"/>
        <v>14.503974873416253</v>
      </c>
      <c r="X102">
        <f t="shared" si="549"/>
        <v>3.9494706912645501E-6</v>
      </c>
      <c r="Y102">
        <f t="shared" si="510"/>
        <v>6.0462197944472877E-2</v>
      </c>
      <c r="Z102">
        <f t="shared" si="365"/>
        <v>6606.336819691247</v>
      </c>
      <c r="AA102">
        <f t="shared" si="511"/>
        <v>3.1970646391512699E-6</v>
      </c>
      <c r="AB102">
        <f t="shared" si="366"/>
        <v>8.401350042384787E-4</v>
      </c>
      <c r="AC102">
        <f t="shared" si="367"/>
        <v>0.32826742313918245</v>
      </c>
      <c r="AE102">
        <f t="shared" si="368"/>
        <v>5.0858192144444789</v>
      </c>
      <c r="AF102">
        <f t="shared" si="369"/>
        <v>0.54400000000000004</v>
      </c>
      <c r="AG102">
        <f t="shared" si="317"/>
        <v>109263.921</v>
      </c>
      <c r="AH102">
        <f t="shared" si="318"/>
        <v>5.1844116631581593E-3</v>
      </c>
      <c r="AI102">
        <f t="shared" si="370"/>
        <v>4.1554336681256122E-3</v>
      </c>
      <c r="AJ102">
        <f t="shared" si="371"/>
        <v>1.2532429415982017E-2</v>
      </c>
      <c r="AK102">
        <f t="shared" si="372"/>
        <v>14.503974873416253</v>
      </c>
      <c r="AL102">
        <f t="shared" si="550"/>
        <v>3.8170040732744377E-6</v>
      </c>
      <c r="AM102">
        <f t="shared" si="512"/>
        <v>5.738933291384158E-2</v>
      </c>
      <c r="AN102">
        <f t="shared" si="373"/>
        <v>6270.5835377406866</v>
      </c>
      <c r="AO102">
        <f t="shared" si="513"/>
        <v>3.1147632356340172E-6</v>
      </c>
      <c r="AP102">
        <f t="shared" si="374"/>
        <v>7.8412063200502028E-4</v>
      </c>
      <c r="AQ102">
        <f t="shared" si="375"/>
        <v>0.31725721981351762</v>
      </c>
      <c r="AS102">
        <f t="shared" si="376"/>
        <v>6.9835129511774934</v>
      </c>
      <c r="AT102">
        <f t="shared" si="377"/>
        <v>0.54400000000000004</v>
      </c>
      <c r="AU102">
        <f t="shared" si="319"/>
        <v>109263.921</v>
      </c>
      <c r="AV102">
        <f t="shared" si="320"/>
        <v>5.1844116631581593E-3</v>
      </c>
      <c r="AW102">
        <f t="shared" si="378"/>
        <v>4.1554336681256122E-3</v>
      </c>
      <c r="AX102">
        <f t="shared" si="379"/>
        <v>1.2532429415982017E-2</v>
      </c>
      <c r="AY102">
        <f t="shared" si="380"/>
        <v>14.503974873416253</v>
      </c>
      <c r="AZ102">
        <f t="shared" si="551"/>
        <v>3.691625663771359E-6</v>
      </c>
      <c r="BA102">
        <f t="shared" si="514"/>
        <v>5.4515514072362166E-2</v>
      </c>
      <c r="BB102">
        <f t="shared" si="381"/>
        <v>5956.5788228769679</v>
      </c>
      <c r="BC102">
        <f t="shared" si="515"/>
        <v>3.0357744923397314E-6</v>
      </c>
      <c r="BD102">
        <f t="shared" si="382"/>
        <v>7.323220289668325E-4</v>
      </c>
      <c r="BE102">
        <f t="shared" si="383"/>
        <v>0.30683616579838152</v>
      </c>
      <c r="BG102">
        <f t="shared" si="384"/>
        <v>8.8812066879105078</v>
      </c>
      <c r="BH102">
        <f t="shared" si="385"/>
        <v>0.54400000000000004</v>
      </c>
      <c r="BI102">
        <f t="shared" si="321"/>
        <v>109263.921</v>
      </c>
      <c r="BJ102">
        <f t="shared" si="322"/>
        <v>5.1844116631581593E-3</v>
      </c>
      <c r="BK102">
        <f t="shared" si="386"/>
        <v>4.1554336681256122E-3</v>
      </c>
      <c r="BL102">
        <f t="shared" si="387"/>
        <v>1.2532429415982017E-2</v>
      </c>
      <c r="BM102">
        <f t="shared" si="388"/>
        <v>14.503974873416253</v>
      </c>
      <c r="BN102">
        <f t="shared" si="552"/>
        <v>3.5728584106527992E-6</v>
      </c>
      <c r="BO102">
        <f t="shared" si="516"/>
        <v>5.1825678720245197E-2</v>
      </c>
      <c r="BP102">
        <f t="shared" si="389"/>
        <v>5662.676865460252</v>
      </c>
      <c r="BQ102">
        <f t="shared" si="517"/>
        <v>2.9599334787292792E-6</v>
      </c>
      <c r="BR102">
        <f t="shared" si="390"/>
        <v>6.8439068084729846E-4</v>
      </c>
      <c r="BS102">
        <f t="shared" si="391"/>
        <v>0.29696461004262387</v>
      </c>
      <c r="BU102">
        <f t="shared" si="392"/>
        <v>10.778900424643522</v>
      </c>
      <c r="BV102">
        <f t="shared" si="393"/>
        <v>0.54400000000000004</v>
      </c>
      <c r="BW102">
        <f t="shared" si="323"/>
        <v>109263.921</v>
      </c>
      <c r="BX102">
        <f t="shared" si="324"/>
        <v>5.1844116631581593E-3</v>
      </c>
      <c r="BY102">
        <f t="shared" si="394"/>
        <v>4.1554336681256122E-3</v>
      </c>
      <c r="BZ102">
        <f t="shared" si="395"/>
        <v>1.2532429415982017E-2</v>
      </c>
      <c r="CA102">
        <f t="shared" si="396"/>
        <v>14.503974873416253</v>
      </c>
      <c r="CB102">
        <f t="shared" si="553"/>
        <v>3.4602623207900054E-6</v>
      </c>
      <c r="CC102">
        <f t="shared" si="518"/>
        <v>4.9306035002306521E-2</v>
      </c>
      <c r="CD102">
        <f t="shared" si="397"/>
        <v>5387.3707133152548</v>
      </c>
      <c r="CE102">
        <f t="shared" si="519"/>
        <v>2.8870844759737948E-6</v>
      </c>
      <c r="CF102">
        <f t="shared" si="398"/>
        <v>6.400091675652402E-4</v>
      </c>
      <c r="CG102">
        <f t="shared" si="399"/>
        <v>0.28760598171894525</v>
      </c>
      <c r="CI102">
        <f t="shared" si="400"/>
        <v>12.676594161376537</v>
      </c>
      <c r="CJ102">
        <f t="shared" si="401"/>
        <v>0.54400000000000004</v>
      </c>
      <c r="CK102">
        <f t="shared" si="325"/>
        <v>109263.921</v>
      </c>
      <c r="CL102">
        <f t="shared" si="326"/>
        <v>5.1844116631581593E-3</v>
      </c>
      <c r="CM102">
        <f t="shared" si="402"/>
        <v>4.1554336681256122E-3</v>
      </c>
      <c r="CN102">
        <f t="shared" si="403"/>
        <v>1.2532429415982017E-2</v>
      </c>
      <c r="CO102">
        <f t="shared" si="404"/>
        <v>14.503974873416253</v>
      </c>
      <c r="CP102">
        <f t="shared" si="554"/>
        <v>3.3534312781093864E-6</v>
      </c>
      <c r="CQ102">
        <f t="shared" si="520"/>
        <v>4.69439458647554E-2</v>
      </c>
      <c r="CR102">
        <f t="shared" si="405"/>
        <v>5129.2795923949107</v>
      </c>
      <c r="CS102">
        <f t="shared" si="521"/>
        <v>2.8170804345594014E-6</v>
      </c>
      <c r="CT102">
        <f t="shared" si="406"/>
        <v>5.988882159487682E-4</v>
      </c>
      <c r="CU102">
        <f t="shared" si="407"/>
        <v>0.27872652575295848</v>
      </c>
      <c r="CW102">
        <f t="shared" si="408"/>
        <v>14.574287898109551</v>
      </c>
      <c r="CX102">
        <f t="shared" si="409"/>
        <v>0.54400000000000004</v>
      </c>
      <c r="CY102">
        <f t="shared" si="327"/>
        <v>109263.921</v>
      </c>
      <c r="CZ102">
        <f t="shared" si="328"/>
        <v>5.1844116631581593E-3</v>
      </c>
      <c r="DA102">
        <f t="shared" si="410"/>
        <v>4.1554336681256122E-3</v>
      </c>
      <c r="DB102">
        <f t="shared" si="411"/>
        <v>1.2532429415982017E-2</v>
      </c>
      <c r="DC102">
        <f t="shared" si="412"/>
        <v>14.503974873416253</v>
      </c>
      <c r="DD102">
        <f t="shared" si="555"/>
        <v>3.2519901556460565E-6</v>
      </c>
      <c r="DE102">
        <f t="shared" si="522"/>
        <v>4.4727824241767522E-2</v>
      </c>
      <c r="DF102">
        <f t="shared" si="413"/>
        <v>4887.1374544543714</v>
      </c>
      <c r="DG102">
        <f t="shared" si="523"/>
        <v>2.7497824638168861E-6</v>
      </c>
      <c r="DH102">
        <f t="shared" si="414"/>
        <v>5.6076404505046862E-4</v>
      </c>
      <c r="DI102">
        <f t="shared" si="415"/>
        <v>0.27029506278627891</v>
      </c>
      <c r="DK102">
        <f t="shared" si="416"/>
        <v>16.471981634842564</v>
      </c>
      <c r="DL102">
        <f t="shared" si="417"/>
        <v>0.54400000000000004</v>
      </c>
      <c r="DM102">
        <f t="shared" si="329"/>
        <v>109263.921</v>
      </c>
      <c r="DN102">
        <f t="shared" si="330"/>
        <v>5.1844116631581593E-3</v>
      </c>
      <c r="DO102">
        <f t="shared" si="418"/>
        <v>4.1554336681256122E-3</v>
      </c>
      <c r="DP102">
        <f t="shared" si="419"/>
        <v>1.2532429415982017E-2</v>
      </c>
      <c r="DQ102">
        <f t="shared" si="420"/>
        <v>14.503974873416253</v>
      </c>
      <c r="DR102">
        <f t="shared" si="556"/>
        <v>3.1555921928965441E-6</v>
      </c>
      <c r="DS102">
        <f t="shared" si="524"/>
        <v>4.2647038338499955E-2</v>
      </c>
      <c r="DT102">
        <f t="shared" si="421"/>
        <v>4659.7826279018309</v>
      </c>
      <c r="DU102">
        <f t="shared" si="525"/>
        <v>2.6850593516110533E-6</v>
      </c>
      <c r="DV102">
        <f t="shared" si="422"/>
        <v>5.2539597401884302E-4</v>
      </c>
      <c r="DW102">
        <f t="shared" si="423"/>
        <v>0.26228277119043536</v>
      </c>
      <c r="DY102">
        <f t="shared" si="424"/>
        <v>18.369675371575578</v>
      </c>
      <c r="DZ102">
        <f t="shared" si="425"/>
        <v>0.54400000000000004</v>
      </c>
      <c r="EA102">
        <f t="shared" si="331"/>
        <v>109263.921</v>
      </c>
      <c r="EB102">
        <f t="shared" si="332"/>
        <v>5.1844116631581593E-3</v>
      </c>
      <c r="EC102">
        <f t="shared" si="426"/>
        <v>4.1554336681256122E-3</v>
      </c>
      <c r="ED102">
        <f t="shared" si="427"/>
        <v>1.2532429415982017E-2</v>
      </c>
      <c r="EE102">
        <f t="shared" si="428"/>
        <v>14.503974873416253</v>
      </c>
      <c r="EF102">
        <f t="shared" si="557"/>
        <v>3.0639166127065603E-6</v>
      </c>
      <c r="EG102">
        <f t="shared" si="526"/>
        <v>4.0691825994927752E-2</v>
      </c>
      <c r="EH102">
        <f t="shared" si="429"/>
        <v>4446.148460855532</v>
      </c>
      <c r="EI102">
        <f t="shared" si="527"/>
        <v>2.622787112507487E-6</v>
      </c>
      <c r="EJ102">
        <f t="shared" si="430"/>
        <v>4.9256426563627461E-4</v>
      </c>
      <c r="EK102">
        <f t="shared" si="431"/>
        <v>0.25466298899017298</v>
      </c>
      <c r="EM102">
        <f t="shared" si="432"/>
        <v>20.267369108308593</v>
      </c>
      <c r="EN102">
        <f t="shared" si="433"/>
        <v>0.54400000000000004</v>
      </c>
      <c r="EO102">
        <f t="shared" si="333"/>
        <v>109263.921</v>
      </c>
      <c r="EP102">
        <f t="shared" si="334"/>
        <v>5.1844116631581593E-3</v>
      </c>
      <c r="EQ102">
        <f t="shared" si="434"/>
        <v>4.1554336681256122E-3</v>
      </c>
      <c r="ER102">
        <f t="shared" si="435"/>
        <v>1.2532429415982017E-2</v>
      </c>
      <c r="ES102">
        <f t="shared" si="436"/>
        <v>14.503974873416253</v>
      </c>
      <c r="ET102">
        <f t="shared" si="558"/>
        <v>2.9766664545354628E-6</v>
      </c>
      <c r="EU102">
        <f t="shared" si="528"/>
        <v>3.8853217220161301E-2</v>
      </c>
      <c r="EV102">
        <f t="shared" si="437"/>
        <v>4245.254856939544</v>
      </c>
      <c r="EW102">
        <f t="shared" si="529"/>
        <v>2.5628485628147559E-6</v>
      </c>
      <c r="EX102">
        <f t="shared" si="438"/>
        <v>4.6206818145369088E-4</v>
      </c>
      <c r="EY102">
        <f t="shared" si="439"/>
        <v>0.24741103377129736</v>
      </c>
      <c r="FA102">
        <f t="shared" si="440"/>
        <v>22.165062845041607</v>
      </c>
      <c r="FB102">
        <f t="shared" si="441"/>
        <v>0.54400000000000004</v>
      </c>
      <c r="FC102">
        <f t="shared" si="335"/>
        <v>109263.921</v>
      </c>
      <c r="FD102">
        <f t="shared" si="336"/>
        <v>5.1844116631581593E-3</v>
      </c>
      <c r="FE102">
        <f t="shared" si="442"/>
        <v>4.1554336681256122E-3</v>
      </c>
      <c r="FF102">
        <f t="shared" si="443"/>
        <v>1.2532429415982017E-2</v>
      </c>
      <c r="FG102">
        <f t="shared" si="444"/>
        <v>14.503974873416253</v>
      </c>
      <c r="FH102">
        <f t="shared" si="559"/>
        <v>2.8935666032737303E-6</v>
      </c>
      <c r="FI102">
        <f t="shared" si="530"/>
        <v>3.7122964081064566E-2</v>
      </c>
      <c r="FJ102">
        <f t="shared" si="445"/>
        <v>4056.2006146392764</v>
      </c>
      <c r="FK102">
        <f t="shared" si="531"/>
        <v>2.5051329209777665E-6</v>
      </c>
      <c r="FL102">
        <f t="shared" si="446"/>
        <v>4.3372422697226674E-4</v>
      </c>
      <c r="FM102">
        <f t="shared" si="447"/>
        <v>0.24050403884226196</v>
      </c>
      <c r="FO102">
        <f t="shared" si="448"/>
        <v>24.062756581774622</v>
      </c>
      <c r="FP102">
        <f t="shared" si="449"/>
        <v>0.54400000000000004</v>
      </c>
      <c r="FQ102">
        <f t="shared" si="337"/>
        <v>109263.921</v>
      </c>
      <c r="FR102">
        <f t="shared" si="338"/>
        <v>5.1844116631581593E-3</v>
      </c>
      <c r="FS102">
        <f t="shared" si="450"/>
        <v>4.1554336681256122E-3</v>
      </c>
      <c r="FT102">
        <f t="shared" si="451"/>
        <v>1.2532429415982017E-2</v>
      </c>
      <c r="FU102">
        <f t="shared" si="452"/>
        <v>14.503974873416253</v>
      </c>
      <c r="FV102">
        <f t="shared" si="560"/>
        <v>2.814361994882085E-6</v>
      </c>
      <c r="FW102">
        <f t="shared" si="532"/>
        <v>3.5493477213222657E-2</v>
      </c>
      <c r="FX102">
        <f t="shared" si="453"/>
        <v>3878.1564902408609</v>
      </c>
      <c r="FY102">
        <f t="shared" si="533"/>
        <v>2.4495354318731401E-6</v>
      </c>
      <c r="FZ102">
        <f t="shared" si="454"/>
        <v>4.073645675748541E-4</v>
      </c>
      <c r="GA102">
        <f t="shared" si="455"/>
        <v>0.23392080409260776</v>
      </c>
      <c r="GC102">
        <f t="shared" si="456"/>
        <v>25.960450318507636</v>
      </c>
      <c r="GD102">
        <f t="shared" si="457"/>
        <v>0.54400000000000004</v>
      </c>
      <c r="GE102">
        <f t="shared" si="339"/>
        <v>109263.921</v>
      </c>
      <c r="GF102">
        <f t="shared" si="340"/>
        <v>5.1844116631581593E-3</v>
      </c>
      <c r="GG102">
        <f t="shared" si="458"/>
        <v>4.1554336681256122E-3</v>
      </c>
      <c r="GH102">
        <f t="shared" si="459"/>
        <v>1.2532429415982017E-2</v>
      </c>
      <c r="GI102">
        <f t="shared" si="460"/>
        <v>14.503974873416253</v>
      </c>
      <c r="GJ102">
        <f t="shared" si="561"/>
        <v>2.7388159819964349E-6</v>
      </c>
      <c r="GK102">
        <f t="shared" si="534"/>
        <v>3.3957768297657141E-2</v>
      </c>
      <c r="GL102">
        <f t="shared" si="461"/>
        <v>3710.3589126115144</v>
      </c>
      <c r="GM102">
        <f t="shared" si="535"/>
        <v>2.3959570136299865E-6</v>
      </c>
      <c r="GN102">
        <f t="shared" si="462"/>
        <v>3.8283559792309975E-4</v>
      </c>
      <c r="GO102">
        <f t="shared" si="463"/>
        <v>0.22764166014725251</v>
      </c>
      <c r="GQ102">
        <f t="shared" si="464"/>
        <v>27.858144055240651</v>
      </c>
      <c r="GR102">
        <f t="shared" si="465"/>
        <v>0.54400000000000004</v>
      </c>
      <c r="GS102">
        <f t="shared" si="341"/>
        <v>109263.921</v>
      </c>
      <c r="GT102">
        <f t="shared" si="342"/>
        <v>5.1844116631581593E-3</v>
      </c>
      <c r="GU102">
        <f t="shared" si="466"/>
        <v>4.1554336681256122E-3</v>
      </c>
      <c r="GV102">
        <f t="shared" si="467"/>
        <v>1.2532429415982017E-2</v>
      </c>
      <c r="GW102">
        <f t="shared" si="468"/>
        <v>14.503974873416253</v>
      </c>
      <c r="GX102">
        <f t="shared" si="562"/>
        <v>2.6667088443245988E-6</v>
      </c>
      <c r="GY102">
        <f t="shared" si="536"/>
        <v>3.250939791410986E-2</v>
      </c>
      <c r="GZ102">
        <f t="shared" si="469"/>
        <v>3552.1042854448647</v>
      </c>
      <c r="HA102">
        <f t="shared" si="537"/>
        <v>2.3443039256694664E-6</v>
      </c>
      <c r="HB102">
        <f t="shared" si="470"/>
        <v>3.5999664933590353E-4</v>
      </c>
      <c r="HC102">
        <f t="shared" si="471"/>
        <v>0.22164834455541127</v>
      </c>
      <c r="HE102">
        <f t="shared" si="472"/>
        <v>29.755837791973665</v>
      </c>
      <c r="HF102">
        <f t="shared" si="473"/>
        <v>0.54400000000000004</v>
      </c>
      <c r="HG102">
        <f t="shared" si="343"/>
        <v>109263.921</v>
      </c>
      <c r="HH102">
        <f t="shared" si="344"/>
        <v>5.1844116631581593E-3</v>
      </c>
      <c r="HI102">
        <f t="shared" ref="HI102:HI134" si="568">2*SQRT($G$12*$G$13/(PI()*HH102))</f>
        <v>4.1554336681256122E-3</v>
      </c>
      <c r="HJ102">
        <f t="shared" si="474"/>
        <v>1.2532429415982017E-2</v>
      </c>
      <c r="HK102">
        <f t="shared" si="475"/>
        <v>14.503974873416253</v>
      </c>
      <c r="HL102">
        <f t="shared" si="563"/>
        <v>2.5978364301689743E-6</v>
      </c>
      <c r="HM102">
        <f t="shared" si="538"/>
        <v>3.1142428242049158E-2</v>
      </c>
      <c r="HN102">
        <f t="shared" si="476"/>
        <v>3402.743819187428</v>
      </c>
      <c r="HO102">
        <f t="shared" si="539"/>
        <v>2.2944874567239557E-6</v>
      </c>
      <c r="HP102">
        <f t="shared" si="477"/>
        <v>3.3871882127364751E-4</v>
      </c>
      <c r="HQ102">
        <f t="shared" si="478"/>
        <v>0.21592388887828798</v>
      </c>
      <c r="HS102">
        <f t="shared" si="479"/>
        <v>31.653531528706679</v>
      </c>
      <c r="HT102">
        <f t="shared" si="480"/>
        <v>0.54400000000000004</v>
      </c>
      <c r="HU102">
        <f t="shared" si="345"/>
        <v>109263.921</v>
      </c>
      <c r="HV102">
        <f t="shared" si="346"/>
        <v>5.1844116631581593E-3</v>
      </c>
      <c r="HW102">
        <f t="shared" ref="HW102:HW134" si="569">2*SQRT($G$12*$G$13/(PI()*HV102))</f>
        <v>4.1554336681256122E-3</v>
      </c>
      <c r="HX102">
        <f t="shared" si="481"/>
        <v>1.2532429415982017E-2</v>
      </c>
      <c r="HY102">
        <f t="shared" si="482"/>
        <v>14.503974873416253</v>
      </c>
      <c r="HZ102">
        <f t="shared" si="564"/>
        <v>2.5320089167626208E-6</v>
      </c>
      <c r="IA102">
        <f t="shared" si="540"/>
        <v>2.9851380134556009E-2</v>
      </c>
      <c r="IB102">
        <f t="shared" si="483"/>
        <v>3261.678840763097</v>
      </c>
      <c r="IC102">
        <f t="shared" si="541"/>
        <v>2.2464236316615489E-6</v>
      </c>
      <c r="ID102">
        <f t="shared" si="484"/>
        <v>3.188839244912307E-4</v>
      </c>
      <c r="IE102">
        <f t="shared" si="485"/>
        <v>0.21045251565215958</v>
      </c>
      <c r="IG102">
        <f t="shared" si="486"/>
        <v>33.551225265439697</v>
      </c>
      <c r="IH102">
        <f t="shared" si="487"/>
        <v>0.54400000000000004</v>
      </c>
      <c r="II102">
        <f t="shared" si="347"/>
        <v>109263.921</v>
      </c>
      <c r="IJ102">
        <f t="shared" si="348"/>
        <v>5.1844116631581593E-3</v>
      </c>
      <c r="IK102">
        <f t="shared" ref="IK102:IK134" si="570">2*SQRT($G$12*$G$13/(PI()*IJ102))</f>
        <v>4.1554336681256122E-3</v>
      </c>
      <c r="IL102">
        <f t="shared" si="488"/>
        <v>1.2532429415982017E-2</v>
      </c>
      <c r="IM102">
        <f t="shared" si="489"/>
        <v>14.503974873416253</v>
      </c>
      <c r="IN102">
        <f t="shared" si="565"/>
        <v>2.4690496783205376E-6</v>
      </c>
      <c r="IO102">
        <f t="shared" si="542"/>
        <v>2.8631194138591571E-2</v>
      </c>
      <c r="IP102">
        <f t="shared" si="490"/>
        <v>3128.3565344947324</v>
      </c>
      <c r="IQ102">
        <f t="shared" si="543"/>
        <v>2.2000329360039871E-6</v>
      </c>
      <c r="IR102">
        <f t="shared" si="491"/>
        <v>3.0038352470922088E-4</v>
      </c>
      <c r="IS102">
        <f t="shared" si="492"/>
        <v>0.20521954430440395</v>
      </c>
      <c r="IU102">
        <f t="shared" si="493"/>
        <v>35.448919002172708</v>
      </c>
      <c r="IV102">
        <f t="shared" si="494"/>
        <v>0.54400000000000004</v>
      </c>
      <c r="IW102">
        <f t="shared" si="349"/>
        <v>109263.921</v>
      </c>
      <c r="IX102">
        <f t="shared" si="350"/>
        <v>5.1844116631581593E-3</v>
      </c>
      <c r="IY102">
        <f t="shared" ref="IY102:IY134" si="571">2*SQRT($G$12*$G$13/(PI()*IX102))</f>
        <v>4.1554336681256122E-3</v>
      </c>
      <c r="IZ102">
        <f t="shared" si="495"/>
        <v>1.2532429415982017E-2</v>
      </c>
      <c r="JA102">
        <f t="shared" si="496"/>
        <v>14.503974873416253</v>
      </c>
      <c r="JB102">
        <f t="shared" si="566"/>
        <v>2.408794251798139E-6</v>
      </c>
      <c r="JC102">
        <f t="shared" si="544"/>
        <v>2.7477195078436666E-2</v>
      </c>
      <c r="JD102">
        <f t="shared" si="497"/>
        <v>3002.2660723518929</v>
      </c>
      <c r="JE102">
        <f t="shared" si="545"/>
        <v>2.155240057086004E-6</v>
      </c>
      <c r="JF102">
        <f t="shared" si="498"/>
        <v>2.8311807680288557E-4</v>
      </c>
      <c r="JG102">
        <f t="shared" si="499"/>
        <v>0.20021130519063882</v>
      </c>
      <c r="JI102">
        <f t="shared" si="500"/>
        <v>37.346612738905726</v>
      </c>
      <c r="JJ102">
        <f t="shared" si="501"/>
        <v>0.54400000000000004</v>
      </c>
      <c r="JK102">
        <f t="shared" si="351"/>
        <v>109263.921</v>
      </c>
      <c r="JL102">
        <f t="shared" si="352"/>
        <v>5.1844116631581593E-3</v>
      </c>
      <c r="JM102">
        <f t="shared" ref="JM102:JM134" si="572">2*SQRT($G$12*$G$13/(PI()*JL102))</f>
        <v>4.1554336681256122E-3</v>
      </c>
      <c r="JN102">
        <f t="shared" si="502"/>
        <v>1.2532429415982017E-2</v>
      </c>
      <c r="JO102">
        <f t="shared" si="503"/>
        <v>14.503974873416253</v>
      </c>
      <c r="JP102">
        <f t="shared" si="567"/>
        <v>2.3510893913278496E-6</v>
      </c>
      <c r="JQ102">
        <f t="shared" si="546"/>
        <v>2.6385059857862193E-2</v>
      </c>
      <c r="JR102">
        <f t="shared" si="504"/>
        <v>2882.9350958897262</v>
      </c>
      <c r="JS102">
        <f t="shared" si="547"/>
        <v>2.1119736408614125E-6</v>
      </c>
      <c r="JT102">
        <f t="shared" si="505"/>
        <v>2.6699614053790432E-4</v>
      </c>
      <c r="JU102">
        <f t="shared" si="506"/>
        <v>0.19541506100250361</v>
      </c>
    </row>
    <row r="103" spans="2:281">
      <c r="B103">
        <v>0.69</v>
      </c>
      <c r="C103">
        <f t="shared" si="353"/>
        <v>1.3094086783457799</v>
      </c>
      <c r="D103">
        <f t="shared" si="354"/>
        <v>0.55200000000000005</v>
      </c>
      <c r="E103">
        <f t="shared" si="313"/>
        <v>109079.493</v>
      </c>
      <c r="F103">
        <f t="shared" si="314"/>
        <v>5.1873318952370883E-3</v>
      </c>
      <c r="G103">
        <f t="shared" si="355"/>
        <v>4.1542638433230876E-3</v>
      </c>
      <c r="H103">
        <f t="shared" si="356"/>
        <v>1.2553618833247926E-2</v>
      </c>
      <c r="I103">
        <f t="shared" si="357"/>
        <v>14.520318830697253</v>
      </c>
      <c r="J103">
        <f t="shared" si="548"/>
        <v>4.0886204886456796E-6</v>
      </c>
      <c r="K103">
        <f t="shared" si="507"/>
        <v>6.4235088419121733E-2</v>
      </c>
      <c r="L103">
        <f t="shared" si="358"/>
        <v>7006.7308775679703</v>
      </c>
      <c r="M103">
        <f t="shared" si="508"/>
        <v>3.2925227121528323E-6</v>
      </c>
      <c r="N103">
        <f t="shared" si="509"/>
        <v>8.8967225296259487E-4</v>
      </c>
      <c r="O103">
        <f t="shared" si="359"/>
        <v>0.3398331110471024</v>
      </c>
      <c r="Q103">
        <f t="shared" si="360"/>
        <v>3.2071024150787943</v>
      </c>
      <c r="R103">
        <f t="shared" si="361"/>
        <v>0.55200000000000005</v>
      </c>
      <c r="S103">
        <f t="shared" si="315"/>
        <v>109079.493</v>
      </c>
      <c r="T103">
        <f t="shared" si="316"/>
        <v>5.1873318952370883E-3</v>
      </c>
      <c r="U103">
        <f t="shared" si="362"/>
        <v>4.1542638433230876E-3</v>
      </c>
      <c r="V103">
        <f t="shared" si="363"/>
        <v>1.2553618833247926E-2</v>
      </c>
      <c r="W103">
        <f t="shared" si="364"/>
        <v>14.520318830697253</v>
      </c>
      <c r="X103">
        <f t="shared" si="549"/>
        <v>3.9486101299929314E-6</v>
      </c>
      <c r="Y103">
        <f t="shared" si="510"/>
        <v>6.0914111048118516E-2</v>
      </c>
      <c r="Z103">
        <f t="shared" si="365"/>
        <v>6644.4803496744662</v>
      </c>
      <c r="AA103">
        <f t="shared" si="511"/>
        <v>3.2062809277194584E-6</v>
      </c>
      <c r="AB103">
        <f t="shared" si="366"/>
        <v>8.2958364327563269E-4</v>
      </c>
      <c r="AC103">
        <f t="shared" si="367"/>
        <v>0.32819589602753368</v>
      </c>
      <c r="AE103">
        <f t="shared" si="368"/>
        <v>5.1047961518118088</v>
      </c>
      <c r="AF103">
        <f t="shared" si="369"/>
        <v>0.55200000000000005</v>
      </c>
      <c r="AG103">
        <f t="shared" si="317"/>
        <v>109079.493</v>
      </c>
      <c r="AH103">
        <f t="shared" si="318"/>
        <v>5.1873318952370883E-3</v>
      </c>
      <c r="AI103">
        <f t="shared" si="370"/>
        <v>4.1542638433230876E-3</v>
      </c>
      <c r="AJ103">
        <f t="shared" si="371"/>
        <v>1.2553618833247926E-2</v>
      </c>
      <c r="AK103">
        <f t="shared" si="372"/>
        <v>14.520318830697253</v>
      </c>
      <c r="AL103">
        <f t="shared" si="550"/>
        <v>3.8162008882568194E-6</v>
      </c>
      <c r="AM103">
        <f t="shared" si="512"/>
        <v>5.7811115587643111E-2</v>
      </c>
      <c r="AN103">
        <f t="shared" si="373"/>
        <v>6306.0071780645076</v>
      </c>
      <c r="AO103">
        <f t="shared" si="513"/>
        <v>3.1235487707614182E-6</v>
      </c>
      <c r="AP103">
        <f t="shared" si="374"/>
        <v>7.7406744257749139E-4</v>
      </c>
      <c r="AQ103">
        <f t="shared" si="375"/>
        <v>0.31719046163333398</v>
      </c>
      <c r="AS103">
        <f t="shared" si="376"/>
        <v>7.0024898885448232</v>
      </c>
      <c r="AT103">
        <f t="shared" si="377"/>
        <v>0.55200000000000005</v>
      </c>
      <c r="AU103">
        <f t="shared" si="319"/>
        <v>109079.493</v>
      </c>
      <c r="AV103">
        <f t="shared" si="320"/>
        <v>5.1873318952370883E-3</v>
      </c>
      <c r="AW103">
        <f t="shared" si="378"/>
        <v>4.1542638433230876E-3</v>
      </c>
      <c r="AX103">
        <f t="shared" si="379"/>
        <v>1.2553618833247926E-2</v>
      </c>
      <c r="AY103">
        <f t="shared" si="380"/>
        <v>14.520318830697253</v>
      </c>
      <c r="AZ103">
        <f t="shared" si="551"/>
        <v>3.6908755367402237E-6</v>
      </c>
      <c r="BA103">
        <f t="shared" si="514"/>
        <v>5.4909434001074633E-2</v>
      </c>
      <c r="BB103">
        <f t="shared" si="381"/>
        <v>5989.4932217541827</v>
      </c>
      <c r="BC103">
        <f t="shared" si="515"/>
        <v>3.0441503606083619E-6</v>
      </c>
      <c r="BD103">
        <f t="shared" si="382"/>
        <v>7.227421825389737E-4</v>
      </c>
      <c r="BE103">
        <f t="shared" si="383"/>
        <v>0.30677381762902239</v>
      </c>
      <c r="BG103">
        <f t="shared" si="384"/>
        <v>8.9001836252778368</v>
      </c>
      <c r="BH103">
        <f t="shared" si="385"/>
        <v>0.55200000000000005</v>
      </c>
      <c r="BI103">
        <f t="shared" si="321"/>
        <v>109079.493</v>
      </c>
      <c r="BJ103">
        <f t="shared" si="322"/>
        <v>5.1873318952370883E-3</v>
      </c>
      <c r="BK103">
        <f t="shared" si="386"/>
        <v>4.1542638433230876E-3</v>
      </c>
      <c r="BL103">
        <f t="shared" si="387"/>
        <v>1.2553618833247926E-2</v>
      </c>
      <c r="BM103">
        <f t="shared" si="388"/>
        <v>14.520318830697253</v>
      </c>
      <c r="BN103">
        <f t="shared" si="552"/>
        <v>3.5721573803283602E-6</v>
      </c>
      <c r="BO103">
        <f t="shared" si="516"/>
        <v>5.2193816120933774E-2</v>
      </c>
      <c r="BP103">
        <f t="shared" si="389"/>
        <v>5693.2750002066832</v>
      </c>
      <c r="BQ103">
        <f t="shared" si="517"/>
        <v>2.9679196687343807E-6</v>
      </c>
      <c r="BR103">
        <f t="shared" si="390"/>
        <v>6.7526068037398719E-4</v>
      </c>
      <c r="BS103">
        <f t="shared" si="391"/>
        <v>0.29690634263513177</v>
      </c>
      <c r="BU103">
        <f t="shared" si="392"/>
        <v>10.797877362010851</v>
      </c>
      <c r="BV103">
        <f t="shared" si="393"/>
        <v>0.55200000000000005</v>
      </c>
      <c r="BW103">
        <f t="shared" si="323"/>
        <v>109079.493</v>
      </c>
      <c r="BX103">
        <f t="shared" si="324"/>
        <v>5.1873318952370883E-3</v>
      </c>
      <c r="BY103">
        <f t="shared" si="394"/>
        <v>4.1542638433230876E-3</v>
      </c>
      <c r="BZ103">
        <f t="shared" si="395"/>
        <v>1.2553618833247926E-2</v>
      </c>
      <c r="CA103">
        <f t="shared" si="396"/>
        <v>14.520318830697253</v>
      </c>
      <c r="CB103">
        <f t="shared" si="553"/>
        <v>3.4596067510300158E-6</v>
      </c>
      <c r="CC103">
        <f t="shared" si="518"/>
        <v>4.9650299350080272E-2</v>
      </c>
      <c r="CD103">
        <f t="shared" si="397"/>
        <v>5415.8294804049856</v>
      </c>
      <c r="CE103">
        <f t="shared" si="519"/>
        <v>2.8946999389170377E-6</v>
      </c>
      <c r="CF103">
        <f t="shared" si="398"/>
        <v>6.3130677045797042E-4</v>
      </c>
      <c r="CG103">
        <f t="shared" si="399"/>
        <v>0.28755149284875925</v>
      </c>
      <c r="CI103">
        <f t="shared" si="400"/>
        <v>12.695571098743866</v>
      </c>
      <c r="CJ103">
        <f t="shared" si="401"/>
        <v>0.55200000000000005</v>
      </c>
      <c r="CK103">
        <f t="shared" si="325"/>
        <v>109079.493</v>
      </c>
      <c r="CL103">
        <f t="shared" si="326"/>
        <v>5.1873318952370883E-3</v>
      </c>
      <c r="CM103">
        <f t="shared" si="402"/>
        <v>4.1542638433230876E-3</v>
      </c>
      <c r="CN103">
        <f t="shared" si="403"/>
        <v>1.2553618833247926E-2</v>
      </c>
      <c r="CO103">
        <f t="shared" si="404"/>
        <v>14.520318830697253</v>
      </c>
      <c r="CP103">
        <f t="shared" si="554"/>
        <v>3.3528178290778924E-6</v>
      </c>
      <c r="CQ103">
        <f t="shared" si="520"/>
        <v>4.7266091033139994E-2</v>
      </c>
      <c r="CR103">
        <f t="shared" si="405"/>
        <v>5155.7612459867569</v>
      </c>
      <c r="CS103">
        <f t="shared" si="521"/>
        <v>2.8243431413805057E-6</v>
      </c>
      <c r="CT103">
        <f t="shared" si="406"/>
        <v>5.9059236179346631E-4</v>
      </c>
      <c r="CU103">
        <f t="shared" si="407"/>
        <v>0.27867553782355287</v>
      </c>
      <c r="CW103">
        <f t="shared" si="408"/>
        <v>14.59326483547688</v>
      </c>
      <c r="CX103">
        <f t="shared" si="409"/>
        <v>0.55200000000000005</v>
      </c>
      <c r="CY103">
        <f t="shared" si="327"/>
        <v>109079.493</v>
      </c>
      <c r="CZ103">
        <f t="shared" si="328"/>
        <v>5.1873318952370883E-3</v>
      </c>
      <c r="DA103">
        <f t="shared" si="410"/>
        <v>4.1542638433230876E-3</v>
      </c>
      <c r="DB103">
        <f t="shared" si="411"/>
        <v>1.2553618833247926E-2</v>
      </c>
      <c r="DC103">
        <f t="shared" si="412"/>
        <v>14.520318830697253</v>
      </c>
      <c r="DD103">
        <f t="shared" si="555"/>
        <v>3.2514157577013782E-6</v>
      </c>
      <c r="DE103">
        <f t="shared" si="522"/>
        <v>4.5029462215108881E-2</v>
      </c>
      <c r="DF103">
        <f t="shared" si="413"/>
        <v>4911.7909084867342</v>
      </c>
      <c r="DG103">
        <f t="shared" si="523"/>
        <v>2.7567094590606966E-6</v>
      </c>
      <c r="DH103">
        <f t="shared" si="414"/>
        <v>5.5285478776914525E-4</v>
      </c>
      <c r="DI103">
        <f t="shared" si="415"/>
        <v>0.27024732065881529</v>
      </c>
      <c r="DK103">
        <f t="shared" si="416"/>
        <v>16.490958572209895</v>
      </c>
      <c r="DL103">
        <f t="shared" si="417"/>
        <v>0.55200000000000005</v>
      </c>
      <c r="DM103">
        <f t="shared" si="329"/>
        <v>109079.493</v>
      </c>
      <c r="DN103">
        <f t="shared" si="330"/>
        <v>5.1873318952370883E-3</v>
      </c>
      <c r="DO103">
        <f t="shared" si="418"/>
        <v>4.1542638433230876E-3</v>
      </c>
      <c r="DP103">
        <f t="shared" si="419"/>
        <v>1.2553618833247926E-2</v>
      </c>
      <c r="DQ103">
        <f t="shared" si="420"/>
        <v>14.520318830697253</v>
      </c>
      <c r="DR103">
        <f t="shared" si="556"/>
        <v>3.1550540229295458E-6</v>
      </c>
      <c r="DS103">
        <f t="shared" si="524"/>
        <v>4.2929651637629192E-2</v>
      </c>
      <c r="DT103">
        <f t="shared" si="421"/>
        <v>4682.744635299212</v>
      </c>
      <c r="DU103">
        <f t="shared" si="525"/>
        <v>2.691666804216468E-6</v>
      </c>
      <c r="DV103">
        <f t="shared" si="422"/>
        <v>5.1785441818808886E-4</v>
      </c>
      <c r="DW103">
        <f t="shared" si="423"/>
        <v>0.26223804021707525</v>
      </c>
      <c r="DY103">
        <f t="shared" si="424"/>
        <v>18.388652308942909</v>
      </c>
      <c r="DZ103">
        <f t="shared" si="425"/>
        <v>0.55200000000000005</v>
      </c>
      <c r="EA103">
        <f t="shared" si="331"/>
        <v>109079.493</v>
      </c>
      <c r="EB103">
        <f t="shared" si="332"/>
        <v>5.1873318952370883E-3</v>
      </c>
      <c r="EC103">
        <f t="shared" si="426"/>
        <v>4.1542638433230876E-3</v>
      </c>
      <c r="ED103">
        <f t="shared" si="427"/>
        <v>1.2553618833247926E-2</v>
      </c>
      <c r="EE103">
        <f t="shared" si="428"/>
        <v>14.520318830697253</v>
      </c>
      <c r="EF103">
        <f t="shared" si="557"/>
        <v>3.0634120726878114E-6</v>
      </c>
      <c r="EG103">
        <f t="shared" si="526"/>
        <v>4.0956778942853544E-2</v>
      </c>
      <c r="EH103">
        <f t="shared" si="429"/>
        <v>4467.5446819995404</v>
      </c>
      <c r="EI103">
        <f t="shared" si="527"/>
        <v>2.6290903636944919E-6</v>
      </c>
      <c r="EJ103">
        <f t="shared" si="430"/>
        <v>4.853725066950025E-4</v>
      </c>
      <c r="EK103">
        <f t="shared" si="431"/>
        <v>0.25462105323098594</v>
      </c>
      <c r="EM103">
        <f t="shared" si="432"/>
        <v>20.286346045675923</v>
      </c>
      <c r="EN103">
        <f t="shared" si="433"/>
        <v>0.55200000000000005</v>
      </c>
      <c r="EO103">
        <f t="shared" si="333"/>
        <v>109079.493</v>
      </c>
      <c r="EP103">
        <f t="shared" si="334"/>
        <v>5.1873318952370883E-3</v>
      </c>
      <c r="EQ103">
        <f t="shared" si="434"/>
        <v>4.1542638433230876E-3</v>
      </c>
      <c r="ER103">
        <f t="shared" si="435"/>
        <v>1.2553618833247926E-2</v>
      </c>
      <c r="ES103">
        <f t="shared" si="436"/>
        <v>14.520318830697253</v>
      </c>
      <c r="ET103">
        <f t="shared" si="558"/>
        <v>2.9761931520545516E-6</v>
      </c>
      <c r="EU103">
        <f t="shared" si="528"/>
        <v>3.9101766161609014E-2</v>
      </c>
      <c r="EV103">
        <f t="shared" si="437"/>
        <v>4265.2008283128671</v>
      </c>
      <c r="EW103">
        <f t="shared" si="529"/>
        <v>2.5688621712361852E-6</v>
      </c>
      <c r="EX103">
        <f t="shared" si="438"/>
        <v>4.5520924955051121E-4</v>
      </c>
      <c r="EY103">
        <f t="shared" si="439"/>
        <v>0.24737169437675072</v>
      </c>
      <c r="FA103">
        <f t="shared" si="440"/>
        <v>22.184039782408938</v>
      </c>
      <c r="FB103">
        <f t="shared" si="441"/>
        <v>0.55200000000000005</v>
      </c>
      <c r="FC103">
        <f t="shared" si="335"/>
        <v>109079.493</v>
      </c>
      <c r="FD103">
        <f t="shared" si="336"/>
        <v>5.1873318952370883E-3</v>
      </c>
      <c r="FE103">
        <f t="shared" si="442"/>
        <v>4.1542638433230876E-3</v>
      </c>
      <c r="FF103">
        <f t="shared" si="443"/>
        <v>1.2553618833247926E-2</v>
      </c>
      <c r="FG103">
        <f t="shared" si="444"/>
        <v>14.520318830697253</v>
      </c>
      <c r="FH103">
        <f t="shared" si="559"/>
        <v>2.8931223338760594E-6</v>
      </c>
      <c r="FI103">
        <f t="shared" si="530"/>
        <v>3.7356266658089096E-2</v>
      </c>
      <c r="FJ103">
        <f t="shared" si="445"/>
        <v>4074.8026274371632</v>
      </c>
      <c r="FK103">
        <f t="shared" si="531"/>
        <v>2.5108707052932507E-6</v>
      </c>
      <c r="FL103">
        <f t="shared" si="446"/>
        <v>4.2718203421956665E-4</v>
      </c>
      <c r="FM103">
        <f t="shared" si="447"/>
        <v>0.24046711258511169</v>
      </c>
      <c r="FO103">
        <f t="shared" si="448"/>
        <v>24.081733519141952</v>
      </c>
      <c r="FP103">
        <f t="shared" si="449"/>
        <v>0.55200000000000005</v>
      </c>
      <c r="FQ103">
        <f t="shared" si="337"/>
        <v>109079.493</v>
      </c>
      <c r="FR103">
        <f t="shared" si="338"/>
        <v>5.1873318952370883E-3</v>
      </c>
      <c r="FS103">
        <f t="shared" si="450"/>
        <v>4.1542638433230876E-3</v>
      </c>
      <c r="FT103">
        <f t="shared" si="451"/>
        <v>1.2553618833247926E-2</v>
      </c>
      <c r="FU103">
        <f t="shared" si="452"/>
        <v>14.520318830697253</v>
      </c>
      <c r="FV103">
        <f t="shared" si="560"/>
        <v>2.8139447260282508E-6</v>
      </c>
      <c r="FW103">
        <f t="shared" si="532"/>
        <v>3.5712600788742395E-2</v>
      </c>
      <c r="FX103">
        <f t="shared" si="453"/>
        <v>3895.5123877474207</v>
      </c>
      <c r="FY103">
        <f t="shared" si="533"/>
        <v>2.4550105108939887E-6</v>
      </c>
      <c r="FZ103">
        <f t="shared" si="454"/>
        <v>4.0112385849218465E-4</v>
      </c>
      <c r="GA103">
        <f t="shared" si="455"/>
        <v>0.23388612203465317</v>
      </c>
      <c r="GC103">
        <f t="shared" si="456"/>
        <v>25.979427255874967</v>
      </c>
      <c r="GD103">
        <f t="shared" si="457"/>
        <v>0.55200000000000005</v>
      </c>
      <c r="GE103">
        <f t="shared" si="339"/>
        <v>109079.493</v>
      </c>
      <c r="GF103">
        <f t="shared" si="340"/>
        <v>5.1873318952370883E-3</v>
      </c>
      <c r="GG103">
        <f t="shared" si="458"/>
        <v>4.1542638433230876E-3</v>
      </c>
      <c r="GH103">
        <f t="shared" si="459"/>
        <v>1.2553618833247926E-2</v>
      </c>
      <c r="GI103">
        <f t="shared" si="460"/>
        <v>14.520318830697253</v>
      </c>
      <c r="GJ103">
        <f t="shared" si="561"/>
        <v>2.7384238384869899E-6</v>
      </c>
      <c r="GK103">
        <f t="shared" si="534"/>
        <v>3.4163697609458983E-2</v>
      </c>
      <c r="GL103">
        <f t="shared" si="461"/>
        <v>3726.5588142450979</v>
      </c>
      <c r="GM103">
        <f t="shared" si="535"/>
        <v>2.4011818441754741E-6</v>
      </c>
      <c r="GN103">
        <f t="shared" si="462"/>
        <v>3.7688190286689071E-4</v>
      </c>
      <c r="GO103">
        <f t="shared" si="463"/>
        <v>0.22760906642788881</v>
      </c>
      <c r="GQ103">
        <f t="shared" si="464"/>
        <v>27.877120992607981</v>
      </c>
      <c r="GR103">
        <f t="shared" si="465"/>
        <v>0.55200000000000005</v>
      </c>
      <c r="GS103">
        <f t="shared" si="341"/>
        <v>109079.493</v>
      </c>
      <c r="GT103">
        <f t="shared" si="342"/>
        <v>5.1873318952370883E-3</v>
      </c>
      <c r="GU103">
        <f t="shared" si="466"/>
        <v>4.1542638433230876E-3</v>
      </c>
      <c r="GV103">
        <f t="shared" si="467"/>
        <v>1.2553618833247926E-2</v>
      </c>
      <c r="GW103">
        <f t="shared" si="468"/>
        <v>14.520318830697253</v>
      </c>
      <c r="GX103">
        <f t="shared" si="562"/>
        <v>2.6663400950488658E-6</v>
      </c>
      <c r="GY103">
        <f t="shared" si="536"/>
        <v>3.2703042033546223E-2</v>
      </c>
      <c r="GZ103">
        <f t="shared" si="469"/>
        <v>3567.2312445769112</v>
      </c>
      <c r="HA103">
        <f t="shared" si="537"/>
        <v>2.3492903382671466E-6</v>
      </c>
      <c r="HB103">
        <f t="shared" si="470"/>
        <v>3.5431624072595217E-4</v>
      </c>
      <c r="HC103">
        <f t="shared" si="471"/>
        <v>0.22161769529023326</v>
      </c>
      <c r="HE103">
        <f t="shared" si="472"/>
        <v>29.774814729340996</v>
      </c>
      <c r="HF103">
        <f t="shared" si="473"/>
        <v>0.55200000000000005</v>
      </c>
      <c r="HG103">
        <f t="shared" si="343"/>
        <v>109079.493</v>
      </c>
      <c r="HH103">
        <f t="shared" si="344"/>
        <v>5.1873318952370883E-3</v>
      </c>
      <c r="HI103">
        <f t="shared" si="568"/>
        <v>4.1542638433230876E-3</v>
      </c>
      <c r="HJ103">
        <f t="shared" si="474"/>
        <v>1.2553618833247926E-2</v>
      </c>
      <c r="HK103">
        <f t="shared" si="475"/>
        <v>14.520318830697253</v>
      </c>
      <c r="HL103">
        <f t="shared" si="563"/>
        <v>2.5974894760507839E-6</v>
      </c>
      <c r="HM103">
        <f t="shared" si="538"/>
        <v>3.132462690418409E-2</v>
      </c>
      <c r="HN103">
        <f t="shared" si="476"/>
        <v>3416.8744211225603</v>
      </c>
      <c r="HO103">
        <f t="shared" si="539"/>
        <v>2.2992466892791573E-6</v>
      </c>
      <c r="HP103">
        <f t="shared" si="477"/>
        <v>3.3329867243931418E-4</v>
      </c>
      <c r="HQ103">
        <f t="shared" si="478"/>
        <v>0.21589505115717819</v>
      </c>
      <c r="HS103">
        <f t="shared" si="479"/>
        <v>31.672508466074014</v>
      </c>
      <c r="HT103">
        <f t="shared" si="480"/>
        <v>0.55200000000000005</v>
      </c>
      <c r="HU103">
        <f t="shared" si="345"/>
        <v>109079.493</v>
      </c>
      <c r="HV103">
        <f t="shared" si="346"/>
        <v>5.1873318952370883E-3</v>
      </c>
      <c r="HW103">
        <f t="shared" si="569"/>
        <v>4.1542638433230876E-3</v>
      </c>
      <c r="HX103">
        <f t="shared" si="481"/>
        <v>1.2553618833247926E-2</v>
      </c>
      <c r="HY103">
        <f t="shared" si="482"/>
        <v>14.520318830697253</v>
      </c>
      <c r="HZ103">
        <f t="shared" si="564"/>
        <v>2.5316822797885932E-6</v>
      </c>
      <c r="IA103">
        <f t="shared" si="540"/>
        <v>3.0022909499827714E-2</v>
      </c>
      <c r="IB103">
        <f t="shared" si="483"/>
        <v>3274.8837466260907</v>
      </c>
      <c r="IC103">
        <f t="shared" si="541"/>
        <v>2.2509663612141367E-6</v>
      </c>
      <c r="ID103">
        <f t="shared" si="484"/>
        <v>3.1371167097191984E-4</v>
      </c>
      <c r="IE103">
        <f t="shared" si="485"/>
        <v>0.210425366627354</v>
      </c>
      <c r="IG103">
        <f t="shared" si="486"/>
        <v>33.570202202807025</v>
      </c>
      <c r="IH103">
        <f t="shared" si="487"/>
        <v>0.55200000000000005</v>
      </c>
      <c r="II103">
        <f t="shared" si="347"/>
        <v>109079.493</v>
      </c>
      <c r="IJ103">
        <f t="shared" si="348"/>
        <v>5.1873318952370883E-3</v>
      </c>
      <c r="IK103">
        <f t="shared" si="570"/>
        <v>4.1542638433230876E-3</v>
      </c>
      <c r="IL103">
        <f t="shared" si="488"/>
        <v>1.2553618833247926E-2</v>
      </c>
      <c r="IM103">
        <f t="shared" si="489"/>
        <v>14.520318830697253</v>
      </c>
      <c r="IN103">
        <f t="shared" si="565"/>
        <v>2.4687419915479441E-6</v>
      </c>
      <c r="IO103">
        <f t="shared" si="542"/>
        <v>2.879277204006038E-2</v>
      </c>
      <c r="IP103">
        <f t="shared" si="490"/>
        <v>3140.7009761943618</v>
      </c>
      <c r="IQ103">
        <f t="shared" si="543"/>
        <v>2.2043693086837594E-6</v>
      </c>
      <c r="IR103">
        <f t="shared" si="491"/>
        <v>2.9544742785455837E-4</v>
      </c>
      <c r="IS103">
        <f t="shared" si="492"/>
        <v>0.20519397035997725</v>
      </c>
      <c r="IU103">
        <f t="shared" si="493"/>
        <v>35.467895939540043</v>
      </c>
      <c r="IV103">
        <f t="shared" si="494"/>
        <v>0.55200000000000005</v>
      </c>
      <c r="IW103">
        <f t="shared" si="349"/>
        <v>109079.493</v>
      </c>
      <c r="IX103">
        <f t="shared" si="350"/>
        <v>5.1873318952370883E-3</v>
      </c>
      <c r="IY103">
        <f t="shared" si="571"/>
        <v>4.1542638433230876E-3</v>
      </c>
      <c r="IZ103">
        <f t="shared" si="495"/>
        <v>1.2553618833247926E-2</v>
      </c>
      <c r="JA103">
        <f t="shared" si="496"/>
        <v>14.520318830697253</v>
      </c>
      <c r="JB103">
        <f t="shared" si="566"/>
        <v>2.4085042502496226E-6</v>
      </c>
      <c r="JC103">
        <f t="shared" si="544"/>
        <v>2.7629485803309126E-2</v>
      </c>
      <c r="JD103">
        <f t="shared" si="497"/>
        <v>3013.8103032756571</v>
      </c>
      <c r="JE103">
        <f t="shared" si="545"/>
        <v>2.1593797163717574E-6</v>
      </c>
      <c r="JF103">
        <f t="shared" si="498"/>
        <v>2.7840698952808591E-4</v>
      </c>
      <c r="JG103">
        <f t="shared" si="499"/>
        <v>0.20018720118570255</v>
      </c>
      <c r="JI103">
        <f t="shared" si="500"/>
        <v>37.365589676273053</v>
      </c>
      <c r="JJ103">
        <f t="shared" si="501"/>
        <v>0.55200000000000005</v>
      </c>
      <c r="JK103">
        <f t="shared" si="351"/>
        <v>109079.493</v>
      </c>
      <c r="JL103">
        <f t="shared" si="352"/>
        <v>5.1873318952370883E-3</v>
      </c>
      <c r="JM103">
        <f t="shared" si="572"/>
        <v>4.1542638433230876E-3</v>
      </c>
      <c r="JN103">
        <f t="shared" si="502"/>
        <v>1.2553618833247926E-2</v>
      </c>
      <c r="JO103">
        <f t="shared" si="503"/>
        <v>14.520318830697253</v>
      </c>
      <c r="JP103">
        <f t="shared" si="567"/>
        <v>2.3508159036894825E-6</v>
      </c>
      <c r="JQ103">
        <f t="shared" si="546"/>
        <v>2.652867850715445E-2</v>
      </c>
      <c r="JR103">
        <f t="shared" si="504"/>
        <v>2893.7348015204043</v>
      </c>
      <c r="JS103">
        <f t="shared" si="547"/>
        <v>2.1159257542426232E-6</v>
      </c>
      <c r="JT103">
        <f t="shared" si="505"/>
        <v>2.6249947509931961E-4</v>
      </c>
      <c r="JU103">
        <f t="shared" si="506"/>
        <v>0.19539232958117522</v>
      </c>
    </row>
    <row r="104" spans="2:281">
      <c r="B104">
        <v>0.7</v>
      </c>
      <c r="C104">
        <f t="shared" si="353"/>
        <v>1.32838561571311</v>
      </c>
      <c r="D104">
        <f t="shared" si="354"/>
        <v>0.55999999999999994</v>
      </c>
      <c r="E104">
        <f t="shared" si="313"/>
        <v>108895.065</v>
      </c>
      <c r="F104">
        <f t="shared" si="314"/>
        <v>5.190258717989775E-3</v>
      </c>
      <c r="G104">
        <f t="shared" si="355"/>
        <v>4.1530923691068221E-3</v>
      </c>
      <c r="H104">
        <f t="shared" si="356"/>
        <v>1.2574880024599236E-2</v>
      </c>
      <c r="I104">
        <f t="shared" si="357"/>
        <v>14.536708909342668</v>
      </c>
      <c r="J104">
        <f t="shared" si="548"/>
        <v>4.0877091857223747E-6</v>
      </c>
      <c r="K104">
        <f t="shared" si="507"/>
        <v>6.4713647873299182E-2</v>
      </c>
      <c r="L104">
        <f t="shared" si="358"/>
        <v>7046.9968915500267</v>
      </c>
      <c r="M104">
        <f t="shared" si="508"/>
        <v>3.3019698310333191E-6</v>
      </c>
      <c r="N104">
        <f t="shared" si="509"/>
        <v>8.7883955811728922E-4</v>
      </c>
      <c r="O104">
        <f t="shared" si="359"/>
        <v>0.33975736645099891</v>
      </c>
      <c r="Q104">
        <f t="shared" si="360"/>
        <v>3.2260793524461246</v>
      </c>
      <c r="R104">
        <f t="shared" si="361"/>
        <v>0.55999999999999994</v>
      </c>
      <c r="S104">
        <f t="shared" si="315"/>
        <v>108895.065</v>
      </c>
      <c r="T104">
        <f t="shared" si="316"/>
        <v>5.190258717989775E-3</v>
      </c>
      <c r="U104">
        <f t="shared" si="362"/>
        <v>4.1530923691068221E-3</v>
      </c>
      <c r="V104">
        <f t="shared" si="363"/>
        <v>1.2574880024599236E-2</v>
      </c>
      <c r="W104">
        <f t="shared" si="364"/>
        <v>14.536708909342668</v>
      </c>
      <c r="X104">
        <f t="shared" si="549"/>
        <v>3.9477603766183315E-6</v>
      </c>
      <c r="Y104">
        <f t="shared" si="510"/>
        <v>6.1360348518376254E-2</v>
      </c>
      <c r="Z104">
        <f t="shared" si="365"/>
        <v>6681.8391403312362</v>
      </c>
      <c r="AA104">
        <f t="shared" si="511"/>
        <v>3.2152819987423148E-6</v>
      </c>
      <c r="AB104">
        <f t="shared" si="366"/>
        <v>8.1926782730358993E-4</v>
      </c>
      <c r="AC104">
        <f t="shared" si="367"/>
        <v>0.32812526723385743</v>
      </c>
      <c r="AE104">
        <f t="shared" si="368"/>
        <v>5.1237730891791395</v>
      </c>
      <c r="AF104">
        <f t="shared" si="369"/>
        <v>0.55999999999999994</v>
      </c>
      <c r="AG104">
        <f t="shared" si="317"/>
        <v>108895.065</v>
      </c>
      <c r="AH104">
        <f t="shared" si="318"/>
        <v>5.190258717989775E-3</v>
      </c>
      <c r="AI104">
        <f t="shared" si="370"/>
        <v>4.1530923691068221E-3</v>
      </c>
      <c r="AJ104">
        <f t="shared" si="371"/>
        <v>1.2574880024599236E-2</v>
      </c>
      <c r="AK104">
        <f t="shared" si="372"/>
        <v>14.536708909342668</v>
      </c>
      <c r="AL104">
        <f t="shared" si="550"/>
        <v>3.8154080008526015E-6</v>
      </c>
      <c r="AM104">
        <f t="shared" si="512"/>
        <v>5.8227490597184975E-2</v>
      </c>
      <c r="AN104">
        <f t="shared" si="373"/>
        <v>6340.6863733673472</v>
      </c>
      <c r="AO104">
        <f t="shared" si="513"/>
        <v>3.1321258018720953E-6</v>
      </c>
      <c r="AP104">
        <f t="shared" si="374"/>
        <v>7.6424252169356426E-4</v>
      </c>
      <c r="AQ104">
        <f t="shared" si="375"/>
        <v>0.3171245593579739</v>
      </c>
      <c r="AS104">
        <f t="shared" si="376"/>
        <v>7.021466825912154</v>
      </c>
      <c r="AT104">
        <f t="shared" si="377"/>
        <v>0.55999999999999994</v>
      </c>
      <c r="AU104">
        <f t="shared" si="319"/>
        <v>108895.065</v>
      </c>
      <c r="AV104">
        <f t="shared" si="320"/>
        <v>5.190258717989775E-3</v>
      </c>
      <c r="AW104">
        <f t="shared" si="378"/>
        <v>4.1530923691068221E-3</v>
      </c>
      <c r="AX104">
        <f t="shared" si="379"/>
        <v>1.2574880024599236E-2</v>
      </c>
      <c r="AY104">
        <f t="shared" si="380"/>
        <v>14.536708909342668</v>
      </c>
      <c r="AZ104">
        <f t="shared" si="551"/>
        <v>3.6901352224710639E-6</v>
      </c>
      <c r="BA104">
        <f t="shared" si="514"/>
        <v>5.5298200879253787E-2</v>
      </c>
      <c r="BB104">
        <f t="shared" si="381"/>
        <v>6021.701179129398</v>
      </c>
      <c r="BC104">
        <f t="shared" si="515"/>
        <v>3.0523242082486987E-6</v>
      </c>
      <c r="BD104">
        <f t="shared" si="382"/>
        <v>7.1338357504486486E-4</v>
      </c>
      <c r="BE104">
        <f t="shared" si="383"/>
        <v>0.30671228506518095</v>
      </c>
      <c r="BG104">
        <f t="shared" si="384"/>
        <v>8.9191605626451675</v>
      </c>
      <c r="BH104">
        <f t="shared" si="385"/>
        <v>0.55999999999999994</v>
      </c>
      <c r="BI104">
        <f t="shared" si="321"/>
        <v>108895.065</v>
      </c>
      <c r="BJ104">
        <f t="shared" si="322"/>
        <v>5.190258717989775E-3</v>
      </c>
      <c r="BK104">
        <f t="shared" si="386"/>
        <v>4.1530923691068221E-3</v>
      </c>
      <c r="BL104">
        <f t="shared" si="387"/>
        <v>1.2574880024599236E-2</v>
      </c>
      <c r="BM104">
        <f t="shared" si="388"/>
        <v>14.536708909342668</v>
      </c>
      <c r="BN104">
        <f t="shared" si="552"/>
        <v>3.5714657019828022E-6</v>
      </c>
      <c r="BO104">
        <f t="shared" si="516"/>
        <v>5.25570424456294E-2</v>
      </c>
      <c r="BP104">
        <f t="shared" si="389"/>
        <v>5723.2025533245724</v>
      </c>
      <c r="BQ104">
        <f t="shared" si="517"/>
        <v>2.9757101014847496E-6</v>
      </c>
      <c r="BR104">
        <f t="shared" si="390"/>
        <v>6.6634512521624313E-4</v>
      </c>
      <c r="BS104">
        <f t="shared" si="391"/>
        <v>0.2968488525343343</v>
      </c>
      <c r="BU104">
        <f t="shared" si="392"/>
        <v>10.816854299378182</v>
      </c>
      <c r="BV104">
        <f t="shared" si="393"/>
        <v>0.55999999999999994</v>
      </c>
      <c r="BW104">
        <f t="shared" si="323"/>
        <v>108895.065</v>
      </c>
      <c r="BX104">
        <f t="shared" si="324"/>
        <v>5.190258717989775E-3</v>
      </c>
      <c r="BY104">
        <f t="shared" si="394"/>
        <v>4.1530923691068221E-3</v>
      </c>
      <c r="BZ104">
        <f t="shared" si="395"/>
        <v>1.2574880024599236E-2</v>
      </c>
      <c r="CA104">
        <f t="shared" si="396"/>
        <v>14.536708909342668</v>
      </c>
      <c r="CB104">
        <f t="shared" si="553"/>
        <v>3.4589600952491874E-6</v>
      </c>
      <c r="CC104">
        <f t="shared" si="518"/>
        <v>4.9989882631994324E-2</v>
      </c>
      <c r="CD104">
        <f t="shared" si="397"/>
        <v>5443.6515185533935</v>
      </c>
      <c r="CE104">
        <f t="shared" si="519"/>
        <v>2.9021256975083981E-6</v>
      </c>
      <c r="CF104">
        <f t="shared" si="398"/>
        <v>6.2281225082417072E-4</v>
      </c>
      <c r="CG104">
        <f t="shared" si="399"/>
        <v>0.28749774488012636</v>
      </c>
      <c r="CI104">
        <f t="shared" si="400"/>
        <v>12.714548036111196</v>
      </c>
      <c r="CJ104">
        <f t="shared" si="401"/>
        <v>0.55999999999999994</v>
      </c>
      <c r="CK104">
        <f t="shared" si="325"/>
        <v>108895.065</v>
      </c>
      <c r="CL104">
        <f t="shared" si="326"/>
        <v>5.190258717989775E-3</v>
      </c>
      <c r="CM104">
        <f t="shared" si="402"/>
        <v>4.1530923691068221E-3</v>
      </c>
      <c r="CN104">
        <f t="shared" si="403"/>
        <v>1.2574880024599236E-2</v>
      </c>
      <c r="CO104">
        <f t="shared" si="404"/>
        <v>14.536708909342668</v>
      </c>
      <c r="CP104">
        <f t="shared" si="554"/>
        <v>3.3522128775982978E-6</v>
      </c>
      <c r="CQ104">
        <f t="shared" si="520"/>
        <v>4.7583773817288982E-2</v>
      </c>
      <c r="CR104">
        <f t="shared" si="405"/>
        <v>5181.638142778982</v>
      </c>
      <c r="CS104">
        <f t="shared" si="521"/>
        <v>2.8314219952821589E-6</v>
      </c>
      <c r="CT104">
        <f t="shared" si="406"/>
        <v>5.8249803341892321E-4</v>
      </c>
      <c r="CU104">
        <f t="shared" si="407"/>
        <v>0.27862525618359285</v>
      </c>
      <c r="CW104">
        <f t="shared" si="408"/>
        <v>14.612241772844211</v>
      </c>
      <c r="CX104">
        <f t="shared" si="409"/>
        <v>0.55999999999999994</v>
      </c>
      <c r="CY104">
        <f t="shared" si="327"/>
        <v>108895.065</v>
      </c>
      <c r="CZ104">
        <f t="shared" si="328"/>
        <v>5.190258717989775E-3</v>
      </c>
      <c r="DA104">
        <f t="shared" si="410"/>
        <v>4.1530923691068221E-3</v>
      </c>
      <c r="DB104">
        <f t="shared" si="411"/>
        <v>1.2574880024599236E-2</v>
      </c>
      <c r="DC104">
        <f t="shared" si="412"/>
        <v>14.536708909342668</v>
      </c>
      <c r="DD104">
        <f t="shared" si="555"/>
        <v>3.2508494613123659E-6</v>
      </c>
      <c r="DE104">
        <f t="shared" si="522"/>
        <v>4.5326845756736907E-2</v>
      </c>
      <c r="DF104">
        <f t="shared" si="413"/>
        <v>4935.8698149248394</v>
      </c>
      <c r="DG104">
        <f t="shared" si="523"/>
        <v>2.7634582598384535E-6</v>
      </c>
      <c r="DH104">
        <f t="shared" si="414"/>
        <v>5.4514091164887158E-4</v>
      </c>
      <c r="DI104">
        <f t="shared" si="415"/>
        <v>0.27020025190685187</v>
      </c>
      <c r="DK104">
        <f t="shared" si="416"/>
        <v>16.509935509577225</v>
      </c>
      <c r="DL104">
        <f t="shared" si="417"/>
        <v>0.55999999999999994</v>
      </c>
      <c r="DM104">
        <f t="shared" si="329"/>
        <v>108895.065</v>
      </c>
      <c r="DN104">
        <f t="shared" si="330"/>
        <v>5.190258717989775E-3</v>
      </c>
      <c r="DO104">
        <f t="shared" si="418"/>
        <v>4.1530923691068221E-3</v>
      </c>
      <c r="DP104">
        <f t="shared" si="419"/>
        <v>1.2574880024599236E-2</v>
      </c>
      <c r="DQ104">
        <f t="shared" si="420"/>
        <v>14.536708909342668</v>
      </c>
      <c r="DR104">
        <f t="shared" si="556"/>
        <v>3.154523577876809E-6</v>
      </c>
      <c r="DS104">
        <f t="shared" si="524"/>
        <v>4.3208208293618218E-2</v>
      </c>
      <c r="DT104">
        <f t="shared" si="421"/>
        <v>4705.1606506670951</v>
      </c>
      <c r="DU104">
        <f t="shared" si="525"/>
        <v>2.6981015358454251E-6</v>
      </c>
      <c r="DV104">
        <f t="shared" si="422"/>
        <v>5.1050229740954006E-4</v>
      </c>
      <c r="DW104">
        <f t="shared" si="423"/>
        <v>0.26219395131398149</v>
      </c>
      <c r="DY104">
        <f t="shared" si="424"/>
        <v>18.40762924631024</v>
      </c>
      <c r="DZ104">
        <f t="shared" si="425"/>
        <v>0.55999999999999994</v>
      </c>
      <c r="EA104">
        <f t="shared" si="331"/>
        <v>108895.065</v>
      </c>
      <c r="EB104">
        <f t="shared" si="332"/>
        <v>5.190258717989775E-3</v>
      </c>
      <c r="EC104">
        <f t="shared" si="426"/>
        <v>4.1530923691068221E-3</v>
      </c>
      <c r="ED104">
        <f t="shared" si="427"/>
        <v>1.2574880024599236E-2</v>
      </c>
      <c r="EE104">
        <f t="shared" si="428"/>
        <v>14.536708909342668</v>
      </c>
      <c r="EF104">
        <f t="shared" si="557"/>
        <v>3.0629148992817959E-6</v>
      </c>
      <c r="EG104">
        <f t="shared" si="526"/>
        <v>4.121786340525329E-2</v>
      </c>
      <c r="EH104">
        <f t="shared" si="429"/>
        <v>4488.4219146761789</v>
      </c>
      <c r="EI104">
        <f t="shared" si="527"/>
        <v>2.635226190000593E-6</v>
      </c>
      <c r="EJ104">
        <f t="shared" si="430"/>
        <v>4.7836442712633485E-4</v>
      </c>
      <c r="EK104">
        <f t="shared" si="431"/>
        <v>0.25457972976118348</v>
      </c>
      <c r="EM104">
        <f t="shared" si="432"/>
        <v>20.305322983043254</v>
      </c>
      <c r="EN104">
        <f t="shared" si="433"/>
        <v>0.55999999999999994</v>
      </c>
      <c r="EO104">
        <f t="shared" si="333"/>
        <v>108895.065</v>
      </c>
      <c r="EP104">
        <f t="shared" si="334"/>
        <v>5.190258717989775E-3</v>
      </c>
      <c r="EQ104">
        <f t="shared" si="434"/>
        <v>4.1530923691068221E-3</v>
      </c>
      <c r="ER104">
        <f t="shared" si="435"/>
        <v>1.2574880024599236E-2</v>
      </c>
      <c r="ES104">
        <f t="shared" si="436"/>
        <v>14.536708909342668</v>
      </c>
      <c r="ET104">
        <f t="shared" si="558"/>
        <v>2.9757268752672858E-6</v>
      </c>
      <c r="EU104">
        <f t="shared" si="528"/>
        <v>3.9346625646971188E-2</v>
      </c>
      <c r="EV104">
        <f t="shared" si="437"/>
        <v>4284.6533573575944</v>
      </c>
      <c r="EW104">
        <f t="shared" si="529"/>
        <v>2.574713480631244E-6</v>
      </c>
      <c r="EX104">
        <f t="shared" si="438"/>
        <v>4.4852842413693349E-4</v>
      </c>
      <c r="EY104">
        <f t="shared" si="439"/>
        <v>0.24733293893548008</v>
      </c>
      <c r="FA104">
        <f t="shared" si="440"/>
        <v>22.203016719776269</v>
      </c>
      <c r="FB104">
        <f t="shared" si="441"/>
        <v>0.55999999999999994</v>
      </c>
      <c r="FC104">
        <f t="shared" si="335"/>
        <v>108895.065</v>
      </c>
      <c r="FD104">
        <f t="shared" si="336"/>
        <v>5.190258717989775E-3</v>
      </c>
      <c r="FE104">
        <f t="shared" si="442"/>
        <v>4.1530923691068221E-3</v>
      </c>
      <c r="FF104">
        <f t="shared" si="443"/>
        <v>1.2574880024599236E-2</v>
      </c>
      <c r="FG104">
        <f t="shared" si="444"/>
        <v>14.536708909342668</v>
      </c>
      <c r="FH104">
        <f t="shared" si="559"/>
        <v>2.89268476573198E-6</v>
      </c>
      <c r="FI104">
        <f t="shared" si="530"/>
        <v>3.7586050154707971E-2</v>
      </c>
      <c r="FJ104">
        <f t="shared" si="445"/>
        <v>4092.9353746901847</v>
      </c>
      <c r="FK104">
        <f t="shared" si="531"/>
        <v>2.5164511529590291E-6</v>
      </c>
      <c r="FL104">
        <f t="shared" si="446"/>
        <v>4.2081255065695516E-4</v>
      </c>
      <c r="FM104">
        <f t="shared" si="447"/>
        <v>0.24043074331481368</v>
      </c>
      <c r="FO104">
        <f t="shared" si="448"/>
        <v>24.100710456509283</v>
      </c>
      <c r="FP104">
        <f t="shared" si="449"/>
        <v>0.55999999999999994</v>
      </c>
      <c r="FQ104">
        <f t="shared" si="337"/>
        <v>108895.065</v>
      </c>
      <c r="FR104">
        <f t="shared" si="338"/>
        <v>5.190258717989775E-3</v>
      </c>
      <c r="FS104">
        <f t="shared" si="450"/>
        <v>4.1530923691068221E-3</v>
      </c>
      <c r="FT104">
        <f t="shared" si="451"/>
        <v>1.2574880024599236E-2</v>
      </c>
      <c r="FU104">
        <f t="shared" si="452"/>
        <v>14.536708909342668</v>
      </c>
      <c r="FV104">
        <f t="shared" si="560"/>
        <v>2.8135338496143421E-6</v>
      </c>
      <c r="FW104">
        <f t="shared" si="532"/>
        <v>3.5928367453531986E-2</v>
      </c>
      <c r="FX104">
        <f t="shared" si="453"/>
        <v>3912.42190919625</v>
      </c>
      <c r="FY104">
        <f t="shared" si="533"/>
        <v>2.4603330585623526E-6</v>
      </c>
      <c r="FZ104">
        <f t="shared" si="454"/>
        <v>3.9505063006249223E-4</v>
      </c>
      <c r="GA104">
        <f t="shared" si="455"/>
        <v>0.2338519712959426</v>
      </c>
      <c r="GC104">
        <f t="shared" si="456"/>
        <v>25.998404193242298</v>
      </c>
      <c r="GD104">
        <f t="shared" si="457"/>
        <v>0.55999999999999994</v>
      </c>
      <c r="GE104">
        <f t="shared" si="339"/>
        <v>108895.065</v>
      </c>
      <c r="GF104">
        <f t="shared" si="340"/>
        <v>5.190258717989775E-3</v>
      </c>
      <c r="GG104">
        <f t="shared" si="458"/>
        <v>4.1530923691068221E-3</v>
      </c>
      <c r="GH104">
        <f t="shared" si="459"/>
        <v>1.2574880024599236E-2</v>
      </c>
      <c r="GI104">
        <f t="shared" si="460"/>
        <v>14.536708909342668</v>
      </c>
      <c r="GJ104">
        <f t="shared" si="561"/>
        <v>2.73803779342525E-6</v>
      </c>
      <c r="GK104">
        <f t="shared" si="534"/>
        <v>3.4366424396907673E-2</v>
      </c>
      <c r="GL104">
        <f t="shared" si="461"/>
        <v>3742.3340185188467</v>
      </c>
      <c r="GM104">
        <f t="shared" si="535"/>
        <v>2.4062587976434554E-6</v>
      </c>
      <c r="GN104">
        <f t="shared" si="462"/>
        <v>3.7109062223421259E-4</v>
      </c>
      <c r="GO104">
        <f t="shared" si="463"/>
        <v>0.22757697959207224</v>
      </c>
      <c r="GQ104">
        <f t="shared" si="464"/>
        <v>27.896097929975312</v>
      </c>
      <c r="GR104">
        <f t="shared" si="465"/>
        <v>0.55999999999999994</v>
      </c>
      <c r="GS104">
        <f t="shared" si="341"/>
        <v>108895.065</v>
      </c>
      <c r="GT104">
        <f t="shared" si="342"/>
        <v>5.190258717989775E-3</v>
      </c>
      <c r="GU104">
        <f t="shared" si="466"/>
        <v>4.1530923691068221E-3</v>
      </c>
      <c r="GV104">
        <f t="shared" si="467"/>
        <v>1.2574880024599236E-2</v>
      </c>
      <c r="GW104">
        <f t="shared" si="468"/>
        <v>14.536708909342668</v>
      </c>
      <c r="GX104">
        <f t="shared" si="562"/>
        <v>2.6659771642899569E-6</v>
      </c>
      <c r="GY104">
        <f t="shared" si="536"/>
        <v>3.2893630630867754E-2</v>
      </c>
      <c r="GZ104">
        <f t="shared" si="469"/>
        <v>3581.9540456343352</v>
      </c>
      <c r="HA104">
        <f t="shared" si="537"/>
        <v>2.3541333827779907E-6</v>
      </c>
      <c r="HB104">
        <f t="shared" si="470"/>
        <v>3.4879333650540673E-4</v>
      </c>
      <c r="HC104">
        <f t="shared" si="471"/>
        <v>0.22158752964163927</v>
      </c>
      <c r="HE104">
        <f t="shared" si="472"/>
        <v>29.793791666708326</v>
      </c>
      <c r="HF104">
        <f t="shared" si="473"/>
        <v>0.55999999999999994</v>
      </c>
      <c r="HG104">
        <f t="shared" si="343"/>
        <v>108895.065</v>
      </c>
      <c r="HH104">
        <f t="shared" si="344"/>
        <v>5.190258717989775E-3</v>
      </c>
      <c r="HI104">
        <f t="shared" si="568"/>
        <v>4.1530923691068221E-3</v>
      </c>
      <c r="HJ104">
        <f t="shared" si="474"/>
        <v>1.2574880024599236E-2</v>
      </c>
      <c r="HK104">
        <f t="shared" si="475"/>
        <v>14.536708909342668</v>
      </c>
      <c r="HL104">
        <f t="shared" si="563"/>
        <v>2.5971480738619258E-6</v>
      </c>
      <c r="HM104">
        <f t="shared" si="538"/>
        <v>3.1503910039326823E-2</v>
      </c>
      <c r="HN104">
        <f t="shared" si="476"/>
        <v>3430.620331486647</v>
      </c>
      <c r="HO104">
        <f t="shared" si="539"/>
        <v>2.3038669228930668E-6</v>
      </c>
      <c r="HP104">
        <f t="shared" si="477"/>
        <v>3.280312683632876E-4</v>
      </c>
      <c r="HQ104">
        <f t="shared" si="478"/>
        <v>0.21586667489474931</v>
      </c>
      <c r="HS104">
        <f t="shared" si="479"/>
        <v>31.691485403441341</v>
      </c>
      <c r="HT104">
        <f t="shared" si="480"/>
        <v>0.55999999999999994</v>
      </c>
      <c r="HU104">
        <f t="shared" si="345"/>
        <v>108895.065</v>
      </c>
      <c r="HV104">
        <f t="shared" si="346"/>
        <v>5.190258717989775E-3</v>
      </c>
      <c r="HW104">
        <f t="shared" si="569"/>
        <v>4.1530923691068221E-3</v>
      </c>
      <c r="HX104">
        <f t="shared" si="481"/>
        <v>1.2574880024599236E-2</v>
      </c>
      <c r="HY104">
        <f t="shared" si="482"/>
        <v>14.536708909342668</v>
      </c>
      <c r="HZ104">
        <f t="shared" si="564"/>
        <v>2.5313609408214854E-6</v>
      </c>
      <c r="IA104">
        <f t="shared" si="540"/>
        <v>3.0191656682320444E-2</v>
      </c>
      <c r="IB104">
        <f t="shared" si="483"/>
        <v>3287.7224168789689</v>
      </c>
      <c r="IC104">
        <f t="shared" si="541"/>
        <v>2.2553743262854407E-6</v>
      </c>
      <c r="ID104">
        <f t="shared" si="484"/>
        <v>3.0868754748975105E-4</v>
      </c>
      <c r="IE104">
        <f t="shared" si="485"/>
        <v>0.21039865795600723</v>
      </c>
      <c r="IG104">
        <f t="shared" si="486"/>
        <v>33.589179140174352</v>
      </c>
      <c r="IH104">
        <f t="shared" si="487"/>
        <v>0.55999999999999994</v>
      </c>
      <c r="II104">
        <f t="shared" si="347"/>
        <v>108895.065</v>
      </c>
      <c r="IJ104">
        <f t="shared" si="348"/>
        <v>5.190258717989775E-3</v>
      </c>
      <c r="IK104">
        <f t="shared" si="570"/>
        <v>4.1530923691068221E-3</v>
      </c>
      <c r="IL104">
        <f t="shared" si="488"/>
        <v>1.2574880024599236E-2</v>
      </c>
      <c r="IM104">
        <f t="shared" si="489"/>
        <v>14.536708909342668</v>
      </c>
      <c r="IN104">
        <f t="shared" si="565"/>
        <v>2.4684393608839098E-6</v>
      </c>
      <c r="IO104">
        <f t="shared" si="542"/>
        <v>2.8951694788680857E-2</v>
      </c>
      <c r="IP104">
        <f t="shared" si="490"/>
        <v>3152.6966858735632</v>
      </c>
      <c r="IQ104">
        <f t="shared" si="543"/>
        <v>2.2085750215546018E-6</v>
      </c>
      <c r="IR104">
        <f t="shared" si="491"/>
        <v>2.9065498601248992E-4</v>
      </c>
      <c r="IS104">
        <f t="shared" si="492"/>
        <v>0.20516881666318817</v>
      </c>
      <c r="IU104">
        <f t="shared" si="493"/>
        <v>35.48687287690737</v>
      </c>
      <c r="IV104">
        <f t="shared" si="494"/>
        <v>0.55999999999999994</v>
      </c>
      <c r="IW104">
        <f t="shared" si="349"/>
        <v>108895.065</v>
      </c>
      <c r="IX104">
        <f t="shared" si="350"/>
        <v>5.190258717989775E-3</v>
      </c>
      <c r="IY104">
        <f t="shared" si="571"/>
        <v>4.1530923691068221E-3</v>
      </c>
      <c r="IZ104">
        <f t="shared" si="495"/>
        <v>1.2574880024599236E-2</v>
      </c>
      <c r="JA104">
        <f t="shared" si="496"/>
        <v>14.536708909342668</v>
      </c>
      <c r="JB104">
        <f t="shared" si="566"/>
        <v>2.4082190743294107E-6</v>
      </c>
      <c r="JC104">
        <f t="shared" si="544"/>
        <v>2.7779242409187371E-2</v>
      </c>
      <c r="JD104">
        <f t="shared" si="497"/>
        <v>3025.0224077992152</v>
      </c>
      <c r="JE104">
        <f t="shared" si="545"/>
        <v>2.1633926953861227E-6</v>
      </c>
      <c r="JF104">
        <f t="shared" si="498"/>
        <v>2.7383521698632848E-4</v>
      </c>
      <c r="JG104">
        <f t="shared" si="499"/>
        <v>0.20016349827161933</v>
      </c>
      <c r="JI104">
        <f t="shared" si="500"/>
        <v>37.384566613640381</v>
      </c>
      <c r="JJ104">
        <f t="shared" si="501"/>
        <v>0.55999999999999994</v>
      </c>
      <c r="JK104">
        <f t="shared" si="351"/>
        <v>108895.065</v>
      </c>
      <c r="JL104">
        <f t="shared" si="352"/>
        <v>5.190258717989775E-3</v>
      </c>
      <c r="JM104">
        <f t="shared" si="572"/>
        <v>4.1530923691068221E-3</v>
      </c>
      <c r="JN104">
        <f t="shared" si="502"/>
        <v>1.2574880024599236E-2</v>
      </c>
      <c r="JO104">
        <f t="shared" si="503"/>
        <v>14.536708909342668</v>
      </c>
      <c r="JP104">
        <f t="shared" si="567"/>
        <v>2.3505470220443289E-6</v>
      </c>
      <c r="JQ104">
        <f t="shared" si="546"/>
        <v>2.6669878376102886E-2</v>
      </c>
      <c r="JR104">
        <f t="shared" si="504"/>
        <v>2904.2181393078181</v>
      </c>
      <c r="JS104">
        <f t="shared" si="547"/>
        <v>2.1197550461785747E-6</v>
      </c>
      <c r="JT104">
        <f t="shared" si="505"/>
        <v>2.5813791415238722E-4</v>
      </c>
      <c r="JU104">
        <f t="shared" si="506"/>
        <v>0.19536998099533076</v>
      </c>
    </row>
    <row r="105" spans="2:281">
      <c r="B105">
        <v>0.71</v>
      </c>
      <c r="C105">
        <f t="shared" si="353"/>
        <v>1.3473625530804403</v>
      </c>
      <c r="D105">
        <f t="shared" si="354"/>
        <v>0.56800000000000006</v>
      </c>
      <c r="E105">
        <f t="shared" si="313"/>
        <v>108710.637</v>
      </c>
      <c r="F105">
        <f t="shared" si="314"/>
        <v>5.1931921574907289E-3</v>
      </c>
      <c r="G105">
        <f t="shared" si="355"/>
        <v>4.1519192403517806E-3</v>
      </c>
      <c r="H105">
        <f t="shared" si="356"/>
        <v>1.2596213355330954E-2</v>
      </c>
      <c r="I105">
        <f t="shared" si="357"/>
        <v>14.553145317947086</v>
      </c>
      <c r="J105">
        <f t="shared" si="548"/>
        <v>4.0868089788700627E-6</v>
      </c>
      <c r="K105">
        <f t="shared" si="507"/>
        <v>6.5186380363091517E-2</v>
      </c>
      <c r="L105">
        <f t="shared" si="358"/>
        <v>7086.4529329959705</v>
      </c>
      <c r="M105">
        <f t="shared" si="508"/>
        <v>3.3112007705765226E-6</v>
      </c>
      <c r="N105">
        <f t="shared" si="509"/>
        <v>8.6824355209057713E-4</v>
      </c>
      <c r="O105">
        <f t="shared" si="359"/>
        <v>0.33968254412497068</v>
      </c>
      <c r="Q105">
        <f t="shared" si="360"/>
        <v>3.2450562898134545</v>
      </c>
      <c r="R105">
        <f t="shared" si="361"/>
        <v>0.56800000000000006</v>
      </c>
      <c r="S105">
        <f t="shared" si="315"/>
        <v>108710.637</v>
      </c>
      <c r="T105">
        <f t="shared" si="316"/>
        <v>5.1931921574907289E-3</v>
      </c>
      <c r="U105">
        <f t="shared" si="362"/>
        <v>4.1519192403517806E-3</v>
      </c>
      <c r="V105">
        <f t="shared" si="363"/>
        <v>1.2596213355330954E-2</v>
      </c>
      <c r="W105">
        <f t="shared" si="364"/>
        <v>14.553145317947086</v>
      </c>
      <c r="X105">
        <f t="shared" si="549"/>
        <v>3.9469211898689355E-6</v>
      </c>
      <c r="Y105">
        <f t="shared" si="510"/>
        <v>6.1801037056154036E-2</v>
      </c>
      <c r="Z105">
        <f t="shared" si="365"/>
        <v>6718.4301056351105</v>
      </c>
      <c r="AA105">
        <f t="shared" si="511"/>
        <v>3.2240737131595785E-6</v>
      </c>
      <c r="AB105">
        <f t="shared" si="366"/>
        <v>8.0918130324932785E-4</v>
      </c>
      <c r="AC105">
        <f t="shared" si="367"/>
        <v>0.32805551670440897</v>
      </c>
      <c r="AE105">
        <f t="shared" si="368"/>
        <v>5.1427500265464694</v>
      </c>
      <c r="AF105">
        <f t="shared" si="369"/>
        <v>0.56800000000000006</v>
      </c>
      <c r="AG105">
        <f t="shared" si="317"/>
        <v>108710.637</v>
      </c>
      <c r="AH105">
        <f t="shared" si="318"/>
        <v>5.1931921574907289E-3</v>
      </c>
      <c r="AI105">
        <f t="shared" si="370"/>
        <v>4.1519192403517806E-3</v>
      </c>
      <c r="AJ105">
        <f t="shared" si="371"/>
        <v>1.2596213355330954E-2</v>
      </c>
      <c r="AK105">
        <f t="shared" si="372"/>
        <v>14.553145317947086</v>
      </c>
      <c r="AL105">
        <f t="shared" si="550"/>
        <v>3.8146251772433293E-6</v>
      </c>
      <c r="AM105">
        <f t="shared" si="512"/>
        <v>5.8638580729335296E-2</v>
      </c>
      <c r="AN105">
        <f t="shared" si="373"/>
        <v>6374.6374638619645</v>
      </c>
      <c r="AO105">
        <f t="shared" si="513"/>
        <v>3.1405000623571687E-6</v>
      </c>
      <c r="AP105">
        <f t="shared" si="374"/>
        <v>7.5463974986803072E-4</v>
      </c>
      <c r="AQ105">
        <f t="shared" si="375"/>
        <v>0.31705949355319235</v>
      </c>
      <c r="AS105">
        <f t="shared" si="376"/>
        <v>7.0404437632794838</v>
      </c>
      <c r="AT105">
        <f t="shared" si="377"/>
        <v>0.56800000000000006</v>
      </c>
      <c r="AU105">
        <f t="shared" si="319"/>
        <v>108710.637</v>
      </c>
      <c r="AV105">
        <f t="shared" si="320"/>
        <v>5.1931921574907289E-3</v>
      </c>
      <c r="AW105">
        <f t="shared" si="378"/>
        <v>4.1519192403517806E-3</v>
      </c>
      <c r="AX105">
        <f t="shared" si="379"/>
        <v>1.2596213355330954E-2</v>
      </c>
      <c r="AY105">
        <f t="shared" si="380"/>
        <v>14.553145317947086</v>
      </c>
      <c r="AZ105">
        <f t="shared" si="551"/>
        <v>3.6894044943459467E-6</v>
      </c>
      <c r="BA105">
        <f t="shared" si="514"/>
        <v>5.5681933712503087E-2</v>
      </c>
      <c r="BB105">
        <f t="shared" si="381"/>
        <v>6053.2184832779858</v>
      </c>
      <c r="BC105">
        <f t="shared" si="515"/>
        <v>3.0603016450218557E-6</v>
      </c>
      <c r="BD105">
        <f t="shared" si="382"/>
        <v>7.0424021649952574E-4</v>
      </c>
      <c r="BE105">
        <f t="shared" si="383"/>
        <v>0.30665154927109639</v>
      </c>
      <c r="BG105">
        <f t="shared" si="384"/>
        <v>8.9381375000124983</v>
      </c>
      <c r="BH105">
        <f t="shared" si="385"/>
        <v>0.56800000000000006</v>
      </c>
      <c r="BI105">
        <f t="shared" si="321"/>
        <v>108710.637</v>
      </c>
      <c r="BJ105">
        <f t="shared" si="322"/>
        <v>5.1931921574907289E-3</v>
      </c>
      <c r="BK105">
        <f t="shared" si="386"/>
        <v>4.1519192403517806E-3</v>
      </c>
      <c r="BL105">
        <f t="shared" si="387"/>
        <v>1.2596213355330954E-2</v>
      </c>
      <c r="BM105">
        <f t="shared" si="388"/>
        <v>14.553145317947086</v>
      </c>
      <c r="BN105">
        <f t="shared" si="552"/>
        <v>3.5707831559569848E-6</v>
      </c>
      <c r="BO105">
        <f t="shared" si="516"/>
        <v>5.2915473045612053E-2</v>
      </c>
      <c r="BP105">
        <f t="shared" si="389"/>
        <v>5752.4747819448166</v>
      </c>
      <c r="BQ105">
        <f t="shared" si="517"/>
        <v>2.9833102668267123E-6</v>
      </c>
      <c r="BR105">
        <f t="shared" si="390"/>
        <v>6.5763815101649683E-4</v>
      </c>
      <c r="BS105">
        <f t="shared" si="391"/>
        <v>0.29679212148286338</v>
      </c>
      <c r="BU105">
        <f t="shared" si="392"/>
        <v>10.835831236745513</v>
      </c>
      <c r="BV105">
        <f t="shared" si="393"/>
        <v>0.56800000000000006</v>
      </c>
      <c r="BW105">
        <f t="shared" si="323"/>
        <v>108710.637</v>
      </c>
      <c r="BX105">
        <f t="shared" si="324"/>
        <v>5.1931921574907289E-3</v>
      </c>
      <c r="BY105">
        <f t="shared" si="394"/>
        <v>4.1519192403517806E-3</v>
      </c>
      <c r="BZ105">
        <f t="shared" si="395"/>
        <v>1.2596213355330954E-2</v>
      </c>
      <c r="CA105">
        <f t="shared" si="396"/>
        <v>14.553145317947086</v>
      </c>
      <c r="CB105">
        <f t="shared" si="553"/>
        <v>3.4583221405159064E-6</v>
      </c>
      <c r="CC105">
        <f t="shared" si="518"/>
        <v>5.0324896666451333E-2</v>
      </c>
      <c r="CD105">
        <f t="shared" si="397"/>
        <v>5470.8515735691008</v>
      </c>
      <c r="CE105">
        <f t="shared" si="519"/>
        <v>2.9093671252032063E-6</v>
      </c>
      <c r="CF105">
        <f t="shared" si="398"/>
        <v>6.1451986626300599E-4</v>
      </c>
      <c r="CG105">
        <f t="shared" si="399"/>
        <v>0.28744472011484912</v>
      </c>
      <c r="CI105">
        <f t="shared" si="400"/>
        <v>12.733524973478527</v>
      </c>
      <c r="CJ105">
        <f t="shared" si="401"/>
        <v>0.56800000000000006</v>
      </c>
      <c r="CK105">
        <f t="shared" si="325"/>
        <v>108710.637</v>
      </c>
      <c r="CL105">
        <f t="shared" si="326"/>
        <v>5.1931921574907289E-3</v>
      </c>
      <c r="CM105">
        <f t="shared" si="402"/>
        <v>4.1519192403517806E-3</v>
      </c>
      <c r="CN105">
        <f t="shared" si="403"/>
        <v>1.2596213355330954E-2</v>
      </c>
      <c r="CO105">
        <f t="shared" si="404"/>
        <v>14.553145317947086</v>
      </c>
      <c r="CP105">
        <f t="shared" si="554"/>
        <v>3.3516162172451098E-6</v>
      </c>
      <c r="CQ105">
        <f t="shared" si="520"/>
        <v>4.7897102618995616E-2</v>
      </c>
      <c r="CR105">
        <f t="shared" si="405"/>
        <v>5206.9245361653821</v>
      </c>
      <c r="CS105">
        <f t="shared" si="521"/>
        <v>2.8383222566723543E-6</v>
      </c>
      <c r="CT105">
        <f t="shared" si="406"/>
        <v>5.7459960690057826E-4</v>
      </c>
      <c r="CU105">
        <f t="shared" si="407"/>
        <v>0.27857566367564907</v>
      </c>
      <c r="CW105">
        <f t="shared" si="408"/>
        <v>14.631218710211542</v>
      </c>
      <c r="CX105">
        <f t="shared" si="409"/>
        <v>0.56800000000000006</v>
      </c>
      <c r="CY105">
        <f t="shared" si="327"/>
        <v>108710.637</v>
      </c>
      <c r="CZ105">
        <f t="shared" si="328"/>
        <v>5.1931921574907289E-3</v>
      </c>
      <c r="DA105">
        <f t="shared" si="410"/>
        <v>4.1519192403517806E-3</v>
      </c>
      <c r="DB105">
        <f t="shared" si="411"/>
        <v>1.2596213355330954E-2</v>
      </c>
      <c r="DC105">
        <f t="shared" si="412"/>
        <v>14.553145317947086</v>
      </c>
      <c r="DD105">
        <f t="shared" si="555"/>
        <v>3.2502910663475406E-6</v>
      </c>
      <c r="DE105">
        <f t="shared" si="522"/>
        <v>4.5620079963221101E-2</v>
      </c>
      <c r="DF105">
        <f t="shared" si="413"/>
        <v>4959.3879527927029</v>
      </c>
      <c r="DG105">
        <f t="shared" si="523"/>
        <v>2.770034016684995E-6</v>
      </c>
      <c r="DH105">
        <f t="shared" si="414"/>
        <v>5.3761690793986184E-4</v>
      </c>
      <c r="DI105">
        <f t="shared" si="415"/>
        <v>0.27015383989609748</v>
      </c>
      <c r="DK105">
        <f t="shared" si="416"/>
        <v>16.528912446944556</v>
      </c>
      <c r="DL105">
        <f t="shared" si="417"/>
        <v>0.56800000000000006</v>
      </c>
      <c r="DM105">
        <f t="shared" si="329"/>
        <v>108710.637</v>
      </c>
      <c r="DN105">
        <f t="shared" si="330"/>
        <v>5.1931921574907289E-3</v>
      </c>
      <c r="DO105">
        <f t="shared" si="418"/>
        <v>4.1519192403517806E-3</v>
      </c>
      <c r="DP105">
        <f t="shared" si="419"/>
        <v>1.2596213355330954E-2</v>
      </c>
      <c r="DQ105">
        <f t="shared" si="420"/>
        <v>14.553145317947086</v>
      </c>
      <c r="DR105">
        <f t="shared" si="556"/>
        <v>3.1540006636975322E-6</v>
      </c>
      <c r="DS105">
        <f t="shared" si="524"/>
        <v>4.3482810204592874E-2</v>
      </c>
      <c r="DT105">
        <f t="shared" si="421"/>
        <v>4727.0439958913921</v>
      </c>
      <c r="DU105">
        <f t="shared" si="525"/>
        <v>2.7043685901743805E-6</v>
      </c>
      <c r="DV105">
        <f t="shared" si="422"/>
        <v>5.0333421497499693E-4</v>
      </c>
      <c r="DW105">
        <f t="shared" si="423"/>
        <v>0.26215048835310073</v>
      </c>
      <c r="DY105">
        <f t="shared" si="424"/>
        <v>18.426606183677571</v>
      </c>
      <c r="DZ105">
        <f t="shared" si="425"/>
        <v>0.56800000000000006</v>
      </c>
      <c r="EA105">
        <f t="shared" si="331"/>
        <v>108710.637</v>
      </c>
      <c r="EB105">
        <f t="shared" si="332"/>
        <v>5.1931921574907289E-3</v>
      </c>
      <c r="EC105">
        <f t="shared" si="426"/>
        <v>4.1519192403517806E-3</v>
      </c>
      <c r="ED105">
        <f t="shared" si="427"/>
        <v>1.2596213355330954E-2</v>
      </c>
      <c r="EE105">
        <f t="shared" si="428"/>
        <v>14.553145317947086</v>
      </c>
      <c r="EF105">
        <f t="shared" si="557"/>
        <v>3.0624249043433298E-6</v>
      </c>
      <c r="EG105">
        <f t="shared" si="526"/>
        <v>4.147517818424204E-2</v>
      </c>
      <c r="EH105">
        <f t="shared" si="429"/>
        <v>4508.7930400974556</v>
      </c>
      <c r="EI105">
        <f t="shared" si="527"/>
        <v>2.64119953110875E-6</v>
      </c>
      <c r="EJ105">
        <f t="shared" si="430"/>
        <v>4.7153473928870064E-4</v>
      </c>
      <c r="EK105">
        <f t="shared" si="431"/>
        <v>0.25453900294273735</v>
      </c>
      <c r="EM105">
        <f t="shared" si="432"/>
        <v>20.324299920410585</v>
      </c>
      <c r="EN105">
        <f t="shared" si="433"/>
        <v>0.56800000000000006</v>
      </c>
      <c r="EO105">
        <f t="shared" si="333"/>
        <v>108710.637</v>
      </c>
      <c r="EP105">
        <f t="shared" si="334"/>
        <v>5.1931921574907289E-3</v>
      </c>
      <c r="EQ105">
        <f t="shared" si="434"/>
        <v>4.1519192403517806E-3</v>
      </c>
      <c r="ER105">
        <f t="shared" si="435"/>
        <v>1.2596213355330954E-2</v>
      </c>
      <c r="ES105">
        <f t="shared" si="436"/>
        <v>14.553145317947086</v>
      </c>
      <c r="ET105">
        <f t="shared" si="558"/>
        <v>2.975267441736859E-6</v>
      </c>
      <c r="EU105">
        <f t="shared" si="528"/>
        <v>3.9587891480679364E-2</v>
      </c>
      <c r="EV105">
        <f t="shared" si="437"/>
        <v>4303.6249003515268</v>
      </c>
      <c r="EW105">
        <f t="shared" si="529"/>
        <v>2.5804073294133653E-6</v>
      </c>
      <c r="EX105">
        <f t="shared" si="438"/>
        <v>4.4202052381178995E-4</v>
      </c>
      <c r="EY105">
        <f t="shared" si="439"/>
        <v>0.24729475228391928</v>
      </c>
      <c r="FA105">
        <f t="shared" si="440"/>
        <v>22.221993657143599</v>
      </c>
      <c r="FB105">
        <f t="shared" si="441"/>
        <v>0.56800000000000006</v>
      </c>
      <c r="FC105">
        <f t="shared" si="335"/>
        <v>108710.637</v>
      </c>
      <c r="FD105">
        <f t="shared" si="336"/>
        <v>5.1931921574907289E-3</v>
      </c>
      <c r="FE105">
        <f t="shared" si="442"/>
        <v>4.1519192403517806E-3</v>
      </c>
      <c r="FF105">
        <f t="shared" si="443"/>
        <v>1.2596213355330954E-2</v>
      </c>
      <c r="FG105">
        <f t="shared" si="444"/>
        <v>14.553145317947086</v>
      </c>
      <c r="FH105">
        <f t="shared" si="559"/>
        <v>2.8922537219332101E-6</v>
      </c>
      <c r="FI105">
        <f t="shared" si="530"/>
        <v>3.7812407472116505E-2</v>
      </c>
      <c r="FJ105">
        <f t="shared" si="445"/>
        <v>4110.6109027973453</v>
      </c>
      <c r="FK105">
        <f t="shared" si="531"/>
        <v>2.5218790037105481E-6</v>
      </c>
      <c r="FL105">
        <f t="shared" si="446"/>
        <v>4.1461069843717511E-4</v>
      </c>
      <c r="FM105">
        <f t="shared" si="447"/>
        <v>0.24039491632731499</v>
      </c>
      <c r="FO105">
        <f t="shared" si="448"/>
        <v>24.119687393876614</v>
      </c>
      <c r="FP105">
        <f t="shared" si="449"/>
        <v>0.56800000000000006</v>
      </c>
      <c r="FQ105">
        <f t="shared" si="337"/>
        <v>108710.637</v>
      </c>
      <c r="FR105">
        <f t="shared" si="338"/>
        <v>5.1931921574907289E-3</v>
      </c>
      <c r="FS105">
        <f t="shared" si="450"/>
        <v>4.1519192403517806E-3</v>
      </c>
      <c r="FT105">
        <f t="shared" si="451"/>
        <v>1.2596213355330954E-2</v>
      </c>
      <c r="FU105">
        <f t="shared" si="452"/>
        <v>14.553145317947086</v>
      </c>
      <c r="FV105">
        <f t="shared" si="560"/>
        <v>2.8131291940877357E-6</v>
      </c>
      <c r="FW105">
        <f t="shared" si="532"/>
        <v>3.6140867296328726E-2</v>
      </c>
      <c r="FX105">
        <f t="shared" si="453"/>
        <v>3928.8967055163635</v>
      </c>
      <c r="FY105">
        <f t="shared" si="533"/>
        <v>2.465507718402811E-6</v>
      </c>
      <c r="FZ105">
        <f t="shared" si="454"/>
        <v>3.8913990543717802E-4</v>
      </c>
      <c r="GA105">
        <f t="shared" si="455"/>
        <v>0.23381833761756846</v>
      </c>
      <c r="GC105">
        <f t="shared" si="456"/>
        <v>26.017381130609628</v>
      </c>
      <c r="GD105">
        <f t="shared" si="457"/>
        <v>0.56800000000000006</v>
      </c>
      <c r="GE105">
        <f t="shared" si="339"/>
        <v>108710.637</v>
      </c>
      <c r="GF105">
        <f t="shared" si="340"/>
        <v>5.1931921574907289E-3</v>
      </c>
      <c r="GG105">
        <f t="shared" si="458"/>
        <v>4.1519192403517806E-3</v>
      </c>
      <c r="GH105">
        <f t="shared" si="459"/>
        <v>1.2596213355330954E-2</v>
      </c>
      <c r="GI105">
        <f t="shared" si="460"/>
        <v>14.553145317947086</v>
      </c>
      <c r="GJ105">
        <f t="shared" si="561"/>
        <v>2.7376576804479969E-6</v>
      </c>
      <c r="GK105">
        <f t="shared" si="534"/>
        <v>3.4566036023588639E-2</v>
      </c>
      <c r="GL105">
        <f t="shared" si="461"/>
        <v>3757.695794689268</v>
      </c>
      <c r="GM105">
        <f t="shared" si="535"/>
        <v>2.4111924236979005E-6</v>
      </c>
      <c r="GN105">
        <f t="shared" si="462"/>
        <v>3.6545687774308552E-4</v>
      </c>
      <c r="GO105">
        <f t="shared" si="463"/>
        <v>0.22754538581222203</v>
      </c>
      <c r="GQ105">
        <f t="shared" si="464"/>
        <v>27.915074867342643</v>
      </c>
      <c r="GR105">
        <f t="shared" si="465"/>
        <v>0.56800000000000006</v>
      </c>
      <c r="GS105">
        <f t="shared" si="341"/>
        <v>108710.637</v>
      </c>
      <c r="GT105">
        <f t="shared" si="342"/>
        <v>5.1931921574907289E-3</v>
      </c>
      <c r="GU105">
        <f t="shared" si="466"/>
        <v>4.1519192403517806E-3</v>
      </c>
      <c r="GV105">
        <f t="shared" si="467"/>
        <v>1.2596213355330954E-2</v>
      </c>
      <c r="GW105">
        <f t="shared" si="468"/>
        <v>14.553145317947086</v>
      </c>
      <c r="GX105">
        <f t="shared" si="562"/>
        <v>2.665619890714066E-6</v>
      </c>
      <c r="GY105">
        <f t="shared" si="536"/>
        <v>3.3081248428526305E-2</v>
      </c>
      <c r="GZ105">
        <f t="shared" si="469"/>
        <v>3596.2835894203436</v>
      </c>
      <c r="HA105">
        <f t="shared" si="537"/>
        <v>2.3588375172458985E-6</v>
      </c>
      <c r="HB105">
        <f t="shared" si="470"/>
        <v>3.4342315464249356E-4</v>
      </c>
      <c r="HC105">
        <f t="shared" si="471"/>
        <v>0.22155783420007724</v>
      </c>
      <c r="HE105">
        <f t="shared" si="472"/>
        <v>29.812768604075657</v>
      </c>
      <c r="HF105">
        <f t="shared" si="473"/>
        <v>0.56800000000000006</v>
      </c>
      <c r="HG105">
        <f t="shared" si="343"/>
        <v>108710.637</v>
      </c>
      <c r="HH105">
        <f t="shared" si="344"/>
        <v>5.1931921574907289E-3</v>
      </c>
      <c r="HI105">
        <f t="shared" si="568"/>
        <v>4.1519192403517806E-3</v>
      </c>
      <c r="HJ105">
        <f t="shared" si="474"/>
        <v>1.2596213355330954E-2</v>
      </c>
      <c r="HK105">
        <f t="shared" si="475"/>
        <v>14.553145317947086</v>
      </c>
      <c r="HL105">
        <f t="shared" si="563"/>
        <v>2.5968120671439466E-6</v>
      </c>
      <c r="HM105">
        <f t="shared" si="538"/>
        <v>3.1680359809698244E-2</v>
      </c>
      <c r="HN105">
        <f t="shared" si="476"/>
        <v>3443.9920953014948</v>
      </c>
      <c r="HO105">
        <f t="shared" si="539"/>
        <v>2.3083525261270797E-6</v>
      </c>
      <c r="HP105">
        <f t="shared" si="477"/>
        <v>3.2291192105604236E-4</v>
      </c>
      <c r="HQ105">
        <f t="shared" si="478"/>
        <v>0.21583874708667306</v>
      </c>
      <c r="HS105">
        <f t="shared" si="479"/>
        <v>31.710462340808672</v>
      </c>
      <c r="HT105">
        <f t="shared" si="480"/>
        <v>0.56800000000000006</v>
      </c>
      <c r="HU105">
        <f t="shared" si="345"/>
        <v>108710.637</v>
      </c>
      <c r="HV105">
        <f t="shared" si="346"/>
        <v>5.1931921574907289E-3</v>
      </c>
      <c r="HW105">
        <f t="shared" si="569"/>
        <v>4.1519192403517806E-3</v>
      </c>
      <c r="HX105">
        <f t="shared" si="481"/>
        <v>1.2596213355330954E-2</v>
      </c>
      <c r="HY105">
        <f t="shared" si="482"/>
        <v>14.553145317947086</v>
      </c>
      <c r="HZ105">
        <f t="shared" si="564"/>
        <v>2.5310447481297626E-6</v>
      </c>
      <c r="IA105">
        <f t="shared" si="540"/>
        <v>3.0357701361972026E-2</v>
      </c>
      <c r="IB105">
        <f t="shared" si="483"/>
        <v>3300.2050529157468</v>
      </c>
      <c r="IC105">
        <f t="shared" si="541"/>
        <v>2.2596518079952988E-6</v>
      </c>
      <c r="ID105">
        <f t="shared" si="484"/>
        <v>3.0380695799118296E-4</v>
      </c>
      <c r="IE105">
        <f t="shared" si="485"/>
        <v>0.21037237702667744</v>
      </c>
      <c r="IG105">
        <f t="shared" si="486"/>
        <v>33.608156077541686</v>
      </c>
      <c r="IH105">
        <f t="shared" si="487"/>
        <v>0.56800000000000006</v>
      </c>
      <c r="II105">
        <f t="shared" si="347"/>
        <v>108710.637</v>
      </c>
      <c r="IJ105">
        <f t="shared" si="348"/>
        <v>5.1931921574907289E-3</v>
      </c>
      <c r="IK105">
        <f t="shared" si="570"/>
        <v>4.1519192403517806E-3</v>
      </c>
      <c r="IL105">
        <f t="shared" si="488"/>
        <v>1.2596213355330954E-2</v>
      </c>
      <c r="IM105">
        <f t="shared" si="489"/>
        <v>14.553145317947086</v>
      </c>
      <c r="IN105">
        <f t="shared" si="565"/>
        <v>2.4681416391807269E-6</v>
      </c>
      <c r="IO105">
        <f t="shared" si="542"/>
        <v>2.9108039657251207E-2</v>
      </c>
      <c r="IP105">
        <f t="shared" si="490"/>
        <v>3164.3535329610404</v>
      </c>
      <c r="IQ105">
        <f t="shared" si="543"/>
        <v>2.2126542702451245E-6</v>
      </c>
      <c r="IR105">
        <f t="shared" si="491"/>
        <v>2.8600169305450444E-4</v>
      </c>
      <c r="IS105">
        <f t="shared" si="492"/>
        <v>0.20514407098358795</v>
      </c>
      <c r="IU105">
        <f t="shared" si="493"/>
        <v>35.505849814274704</v>
      </c>
      <c r="IV105">
        <f t="shared" si="494"/>
        <v>0.56800000000000006</v>
      </c>
      <c r="IW105">
        <f t="shared" si="349"/>
        <v>108710.637</v>
      </c>
      <c r="IX105">
        <f t="shared" si="350"/>
        <v>5.1931921574907289E-3</v>
      </c>
      <c r="IY105">
        <f t="shared" si="571"/>
        <v>4.1519192403517806E-3</v>
      </c>
      <c r="IZ105">
        <f t="shared" si="495"/>
        <v>1.2596213355330954E-2</v>
      </c>
      <c r="JA105">
        <f t="shared" si="496"/>
        <v>14.553145317947086</v>
      </c>
      <c r="JB105">
        <f t="shared" si="566"/>
        <v>2.4079385813356003E-6</v>
      </c>
      <c r="JC105">
        <f t="shared" si="544"/>
        <v>2.7926539834210111E-2</v>
      </c>
      <c r="JD105">
        <f t="shared" si="497"/>
        <v>3035.9119345828558</v>
      </c>
      <c r="JE105">
        <f t="shared" si="545"/>
        <v>2.1672831061318698E-6</v>
      </c>
      <c r="JF105">
        <f t="shared" si="498"/>
        <v>2.6939834105243712E-4</v>
      </c>
      <c r="JG105">
        <f t="shared" si="499"/>
        <v>0.20014018458746149</v>
      </c>
      <c r="JI105">
        <f t="shared" si="500"/>
        <v>37.403543551007715</v>
      </c>
      <c r="JJ105">
        <f t="shared" si="501"/>
        <v>0.56800000000000006</v>
      </c>
      <c r="JK105">
        <f t="shared" si="351"/>
        <v>108710.637</v>
      </c>
      <c r="JL105">
        <f t="shared" si="352"/>
        <v>5.1931921574907289E-3</v>
      </c>
      <c r="JM105">
        <f t="shared" si="572"/>
        <v>4.1519192403517806E-3</v>
      </c>
      <c r="JN105">
        <f t="shared" si="502"/>
        <v>1.2596213355330954E-2</v>
      </c>
      <c r="JO105">
        <f t="shared" si="503"/>
        <v>14.553145317947086</v>
      </c>
      <c r="JP105">
        <f t="shared" si="567"/>
        <v>2.350282608003091E-6</v>
      </c>
      <c r="JQ105">
        <f t="shared" si="546"/>
        <v>2.6808732138134839E-2</v>
      </c>
      <c r="JR105">
        <f t="shared" si="504"/>
        <v>2914.3943478990104</v>
      </c>
      <c r="JS105">
        <f t="shared" si="547"/>
        <v>2.12346554683197E-6</v>
      </c>
      <c r="JT105">
        <f t="shared" si="505"/>
        <v>2.539071257371582E-4</v>
      </c>
      <c r="JU105">
        <f t="shared" si="506"/>
        <v>0.19534800374249256</v>
      </c>
    </row>
    <row r="106" spans="2:281">
      <c r="B106">
        <v>0.72</v>
      </c>
      <c r="C106">
        <f t="shared" si="353"/>
        <v>1.3663394904477704</v>
      </c>
      <c r="D106">
        <f t="shared" si="354"/>
        <v>0.57599999999999996</v>
      </c>
      <c r="E106">
        <f t="shared" si="313"/>
        <v>108526.209</v>
      </c>
      <c r="F106">
        <f t="shared" si="314"/>
        <v>5.1961322399620763E-3</v>
      </c>
      <c r="G106">
        <f t="shared" si="355"/>
        <v>4.1507444519082795E-3</v>
      </c>
      <c r="H106">
        <f t="shared" si="356"/>
        <v>1.26176191932212E-2</v>
      </c>
      <c r="I106">
        <f t="shared" si="357"/>
        <v>14.5696282664045</v>
      </c>
      <c r="J106">
        <f t="shared" si="548"/>
        <v>4.0859196256452922E-6</v>
      </c>
      <c r="K106">
        <f t="shared" si="507"/>
        <v>6.5653413204677769E-2</v>
      </c>
      <c r="L106">
        <f t="shared" si="358"/>
        <v>7125.116043014219</v>
      </c>
      <c r="M106">
        <f t="shared" si="508"/>
        <v>3.3202213043438964E-6</v>
      </c>
      <c r="N106">
        <f t="shared" si="509"/>
        <v>8.5787807593800715E-4</v>
      </c>
      <c r="O106">
        <f t="shared" si="359"/>
        <v>0.33960862391789037</v>
      </c>
      <c r="Q106">
        <f t="shared" si="360"/>
        <v>3.2640332271807848</v>
      </c>
      <c r="R106">
        <f t="shared" si="361"/>
        <v>0.57599999999999996</v>
      </c>
      <c r="S106">
        <f t="shared" si="315"/>
        <v>108526.209</v>
      </c>
      <c r="T106">
        <f t="shared" si="316"/>
        <v>5.1961322399620763E-3</v>
      </c>
      <c r="U106">
        <f t="shared" si="362"/>
        <v>4.1507444519082795E-3</v>
      </c>
      <c r="V106">
        <f t="shared" si="363"/>
        <v>1.26176191932212E-2</v>
      </c>
      <c r="W106">
        <f t="shared" si="364"/>
        <v>14.5696282664045</v>
      </c>
      <c r="X106">
        <f t="shared" si="549"/>
        <v>3.9460923348780332E-6</v>
      </c>
      <c r="Y106">
        <f t="shared" si="510"/>
        <v>6.2236299998798469E-2</v>
      </c>
      <c r="Z106">
        <f t="shared" si="365"/>
        <v>6754.2697010563024</v>
      </c>
      <c r="AA106">
        <f t="shared" si="511"/>
        <v>3.2326617169845653E-6</v>
      </c>
      <c r="AB106">
        <f t="shared" si="366"/>
        <v>7.9931804571999412E-4</v>
      </c>
      <c r="AC106">
        <f t="shared" si="367"/>
        <v>0.32798662491781555</v>
      </c>
      <c r="AE106">
        <f t="shared" si="368"/>
        <v>5.1617269639137993</v>
      </c>
      <c r="AF106">
        <f t="shared" si="369"/>
        <v>0.57599999999999996</v>
      </c>
      <c r="AG106">
        <f t="shared" si="317"/>
        <v>108526.209</v>
      </c>
      <c r="AH106">
        <f t="shared" si="318"/>
        <v>5.1961322399620763E-3</v>
      </c>
      <c r="AI106">
        <f t="shared" si="370"/>
        <v>4.1507444519082795E-3</v>
      </c>
      <c r="AJ106">
        <f t="shared" si="371"/>
        <v>1.26176191932212E-2</v>
      </c>
      <c r="AK106">
        <f t="shared" si="372"/>
        <v>14.5696282664045</v>
      </c>
      <c r="AL106">
        <f t="shared" si="550"/>
        <v>3.8138521898788171E-6</v>
      </c>
      <c r="AM106">
        <f t="shared" si="512"/>
        <v>5.9044505479258491E-2</v>
      </c>
      <c r="AN106">
        <f t="shared" si="373"/>
        <v>6407.8763419436527</v>
      </c>
      <c r="AO106">
        <f t="shared" si="513"/>
        <v>3.1486770746666184E-6</v>
      </c>
      <c r="AP106">
        <f t="shared" si="374"/>
        <v>7.452532311030979E-4</v>
      </c>
      <c r="AQ106">
        <f t="shared" si="375"/>
        <v>0.31699524530574269</v>
      </c>
      <c r="AS106">
        <f t="shared" si="376"/>
        <v>7.0594207006468137</v>
      </c>
      <c r="AT106">
        <f t="shared" si="377"/>
        <v>0.57599999999999996</v>
      </c>
      <c r="AU106">
        <f t="shared" si="319"/>
        <v>108526.209</v>
      </c>
      <c r="AV106">
        <f t="shared" si="320"/>
        <v>5.1961322399620763E-3</v>
      </c>
      <c r="AW106">
        <f t="shared" si="378"/>
        <v>4.1507444519082795E-3</v>
      </c>
      <c r="AX106">
        <f t="shared" si="379"/>
        <v>1.26176191932212E-2</v>
      </c>
      <c r="AY106">
        <f t="shared" si="380"/>
        <v>14.5696282664045</v>
      </c>
      <c r="AZ106">
        <f t="shared" si="551"/>
        <v>3.6886831318825586E-6</v>
      </c>
      <c r="BA106">
        <f t="shared" si="514"/>
        <v>5.6060748284381151E-2</v>
      </c>
      <c r="BB106">
        <f t="shared" si="381"/>
        <v>6084.0604850071404</v>
      </c>
      <c r="BC106">
        <f t="shared" si="515"/>
        <v>3.0680880735909674E-6</v>
      </c>
      <c r="BD106">
        <f t="shared" si="382"/>
        <v>6.9530633636359141E-4</v>
      </c>
      <c r="BE106">
        <f t="shared" si="383"/>
        <v>0.30659159192098123</v>
      </c>
      <c r="BG106">
        <f t="shared" si="384"/>
        <v>8.9571144373798273</v>
      </c>
      <c r="BH106">
        <f t="shared" si="385"/>
        <v>0.57599999999999996</v>
      </c>
      <c r="BI106">
        <f t="shared" si="321"/>
        <v>108526.209</v>
      </c>
      <c r="BJ106">
        <f t="shared" si="322"/>
        <v>5.1961322399620763E-3</v>
      </c>
      <c r="BK106">
        <f t="shared" si="386"/>
        <v>4.1507444519082795E-3</v>
      </c>
      <c r="BL106">
        <f t="shared" si="387"/>
        <v>1.26176191932212E-2</v>
      </c>
      <c r="BM106">
        <f t="shared" si="388"/>
        <v>14.5696282664045</v>
      </c>
      <c r="BN106">
        <f t="shared" si="552"/>
        <v>3.5701095285987047E-6</v>
      </c>
      <c r="BO106">
        <f t="shared" si="516"/>
        <v>5.3269220117692466E-2</v>
      </c>
      <c r="BP106">
        <f t="shared" si="389"/>
        <v>5781.1065157596977</v>
      </c>
      <c r="BQ106">
        <f t="shared" si="517"/>
        <v>2.9907254512170028E-6</v>
      </c>
      <c r="BR106">
        <f t="shared" si="390"/>
        <v>6.4913410896415638E-4</v>
      </c>
      <c r="BS106">
        <f t="shared" si="391"/>
        <v>0.29673613172262853</v>
      </c>
      <c r="BU106">
        <f t="shared" si="392"/>
        <v>10.854808174112842</v>
      </c>
      <c r="BV106">
        <f t="shared" si="393"/>
        <v>0.57599999999999996</v>
      </c>
      <c r="BW106">
        <f t="shared" si="323"/>
        <v>108526.209</v>
      </c>
      <c r="BX106">
        <f t="shared" si="324"/>
        <v>5.1961322399620763E-3</v>
      </c>
      <c r="BY106">
        <f t="shared" si="394"/>
        <v>4.1507444519082795E-3</v>
      </c>
      <c r="BZ106">
        <f t="shared" si="395"/>
        <v>1.26176191932212E-2</v>
      </c>
      <c r="CA106">
        <f t="shared" si="396"/>
        <v>14.5696282664045</v>
      </c>
      <c r="CB106">
        <f t="shared" si="553"/>
        <v>3.4576926797805741E-6</v>
      </c>
      <c r="CC106">
        <f t="shared" si="518"/>
        <v>5.0655450182985888E-2</v>
      </c>
      <c r="CD106">
        <f t="shared" si="397"/>
        <v>5497.4439735478145</v>
      </c>
      <c r="CE106">
        <f t="shared" si="519"/>
        <v>2.9164293956477686E-6</v>
      </c>
      <c r="CF106">
        <f t="shared" si="398"/>
        <v>6.0642408615777064E-4</v>
      </c>
      <c r="CG106">
        <f t="shared" si="399"/>
        <v>0.28739240134362443</v>
      </c>
      <c r="CI106">
        <f t="shared" si="400"/>
        <v>12.752501910845856</v>
      </c>
      <c r="CJ106">
        <f t="shared" si="401"/>
        <v>0.57599999999999996</v>
      </c>
      <c r="CK106">
        <f t="shared" si="325"/>
        <v>108526.209</v>
      </c>
      <c r="CL106">
        <f t="shared" si="326"/>
        <v>5.1961322399620763E-3</v>
      </c>
      <c r="CM106">
        <f t="shared" si="402"/>
        <v>4.1507444519082795E-3</v>
      </c>
      <c r="CN106">
        <f t="shared" si="403"/>
        <v>1.26176191932212E-2</v>
      </c>
      <c r="CO106">
        <f t="shared" si="404"/>
        <v>14.5696282664045</v>
      </c>
      <c r="CP106">
        <f t="shared" si="554"/>
        <v>3.3510276473534954E-6</v>
      </c>
      <c r="CQ106">
        <f t="shared" si="520"/>
        <v>4.8206182814914081E-2</v>
      </c>
      <c r="CR106">
        <f t="shared" si="405"/>
        <v>5231.6342712635742</v>
      </c>
      <c r="CS106">
        <f t="shared" si="521"/>
        <v>2.8450489896093902E-6</v>
      </c>
      <c r="CT106">
        <f t="shared" si="406"/>
        <v>5.6689166646396445E-4</v>
      </c>
      <c r="CU106">
        <f t="shared" si="407"/>
        <v>0.27852674362109975</v>
      </c>
      <c r="CW106">
        <f t="shared" si="408"/>
        <v>14.650195647578871</v>
      </c>
      <c r="CX106">
        <f t="shared" si="409"/>
        <v>0.57599999999999996</v>
      </c>
      <c r="CY106">
        <f t="shared" si="327"/>
        <v>108526.209</v>
      </c>
      <c r="CZ106">
        <f t="shared" si="328"/>
        <v>5.1961322399620763E-3</v>
      </c>
      <c r="DA106">
        <f t="shared" si="410"/>
        <v>4.1507444519082795E-3</v>
      </c>
      <c r="DB106">
        <f t="shared" si="411"/>
        <v>1.26176191932212E-2</v>
      </c>
      <c r="DC106">
        <f t="shared" si="412"/>
        <v>14.5696282664045</v>
      </c>
      <c r="DD106">
        <f t="shared" si="555"/>
        <v>3.2497403783181093E-6</v>
      </c>
      <c r="DE106">
        <f t="shared" si="522"/>
        <v>4.5909266967945041E-2</v>
      </c>
      <c r="DF106">
        <f t="shared" si="413"/>
        <v>4982.3587019999995</v>
      </c>
      <c r="DG106">
        <f t="shared" si="523"/>
        <v>2.7764416871298115E-6</v>
      </c>
      <c r="DH106">
        <f t="shared" si="414"/>
        <v>5.3027747253055614E-4</v>
      </c>
      <c r="DI106">
        <f t="shared" si="415"/>
        <v>0.27010806846126323</v>
      </c>
      <c r="DK106">
        <f t="shared" si="416"/>
        <v>16.547889384311887</v>
      </c>
      <c r="DL106">
        <f t="shared" si="417"/>
        <v>0.57599999999999996</v>
      </c>
      <c r="DM106">
        <f t="shared" si="329"/>
        <v>108526.209</v>
      </c>
      <c r="DN106">
        <f t="shared" si="330"/>
        <v>5.1961322399620763E-3</v>
      </c>
      <c r="DO106">
        <f t="shared" si="418"/>
        <v>4.1507444519082795E-3</v>
      </c>
      <c r="DP106">
        <f t="shared" si="419"/>
        <v>1.26176191932212E-2</v>
      </c>
      <c r="DQ106">
        <f t="shared" si="420"/>
        <v>14.5696282664045</v>
      </c>
      <c r="DR106">
        <f t="shared" si="556"/>
        <v>3.1534850918788329E-6</v>
      </c>
      <c r="DS106">
        <f t="shared" si="524"/>
        <v>4.3753556365760844E-2</v>
      </c>
      <c r="DT106">
        <f t="shared" si="421"/>
        <v>4748.4076026438415</v>
      </c>
      <c r="DU106">
        <f t="shared" si="525"/>
        <v>2.7104728211097557E-6</v>
      </c>
      <c r="DV106">
        <f t="shared" si="422"/>
        <v>4.963449754184678E-4</v>
      </c>
      <c r="DW106">
        <f t="shared" si="423"/>
        <v>0.26210763566584266</v>
      </c>
      <c r="DY106">
        <f t="shared" si="424"/>
        <v>18.445583121044901</v>
      </c>
      <c r="DZ106">
        <f t="shared" si="425"/>
        <v>0.57599999999999996</v>
      </c>
      <c r="EA106">
        <f t="shared" si="331"/>
        <v>108526.209</v>
      </c>
      <c r="EB106">
        <f t="shared" si="332"/>
        <v>5.1961322399620763E-3</v>
      </c>
      <c r="EC106">
        <f t="shared" si="426"/>
        <v>4.1507444519082795E-3</v>
      </c>
      <c r="ED106">
        <f t="shared" si="427"/>
        <v>1.26176191932212E-2</v>
      </c>
      <c r="EE106">
        <f t="shared" si="428"/>
        <v>14.5696282664045</v>
      </c>
      <c r="EF106">
        <f t="shared" si="557"/>
        <v>3.0619419051434303E-6</v>
      </c>
      <c r="EG106">
        <f t="shared" si="526"/>
        <v>4.1728819237684227E-2</v>
      </c>
      <c r="EH106">
        <f t="shared" si="429"/>
        <v>4528.670557912139</v>
      </c>
      <c r="EI106">
        <f t="shared" si="527"/>
        <v>2.6470151400637846E-6</v>
      </c>
      <c r="EJ106">
        <f t="shared" si="430"/>
        <v>4.648783534966058E-4</v>
      </c>
      <c r="EK106">
        <f t="shared" si="431"/>
        <v>0.2544988575877965</v>
      </c>
      <c r="EM106">
        <f t="shared" si="432"/>
        <v>20.343276857777916</v>
      </c>
      <c r="EN106">
        <f t="shared" si="433"/>
        <v>0.57599999999999996</v>
      </c>
      <c r="EO106">
        <f t="shared" si="333"/>
        <v>108526.209</v>
      </c>
      <c r="EP106">
        <f t="shared" si="334"/>
        <v>5.1961322399620763E-3</v>
      </c>
      <c r="EQ106">
        <f t="shared" si="434"/>
        <v>4.1507444519082795E-3</v>
      </c>
      <c r="ER106">
        <f t="shared" si="435"/>
        <v>1.26176191932212E-2</v>
      </c>
      <c r="ES106">
        <f t="shared" si="436"/>
        <v>14.5696282664045</v>
      </c>
      <c r="ET106">
        <f t="shared" si="558"/>
        <v>2.9748146743338415E-6</v>
      </c>
      <c r="EU106">
        <f t="shared" si="528"/>
        <v>3.982565668006173E-2</v>
      </c>
      <c r="EV106">
        <f t="shared" si="437"/>
        <v>4322.1275404226253</v>
      </c>
      <c r="EW106">
        <f t="shared" si="529"/>
        <v>2.585948372391675E-6</v>
      </c>
      <c r="EX106">
        <f t="shared" si="438"/>
        <v>4.3568056194805415E-4</v>
      </c>
      <c r="EY106">
        <f t="shared" si="439"/>
        <v>0.24725711969963432</v>
      </c>
      <c r="FA106">
        <f t="shared" si="440"/>
        <v>22.24097059451093</v>
      </c>
      <c r="FB106">
        <f t="shared" si="441"/>
        <v>0.57599999999999996</v>
      </c>
      <c r="FC106">
        <f t="shared" si="335"/>
        <v>108526.209</v>
      </c>
      <c r="FD106">
        <f t="shared" si="336"/>
        <v>5.1961322399620763E-3</v>
      </c>
      <c r="FE106">
        <f t="shared" si="442"/>
        <v>4.1507444519082795E-3</v>
      </c>
      <c r="FF106">
        <f t="shared" si="443"/>
        <v>1.26176191932212E-2</v>
      </c>
      <c r="FG106">
        <f t="shared" si="444"/>
        <v>14.5696282664045</v>
      </c>
      <c r="FH106">
        <f t="shared" si="559"/>
        <v>2.8918290307727728E-6</v>
      </c>
      <c r="FI106">
        <f t="shared" si="530"/>
        <v>3.8035428780108869E-2</v>
      </c>
      <c r="FJ106">
        <f t="shared" si="445"/>
        <v>4127.8408931947106</v>
      </c>
      <c r="FK106">
        <f t="shared" si="531"/>
        <v>2.5271588166197937E-6</v>
      </c>
      <c r="FL106">
        <f t="shared" si="446"/>
        <v>4.0857159140396875E-4</v>
      </c>
      <c r="FM106">
        <f t="shared" si="447"/>
        <v>0.24035961735087871</v>
      </c>
      <c r="FO106">
        <f t="shared" si="448"/>
        <v>24.138664331243945</v>
      </c>
      <c r="FP106">
        <f t="shared" si="449"/>
        <v>0.57599999999999996</v>
      </c>
      <c r="FQ106">
        <f t="shared" si="337"/>
        <v>108526.209</v>
      </c>
      <c r="FR106">
        <f t="shared" si="338"/>
        <v>5.1961322399620763E-3</v>
      </c>
      <c r="FS106">
        <f t="shared" si="450"/>
        <v>4.1507444519082795E-3</v>
      </c>
      <c r="FT106">
        <f t="shared" si="451"/>
        <v>1.26176191932212E-2</v>
      </c>
      <c r="FU106">
        <f t="shared" si="452"/>
        <v>14.5696282664045</v>
      </c>
      <c r="FV106">
        <f t="shared" si="560"/>
        <v>2.8127305929936601E-6</v>
      </c>
      <c r="FW106">
        <f t="shared" si="532"/>
        <v>3.6350187728796474E-2</v>
      </c>
      <c r="FX106">
        <f t="shared" si="453"/>
        <v>3944.9480706446016</v>
      </c>
      <c r="FY106">
        <f t="shared" si="533"/>
        <v>2.4705389561291672E-6</v>
      </c>
      <c r="FZ106">
        <f t="shared" si="454"/>
        <v>3.8338689646916067E-4</v>
      </c>
      <c r="GA106">
        <f t="shared" si="455"/>
        <v>0.23378520716434037</v>
      </c>
      <c r="GC106">
        <f t="shared" si="456"/>
        <v>26.036358067976959</v>
      </c>
      <c r="GD106">
        <f t="shared" si="457"/>
        <v>0.57599999999999996</v>
      </c>
      <c r="GE106">
        <f t="shared" si="339"/>
        <v>108526.209</v>
      </c>
      <c r="GF106">
        <f t="shared" si="340"/>
        <v>5.1961322399620763E-3</v>
      </c>
      <c r="GG106">
        <f t="shared" si="458"/>
        <v>4.1507444519082795E-3</v>
      </c>
      <c r="GH106">
        <f t="shared" si="459"/>
        <v>1.26176191932212E-2</v>
      </c>
      <c r="GI106">
        <f t="shared" si="460"/>
        <v>14.5696282664045</v>
      </c>
      <c r="GJ106">
        <f t="shared" si="561"/>
        <v>2.7372833381889006E-6</v>
      </c>
      <c r="GK106">
        <f t="shared" si="534"/>
        <v>3.4762617229033392E-2</v>
      </c>
      <c r="GL106">
        <f t="shared" si="461"/>
        <v>3772.6550627850788</v>
      </c>
      <c r="GM106">
        <f t="shared" si="535"/>
        <v>2.4159870969611177E-6</v>
      </c>
      <c r="GN106">
        <f t="shared" si="462"/>
        <v>3.5997597691233397E-4</v>
      </c>
      <c r="GO106">
        <f t="shared" si="463"/>
        <v>0.22751427167608287</v>
      </c>
      <c r="GQ106">
        <f t="shared" si="464"/>
        <v>27.934051804709974</v>
      </c>
      <c r="GR106">
        <f t="shared" si="465"/>
        <v>0.57599999999999996</v>
      </c>
      <c r="GS106">
        <f t="shared" si="341"/>
        <v>108526.209</v>
      </c>
      <c r="GT106">
        <f t="shared" si="342"/>
        <v>5.1961322399620763E-3</v>
      </c>
      <c r="GU106">
        <f t="shared" si="466"/>
        <v>4.1507444519082795E-3</v>
      </c>
      <c r="GV106">
        <f t="shared" si="467"/>
        <v>1.26176191932212E-2</v>
      </c>
      <c r="GW106">
        <f t="shared" si="468"/>
        <v>14.5696282664045</v>
      </c>
      <c r="GX106">
        <f t="shared" si="562"/>
        <v>2.6652681178856856E-6</v>
      </c>
      <c r="GY106">
        <f t="shared" si="536"/>
        <v>3.3265977576693327E-2</v>
      </c>
      <c r="GZ106">
        <f t="shared" si="469"/>
        <v>3610.2304350775335</v>
      </c>
      <c r="HA106">
        <f t="shared" si="537"/>
        <v>2.363407027363014E-6</v>
      </c>
      <c r="HB106">
        <f t="shared" si="470"/>
        <v>3.3820109608965131E-4</v>
      </c>
      <c r="HC106">
        <f t="shared" si="471"/>
        <v>0.22152859596312607</v>
      </c>
      <c r="HE106">
        <f t="shared" si="472"/>
        <v>29.831745541442988</v>
      </c>
      <c r="HF106">
        <f t="shared" si="473"/>
        <v>0.57599999999999996</v>
      </c>
      <c r="HG106">
        <f t="shared" si="343"/>
        <v>108526.209</v>
      </c>
      <c r="HH106">
        <f t="shared" si="344"/>
        <v>5.1961322399620763E-3</v>
      </c>
      <c r="HI106">
        <f t="shared" si="568"/>
        <v>4.1507444519082795E-3</v>
      </c>
      <c r="HJ106">
        <f t="shared" si="474"/>
        <v>1.26176191932212E-2</v>
      </c>
      <c r="HK106">
        <f t="shared" si="475"/>
        <v>14.5696282664045</v>
      </c>
      <c r="HL106">
        <f t="shared" si="563"/>
        <v>2.5964813042403621E-6</v>
      </c>
      <c r="HM106">
        <f t="shared" si="538"/>
        <v>3.1854055855824653E-2</v>
      </c>
      <c r="HN106">
        <f t="shared" si="476"/>
        <v>3456.9999233069002</v>
      </c>
      <c r="HO106">
        <f t="shared" si="539"/>
        <v>2.3127076978056691E-6</v>
      </c>
      <c r="HP106">
        <f t="shared" si="477"/>
        <v>3.1793612277538095E-4</v>
      </c>
      <c r="HQ106">
        <f t="shared" si="478"/>
        <v>0.21581125512774552</v>
      </c>
      <c r="HS106">
        <f t="shared" si="479"/>
        <v>31.729439278175999</v>
      </c>
      <c r="HT106">
        <f t="shared" si="480"/>
        <v>0.57599999999999996</v>
      </c>
      <c r="HU106">
        <f t="shared" si="345"/>
        <v>108526.209</v>
      </c>
      <c r="HV106">
        <f t="shared" si="346"/>
        <v>5.1961322399620763E-3</v>
      </c>
      <c r="HW106">
        <f t="shared" si="569"/>
        <v>4.1507444519082795E-3</v>
      </c>
      <c r="HX106">
        <f t="shared" si="481"/>
        <v>1.26176191932212E-2</v>
      </c>
      <c r="HY106">
        <f t="shared" si="482"/>
        <v>14.5696282664045</v>
      </c>
      <c r="HZ106">
        <f t="shared" si="564"/>
        <v>2.5307335546896887E-6</v>
      </c>
      <c r="IA106">
        <f t="shared" si="540"/>
        <v>3.0521120746478406E-2</v>
      </c>
      <c r="IB106">
        <f t="shared" si="483"/>
        <v>3312.3415290465514</v>
      </c>
      <c r="IC106">
        <f t="shared" si="541"/>
        <v>2.2638029202703367E-6</v>
      </c>
      <c r="ID106">
        <f t="shared" si="484"/>
        <v>2.9906548400861406E-4</v>
      </c>
      <c r="IE106">
        <f t="shared" si="485"/>
        <v>0.21034651161921997</v>
      </c>
      <c r="IG106">
        <f t="shared" si="486"/>
        <v>33.627133014909013</v>
      </c>
      <c r="IH106">
        <f t="shared" si="487"/>
        <v>0.57599999999999996</v>
      </c>
      <c r="II106">
        <f t="shared" si="347"/>
        <v>108526.209</v>
      </c>
      <c r="IJ106">
        <f t="shared" si="348"/>
        <v>5.1961322399620763E-3</v>
      </c>
      <c r="IK106">
        <f t="shared" si="570"/>
        <v>4.1507444519082795E-3</v>
      </c>
      <c r="IL106">
        <f t="shared" si="488"/>
        <v>1.26176191932212E-2</v>
      </c>
      <c r="IM106">
        <f t="shared" si="489"/>
        <v>14.5696282664045</v>
      </c>
      <c r="IN106">
        <f t="shared" si="565"/>
        <v>2.467848683906374E-6</v>
      </c>
      <c r="IO106">
        <f t="shared" si="542"/>
        <v>2.9261881494698872E-2</v>
      </c>
      <c r="IP106">
        <f t="shared" si="490"/>
        <v>3175.6810668269222</v>
      </c>
      <c r="IQ106">
        <f t="shared" si="543"/>
        <v>2.2166110856670672E-6</v>
      </c>
      <c r="IR106">
        <f t="shared" si="491"/>
        <v>2.8148321784812253E-4</v>
      </c>
      <c r="IS106">
        <f t="shared" si="492"/>
        <v>0.20511972147436902</v>
      </c>
      <c r="IU106">
        <f t="shared" si="493"/>
        <v>35.524826751642031</v>
      </c>
      <c r="IV106">
        <f t="shared" si="494"/>
        <v>0.57599999999999996</v>
      </c>
      <c r="IW106">
        <f t="shared" si="349"/>
        <v>108526.209</v>
      </c>
      <c r="IX106">
        <f t="shared" si="350"/>
        <v>5.1961322399620763E-3</v>
      </c>
      <c r="IY106">
        <f t="shared" si="571"/>
        <v>4.1507444519082795E-3</v>
      </c>
      <c r="IZ106">
        <f t="shared" si="495"/>
        <v>1.26176191932212E-2</v>
      </c>
      <c r="JA106">
        <f t="shared" si="496"/>
        <v>14.5696282664045</v>
      </c>
      <c r="JB106">
        <f t="shared" si="566"/>
        <v>2.4076626330918316E-6</v>
      </c>
      <c r="JC106">
        <f t="shared" si="544"/>
        <v>2.8071450639982724E-2</v>
      </c>
      <c r="JD106">
        <f t="shared" si="497"/>
        <v>3046.4881190879491</v>
      </c>
      <c r="JE106">
        <f t="shared" si="545"/>
        <v>2.1710548983074339E-6</v>
      </c>
      <c r="JF106">
        <f t="shared" si="498"/>
        <v>2.6509211607503541E-4</v>
      </c>
      <c r="JG106">
        <f t="shared" si="499"/>
        <v>0.20011724864845021</v>
      </c>
      <c r="JI106">
        <f t="shared" si="500"/>
        <v>37.422520488375042</v>
      </c>
      <c r="JJ106">
        <f t="shared" si="501"/>
        <v>0.57599999999999996</v>
      </c>
      <c r="JK106">
        <f t="shared" si="351"/>
        <v>108526.209</v>
      </c>
      <c r="JL106">
        <f t="shared" si="352"/>
        <v>5.1961322399620763E-3</v>
      </c>
      <c r="JM106">
        <f t="shared" si="572"/>
        <v>4.1507444519082795E-3</v>
      </c>
      <c r="JN106">
        <f t="shared" si="502"/>
        <v>1.26176191932212E-2</v>
      </c>
      <c r="JO106">
        <f t="shared" si="503"/>
        <v>14.5696282664045</v>
      </c>
      <c r="JP106">
        <f t="shared" si="567"/>
        <v>2.3500225276137546E-6</v>
      </c>
      <c r="JQ106">
        <f t="shared" si="546"/>
        <v>2.6945310136493105E-2</v>
      </c>
      <c r="JR106">
        <f t="shared" si="504"/>
        <v>2924.2723594428694</v>
      </c>
      <c r="JS106">
        <f t="shared" si="547"/>
        <v>2.1270611264133044E-6</v>
      </c>
      <c r="JT106">
        <f t="shared" si="505"/>
        <v>2.4980294790929124E-4</v>
      </c>
      <c r="JU106">
        <f t="shared" si="506"/>
        <v>0.19532638668899591</v>
      </c>
    </row>
    <row r="107" spans="2:281">
      <c r="B107">
        <v>0.73</v>
      </c>
      <c r="C107">
        <f t="shared" si="353"/>
        <v>1.3853164278151004</v>
      </c>
      <c r="D107">
        <f t="shared" si="354"/>
        <v>0.58399999999999996</v>
      </c>
      <c r="E107">
        <f t="shared" si="313"/>
        <v>108341.781</v>
      </c>
      <c r="F107">
        <f t="shared" si="314"/>
        <v>5.1990789917746496E-3</v>
      </c>
      <c r="G107">
        <f t="shared" si="355"/>
        <v>4.1495679986018209E-3</v>
      </c>
      <c r="H107">
        <f t="shared" si="356"/>
        <v>1.2639097908552336E-2</v>
      </c>
      <c r="I107">
        <f t="shared" si="357"/>
        <v>14.586157965918634</v>
      </c>
      <c r="J107">
        <f t="shared" si="548"/>
        <v>4.0850408899132983E-6</v>
      </c>
      <c r="K107">
        <f t="shared" si="507"/>
        <v>6.6114870401307854E-2</v>
      </c>
      <c r="L107">
        <f t="shared" si="358"/>
        <v>7163.0028098618777</v>
      </c>
      <c r="M107">
        <f t="shared" si="508"/>
        <v>3.3290369974524173E-6</v>
      </c>
      <c r="N107">
        <f t="shared" si="509"/>
        <v>8.477371915202609E-4</v>
      </c>
      <c r="O107">
        <f t="shared" si="359"/>
        <v>0.33953558620298846</v>
      </c>
      <c r="Q107">
        <f t="shared" si="360"/>
        <v>3.2830101645481151</v>
      </c>
      <c r="R107">
        <f t="shared" si="361"/>
        <v>0.58399999999999996</v>
      </c>
      <c r="S107">
        <f t="shared" si="315"/>
        <v>108341.781</v>
      </c>
      <c r="T107">
        <f t="shared" si="316"/>
        <v>5.1990789917746496E-3</v>
      </c>
      <c r="U107">
        <f t="shared" si="362"/>
        <v>4.1495679986018209E-3</v>
      </c>
      <c r="V107">
        <f t="shared" si="363"/>
        <v>1.2639097908552336E-2</v>
      </c>
      <c r="W107">
        <f t="shared" si="364"/>
        <v>14.586157965918634</v>
      </c>
      <c r="X107">
        <f t="shared" si="549"/>
        <v>3.9452735829508041E-6</v>
      </c>
      <c r="Y107">
        <f t="shared" si="510"/>
        <v>6.2666257442565168E-2</v>
      </c>
      <c r="Z107">
        <f t="shared" si="365"/>
        <v>6789.3739399320157</v>
      </c>
      <c r="AA107">
        <f t="shared" si="511"/>
        <v>3.2410514517263413E-6</v>
      </c>
      <c r="AB107">
        <f t="shared" si="366"/>
        <v>7.8967224598189474E-4</v>
      </c>
      <c r="AC107">
        <f t="shared" si="367"/>
        <v>0.3279185728656922</v>
      </c>
      <c r="AE107">
        <f t="shared" si="368"/>
        <v>5.1807039012811291</v>
      </c>
      <c r="AF107">
        <f t="shared" si="369"/>
        <v>0.58399999999999996</v>
      </c>
      <c r="AG107">
        <f t="shared" si="317"/>
        <v>108341.781</v>
      </c>
      <c r="AH107">
        <f t="shared" si="318"/>
        <v>5.1990789917746496E-3</v>
      </c>
      <c r="AI107">
        <f t="shared" si="370"/>
        <v>4.1495679986018209E-3</v>
      </c>
      <c r="AJ107">
        <f t="shared" si="371"/>
        <v>1.2639097908552336E-2</v>
      </c>
      <c r="AK107">
        <f t="shared" si="372"/>
        <v>14.586157965918634</v>
      </c>
      <c r="AL107">
        <f t="shared" si="550"/>
        <v>3.8130888172482272E-6</v>
      </c>
      <c r="AM107">
        <f t="shared" si="512"/>
        <v>5.9445381170630279E-2</v>
      </c>
      <c r="AN107">
        <f t="shared" si="373"/>
        <v>6440.4184682499499</v>
      </c>
      <c r="AO107">
        <f t="shared" si="513"/>
        <v>3.1566621605439215E-6</v>
      </c>
      <c r="AP107">
        <f t="shared" si="374"/>
        <v>7.3607728206549837E-4</v>
      </c>
      <c r="AQ107">
        <f t="shared" si="375"/>
        <v>0.31693179620434969</v>
      </c>
      <c r="AS107">
        <f t="shared" si="376"/>
        <v>7.0783976380141436</v>
      </c>
      <c r="AT107">
        <f t="shared" si="377"/>
        <v>0.58399999999999996</v>
      </c>
      <c r="AU107">
        <f t="shared" si="319"/>
        <v>108341.781</v>
      </c>
      <c r="AV107">
        <f t="shared" si="320"/>
        <v>5.1990789917746496E-3</v>
      </c>
      <c r="AW107">
        <f t="shared" si="378"/>
        <v>4.1495679986018209E-3</v>
      </c>
      <c r="AX107">
        <f t="shared" si="379"/>
        <v>1.2639097908552336E-2</v>
      </c>
      <c r="AY107">
        <f t="shared" si="380"/>
        <v>14.586157965918634</v>
      </c>
      <c r="AZ107">
        <f t="shared" si="551"/>
        <v>3.6879709205094256E-6</v>
      </c>
      <c r="BA107">
        <f t="shared" si="514"/>
        <v>5.6434757274442651E-2</v>
      </c>
      <c r="BB107">
        <f t="shared" si="381"/>
        <v>6114.242113415823</v>
      </c>
      <c r="BC107">
        <f t="shared" si="515"/>
        <v>3.0756886995753309E-6</v>
      </c>
      <c r="BD107">
        <f t="shared" si="382"/>
        <v>6.8657637291108997E-4</v>
      </c>
      <c r="BE107">
        <f t="shared" si="383"/>
        <v>0.30653239518033804</v>
      </c>
      <c r="BG107">
        <f t="shared" si="384"/>
        <v>8.9760913747471598</v>
      </c>
      <c r="BH107">
        <f t="shared" si="385"/>
        <v>0.58399999999999996</v>
      </c>
      <c r="BI107">
        <f t="shared" si="321"/>
        <v>108341.781</v>
      </c>
      <c r="BJ107">
        <f t="shared" si="322"/>
        <v>5.1990789917746496E-3</v>
      </c>
      <c r="BK107">
        <f t="shared" si="386"/>
        <v>4.1495679986018209E-3</v>
      </c>
      <c r="BL107">
        <f t="shared" si="387"/>
        <v>1.2639097908552336E-2</v>
      </c>
      <c r="BM107">
        <f t="shared" si="388"/>
        <v>14.586157965918634</v>
      </c>
      <c r="BN107">
        <f t="shared" si="552"/>
        <v>3.5694446120419092E-6</v>
      </c>
      <c r="BO107">
        <f t="shared" si="516"/>
        <v>5.3618392820156138E-2</v>
      </c>
      <c r="BP107">
        <f t="shared" si="389"/>
        <v>5809.1121724933291</v>
      </c>
      <c r="BQ107">
        <f t="shared" si="517"/>
        <v>2.9979607476030963E-6</v>
      </c>
      <c r="BR107">
        <f t="shared" si="390"/>
        <v>6.4082755534697637E-4</v>
      </c>
      <c r="BS107">
        <f t="shared" si="391"/>
        <v>0.29668086597646542</v>
      </c>
      <c r="BU107">
        <f t="shared" si="392"/>
        <v>10.873785111480174</v>
      </c>
      <c r="BV107">
        <f t="shared" si="393"/>
        <v>0.58399999999999996</v>
      </c>
      <c r="BW107">
        <f t="shared" si="323"/>
        <v>108341.781</v>
      </c>
      <c r="BX107">
        <f t="shared" si="324"/>
        <v>5.1990789917746496E-3</v>
      </c>
      <c r="BY107">
        <f t="shared" si="394"/>
        <v>4.1495679986018209E-3</v>
      </c>
      <c r="BZ107">
        <f t="shared" si="395"/>
        <v>1.2639097908552336E-2</v>
      </c>
      <c r="CA107">
        <f t="shared" si="396"/>
        <v>14.586157965918634</v>
      </c>
      <c r="CB107">
        <f t="shared" si="553"/>
        <v>3.4570715116586753E-6</v>
      </c>
      <c r="CC107">
        <f t="shared" si="518"/>
        <v>5.0981648936184454E-2</v>
      </c>
      <c r="CD107">
        <f t="shared" si="397"/>
        <v>5523.4426440629795</v>
      </c>
      <c r="CE107">
        <f t="shared" si="519"/>
        <v>2.9233174923922495E-6</v>
      </c>
      <c r="CF107">
        <f t="shared" si="398"/>
        <v>5.9851958140411891E-4</v>
      </c>
      <c r="CG107">
        <f t="shared" si="399"/>
        <v>0.28734077182801288</v>
      </c>
      <c r="CI107">
        <f t="shared" si="400"/>
        <v>12.771478848213189</v>
      </c>
      <c r="CJ107">
        <f t="shared" si="401"/>
        <v>0.58399999999999996</v>
      </c>
      <c r="CK107">
        <f t="shared" si="325"/>
        <v>108341.781</v>
      </c>
      <c r="CL107">
        <f t="shared" si="326"/>
        <v>5.1990789917746496E-3</v>
      </c>
      <c r="CM107">
        <f t="shared" si="402"/>
        <v>4.1495679986018209E-3</v>
      </c>
      <c r="CN107">
        <f t="shared" si="403"/>
        <v>1.2639097908552336E-2</v>
      </c>
      <c r="CO107">
        <f t="shared" si="404"/>
        <v>14.586157965918634</v>
      </c>
      <c r="CP107">
        <f t="shared" si="554"/>
        <v>3.3504469728060699E-6</v>
      </c>
      <c r="CQ107">
        <f t="shared" si="520"/>
        <v>4.8511116868524697E-2</v>
      </c>
      <c r="CR107">
        <f t="shared" si="405"/>
        <v>5255.7807998351082</v>
      </c>
      <c r="CS107">
        <f t="shared" si="521"/>
        <v>2.8516070713533858E-6</v>
      </c>
      <c r="CT107">
        <f t="shared" si="406"/>
        <v>5.5936899438335113E-4</v>
      </c>
      <c r="CU107">
        <f t="shared" si="407"/>
        <v>0.27847847980240942</v>
      </c>
      <c r="CW107">
        <f t="shared" si="408"/>
        <v>14.669172584946203</v>
      </c>
      <c r="CX107">
        <f t="shared" si="409"/>
        <v>0.58399999999999996</v>
      </c>
      <c r="CY107">
        <f t="shared" si="327"/>
        <v>108341.781</v>
      </c>
      <c r="CZ107">
        <f t="shared" si="328"/>
        <v>5.1990789917746496E-3</v>
      </c>
      <c r="DA107">
        <f t="shared" si="410"/>
        <v>4.1495679986018209E-3</v>
      </c>
      <c r="DB107">
        <f t="shared" si="411"/>
        <v>1.2639097908552336E-2</v>
      </c>
      <c r="DC107">
        <f t="shared" si="412"/>
        <v>14.586157965918634</v>
      </c>
      <c r="DD107">
        <f t="shared" si="555"/>
        <v>3.249197208168348E-6</v>
      </c>
      <c r="DE107">
        <f t="shared" si="522"/>
        <v>4.6194506051182499E-2</v>
      </c>
      <c r="DF107">
        <f t="shared" si="413"/>
        <v>5004.795058000389</v>
      </c>
      <c r="DG107">
        <f t="shared" si="523"/>
        <v>2.7826860450929921E-6</v>
      </c>
      <c r="DH107">
        <f t="shared" si="414"/>
        <v>5.2311749601053345E-4</v>
      </c>
      <c r="DI107">
        <f t="shared" si="415"/>
        <v>0.27006292188863951</v>
      </c>
      <c r="DK107">
        <f t="shared" si="416"/>
        <v>16.566866321679218</v>
      </c>
      <c r="DL107">
        <f t="shared" si="417"/>
        <v>0.58399999999999996</v>
      </c>
      <c r="DM107">
        <f t="shared" si="329"/>
        <v>108341.781</v>
      </c>
      <c r="DN107">
        <f t="shared" si="330"/>
        <v>5.1990789917746496E-3</v>
      </c>
      <c r="DO107">
        <f t="shared" si="418"/>
        <v>4.1495679986018209E-3</v>
      </c>
      <c r="DP107">
        <f t="shared" si="419"/>
        <v>1.2639097908552336E-2</v>
      </c>
      <c r="DQ107">
        <f t="shared" si="420"/>
        <v>14.586157965918634</v>
      </c>
      <c r="DR107">
        <f t="shared" si="556"/>
        <v>3.1529766792296123E-6</v>
      </c>
      <c r="DS107">
        <f t="shared" si="524"/>
        <v>4.402054297766092E-2</v>
      </c>
      <c r="DT107">
        <f t="shared" si="421"/>
        <v>4769.2640267868273</v>
      </c>
      <c r="DU107">
        <f t="shared" si="525"/>
        <v>2.7164189020338086E-6</v>
      </c>
      <c r="DV107">
        <f t="shared" si="422"/>
        <v>4.8952957473753799E-4</v>
      </c>
      <c r="DW107">
        <f t="shared" si="423"/>
        <v>0.26206537802594676</v>
      </c>
      <c r="DY107">
        <f t="shared" si="424"/>
        <v>18.464560058412232</v>
      </c>
      <c r="DZ107">
        <f t="shared" si="425"/>
        <v>0.58399999999999996</v>
      </c>
      <c r="EA107">
        <f t="shared" si="331"/>
        <v>108341.781</v>
      </c>
      <c r="EB107">
        <f t="shared" si="332"/>
        <v>5.1990789917746496E-3</v>
      </c>
      <c r="EC107">
        <f t="shared" si="426"/>
        <v>4.1495679986018209E-3</v>
      </c>
      <c r="ED107">
        <f t="shared" si="427"/>
        <v>1.2639097908552336E-2</v>
      </c>
      <c r="EE107">
        <f t="shared" si="428"/>
        <v>14.586157965918634</v>
      </c>
      <c r="EF107">
        <f t="shared" si="557"/>
        <v>3.0614657241665457E-6</v>
      </c>
      <c r="EG107">
        <f t="shared" si="526"/>
        <v>4.1978879785675272E-2</v>
      </c>
      <c r="EH107">
        <f t="shared" si="429"/>
        <v>4548.0666003649576</v>
      </c>
      <c r="EI107">
        <f t="shared" si="527"/>
        <v>2.6526775923734446E-6</v>
      </c>
      <c r="EJ107">
        <f t="shared" si="430"/>
        <v>4.5839036839486857E-4</v>
      </c>
      <c r="EK107">
        <f t="shared" si="431"/>
        <v>0.25445927894183373</v>
      </c>
      <c r="EM107">
        <f t="shared" si="432"/>
        <v>20.362253795145246</v>
      </c>
      <c r="EN107">
        <f t="shared" si="433"/>
        <v>0.58399999999999996</v>
      </c>
      <c r="EO107">
        <f t="shared" si="333"/>
        <v>108341.781</v>
      </c>
      <c r="EP107">
        <f t="shared" si="334"/>
        <v>5.1990789917746496E-3</v>
      </c>
      <c r="EQ107">
        <f t="shared" si="434"/>
        <v>4.1495679986018209E-3</v>
      </c>
      <c r="ER107">
        <f t="shared" si="435"/>
        <v>1.2639097908552336E-2</v>
      </c>
      <c r="ES107">
        <f t="shared" si="436"/>
        <v>14.586157965918634</v>
      </c>
      <c r="ET107">
        <f t="shared" si="558"/>
        <v>2.9743684010366713E-6</v>
      </c>
      <c r="EU107">
        <f t="shared" si="528"/>
        <v>4.0060011580113179E-2</v>
      </c>
      <c r="EV107">
        <f t="shared" si="437"/>
        <v>4340.1730014700861</v>
      </c>
      <c r="EW107">
        <f t="shared" si="529"/>
        <v>2.5913410897322752E-6</v>
      </c>
      <c r="EX107">
        <f t="shared" si="438"/>
        <v>4.2950373721461658E-4</v>
      </c>
      <c r="EY107">
        <f t="shared" si="439"/>
        <v>0.24722002688474096</v>
      </c>
      <c r="FA107">
        <f t="shared" si="440"/>
        <v>22.259947531878261</v>
      </c>
      <c r="FB107">
        <f t="shared" si="441"/>
        <v>0.58399999999999996</v>
      </c>
      <c r="FC107">
        <f t="shared" si="335"/>
        <v>108341.781</v>
      </c>
      <c r="FD107">
        <f t="shared" si="336"/>
        <v>5.1990789917746496E-3</v>
      </c>
      <c r="FE107">
        <f t="shared" si="442"/>
        <v>4.1495679986018209E-3</v>
      </c>
      <c r="FF107">
        <f t="shared" si="443"/>
        <v>1.2639097908552336E-2</v>
      </c>
      <c r="FG107">
        <f t="shared" si="444"/>
        <v>14.586157965918634</v>
      </c>
      <c r="FH107">
        <f t="shared" si="559"/>
        <v>2.8914105255486456E-6</v>
      </c>
      <c r="FI107">
        <f t="shared" si="530"/>
        <v>3.8255201620189701E-2</v>
      </c>
      <c r="FJ107">
        <f t="shared" si="445"/>
        <v>4144.6366760454375</v>
      </c>
      <c r="FK107">
        <f t="shared" si="531"/>
        <v>2.5322949789215779E-6</v>
      </c>
      <c r="FL107">
        <f t="shared" si="446"/>
        <v>4.0269052575631623E-4</v>
      </c>
      <c r="FM107">
        <f t="shared" si="447"/>
        <v>0.24032483252976372</v>
      </c>
      <c r="FO107">
        <f t="shared" si="448"/>
        <v>24.157641268611275</v>
      </c>
      <c r="FP107">
        <f t="shared" si="449"/>
        <v>0.58399999999999996</v>
      </c>
      <c r="FQ107">
        <f t="shared" si="337"/>
        <v>108341.781</v>
      </c>
      <c r="FR107">
        <f t="shared" si="338"/>
        <v>5.1990789917746496E-3</v>
      </c>
      <c r="FS107">
        <f t="shared" si="450"/>
        <v>4.1495679986018209E-3</v>
      </c>
      <c r="FT107">
        <f t="shared" si="451"/>
        <v>1.2639097908552336E-2</v>
      </c>
      <c r="FU107">
        <f t="shared" si="452"/>
        <v>14.586157965918634</v>
      </c>
      <c r="FV107">
        <f t="shared" si="560"/>
        <v>2.812337884781905E-6</v>
      </c>
      <c r="FW107">
        <f t="shared" si="532"/>
        <v>3.6556413587029227E-2</v>
      </c>
      <c r="FX107">
        <f t="shared" si="453"/>
        <v>3960.586954991345</v>
      </c>
      <c r="FY107">
        <f t="shared" si="533"/>
        <v>2.4754310683403193E-6</v>
      </c>
      <c r="FZ107">
        <f t="shared" si="454"/>
        <v>3.7778699451471479E-4</v>
      </c>
      <c r="GA107">
        <f t="shared" si="455"/>
        <v>0.23375256650871945</v>
      </c>
      <c r="GC107">
        <f t="shared" si="456"/>
        <v>26.05533500534429</v>
      </c>
      <c r="GD107">
        <f t="shared" si="457"/>
        <v>0.58399999999999996</v>
      </c>
      <c r="GE107">
        <f t="shared" si="339"/>
        <v>108341.781</v>
      </c>
      <c r="GF107">
        <f t="shared" si="340"/>
        <v>5.1990789917746496E-3</v>
      </c>
      <c r="GG107">
        <f t="shared" si="458"/>
        <v>4.1495679986018209E-3</v>
      </c>
      <c r="GH107">
        <f t="shared" si="459"/>
        <v>1.2639097908552336E-2</v>
      </c>
      <c r="GI107">
        <f t="shared" si="460"/>
        <v>14.586157965918634</v>
      </c>
      <c r="GJ107">
        <f t="shared" si="561"/>
        <v>2.736914610088201E-6</v>
      </c>
      <c r="GK107">
        <f t="shared" si="534"/>
        <v>3.4956250228662764E-2</v>
      </c>
      <c r="GL107">
        <f t="shared" si="461"/>
        <v>3787.2224068549813</v>
      </c>
      <c r="GM107">
        <f t="shared" si="535"/>
        <v>2.4206470255835714E-6</v>
      </c>
      <c r="GN107">
        <f t="shared" si="462"/>
        <v>3.5464340399639517E-4</v>
      </c>
      <c r="GO107">
        <f t="shared" si="463"/>
        <v>0.2274836241709062</v>
      </c>
      <c r="GQ107">
        <f t="shared" si="464"/>
        <v>27.953028742077304</v>
      </c>
      <c r="GR107">
        <f t="shared" si="465"/>
        <v>0.58399999999999996</v>
      </c>
      <c r="GS107">
        <f t="shared" si="341"/>
        <v>108341.781</v>
      </c>
      <c r="GT107">
        <f t="shared" si="342"/>
        <v>5.1990789917746496E-3</v>
      </c>
      <c r="GU107">
        <f t="shared" si="466"/>
        <v>4.1495679986018209E-3</v>
      </c>
      <c r="GV107">
        <f t="shared" si="467"/>
        <v>1.2639097908552336E-2</v>
      </c>
      <c r="GW107">
        <f t="shared" si="468"/>
        <v>14.586157965918634</v>
      </c>
      <c r="GX107">
        <f t="shared" si="562"/>
        <v>2.6649216940801715E-6</v>
      </c>
      <c r="GY107">
        <f t="shared" si="536"/>
        <v>3.3447897751688029E-2</v>
      </c>
      <c r="GZ107">
        <f t="shared" si="469"/>
        <v>3623.804813123777</v>
      </c>
      <c r="HA107">
        <f t="shared" si="537"/>
        <v>2.3678460349176547E-6</v>
      </c>
      <c r="HB107">
        <f t="shared" si="470"/>
        <v>3.3312273584688417E-4</v>
      </c>
      <c r="HC107">
        <f t="shared" si="471"/>
        <v>0.2214998023199167</v>
      </c>
      <c r="HE107">
        <f t="shared" si="472"/>
        <v>29.850722478810319</v>
      </c>
      <c r="HF107">
        <f t="shared" si="473"/>
        <v>0.58399999999999996</v>
      </c>
      <c r="HG107">
        <f t="shared" si="343"/>
        <v>108341.781</v>
      </c>
      <c r="HH107">
        <f t="shared" si="344"/>
        <v>5.1990789917746496E-3</v>
      </c>
      <c r="HI107">
        <f t="shared" si="568"/>
        <v>4.1495679986018209E-3</v>
      </c>
      <c r="HJ107">
        <f t="shared" si="474"/>
        <v>1.2639097908552336E-2</v>
      </c>
      <c r="HK107">
        <f t="shared" si="475"/>
        <v>14.586157965918634</v>
      </c>
      <c r="HL107">
        <f t="shared" si="563"/>
        <v>2.5961556381120269E-6</v>
      </c>
      <c r="HM107">
        <f t="shared" si="538"/>
        <v>3.2025075393493752E-2</v>
      </c>
      <c r="HN107">
        <f t="shared" si="476"/>
        <v>3469.6537047903889</v>
      </c>
      <c r="HO107">
        <f t="shared" si="539"/>
        <v>2.3169364753464213E-6</v>
      </c>
      <c r="HP107">
        <f t="shared" si="477"/>
        <v>3.1309953721409082E-4</v>
      </c>
      <c r="HQ107">
        <f t="shared" si="478"/>
        <v>0.21578418679654135</v>
      </c>
      <c r="HS107">
        <f t="shared" si="479"/>
        <v>31.748416215543333</v>
      </c>
      <c r="HT107">
        <f t="shared" si="480"/>
        <v>0.58399999999999996</v>
      </c>
      <c r="HU107">
        <f t="shared" si="345"/>
        <v>108341.781</v>
      </c>
      <c r="HV107">
        <f t="shared" si="346"/>
        <v>5.1990789917746496E-3</v>
      </c>
      <c r="HW107">
        <f t="shared" si="569"/>
        <v>4.1495679986018209E-3</v>
      </c>
      <c r="HX107">
        <f t="shared" si="481"/>
        <v>1.2639097908552336E-2</v>
      </c>
      <c r="HY107">
        <f t="shared" si="482"/>
        <v>14.586157965918634</v>
      </c>
      <c r="HZ107">
        <f t="shared" si="564"/>
        <v>2.530427218003421E-6</v>
      </c>
      <c r="IA107">
        <f t="shared" si="540"/>
        <v>3.0681989666818364E-2</v>
      </c>
      <c r="IB107">
        <f t="shared" si="483"/>
        <v>3324.1414051266984</v>
      </c>
      <c r="IC107">
        <f t="shared" si="541"/>
        <v>2.2678316180599181E-6</v>
      </c>
      <c r="ID107">
        <f t="shared" si="484"/>
        <v>2.9445887596829014E-4</v>
      </c>
      <c r="IE107">
        <f t="shared" si="485"/>
        <v>0.21032104988966807</v>
      </c>
      <c r="IG107">
        <f t="shared" si="486"/>
        <v>33.646109952276348</v>
      </c>
      <c r="IH107">
        <f t="shared" si="487"/>
        <v>0.58399999999999996</v>
      </c>
      <c r="II107">
        <f t="shared" si="347"/>
        <v>108341.781</v>
      </c>
      <c r="IJ107">
        <f t="shared" si="348"/>
        <v>5.1990789917746496E-3</v>
      </c>
      <c r="IK107">
        <f t="shared" si="570"/>
        <v>4.1495679986018209E-3</v>
      </c>
      <c r="IL107">
        <f t="shared" si="488"/>
        <v>1.2639097908552336E-2</v>
      </c>
      <c r="IM107">
        <f t="shared" si="489"/>
        <v>14.586157965918634</v>
      </c>
      <c r="IN107">
        <f t="shared" si="565"/>
        <v>2.4675603569652648E-6</v>
      </c>
      <c r="IO107">
        <f t="shared" si="542"/>
        <v>2.9413292820212249E-2</v>
      </c>
      <c r="IP107">
        <f t="shared" si="490"/>
        <v>3186.6885292163079</v>
      </c>
      <c r="IQ107">
        <f t="shared" si="543"/>
        <v>2.220449342120792E-6</v>
      </c>
      <c r="IR107">
        <f t="shared" si="491"/>
        <v>2.7709539568119965E-4</v>
      </c>
      <c r="IS107">
        <f t="shared" si="492"/>
        <v>0.20509575665746613</v>
      </c>
      <c r="IU107">
        <f t="shared" si="493"/>
        <v>35.543803689009358</v>
      </c>
      <c r="IV107">
        <f t="shared" si="494"/>
        <v>0.58399999999999996</v>
      </c>
      <c r="IW107">
        <f t="shared" si="349"/>
        <v>108341.781</v>
      </c>
      <c r="IX107">
        <f t="shared" si="350"/>
        <v>5.1990789917746496E-3</v>
      </c>
      <c r="IY107">
        <f t="shared" si="571"/>
        <v>4.1495679986018209E-3</v>
      </c>
      <c r="IZ107">
        <f t="shared" si="495"/>
        <v>1.2639097908552336E-2</v>
      </c>
      <c r="JA107">
        <f t="shared" si="496"/>
        <v>14.586157965918634</v>
      </c>
      <c r="JB107">
        <f t="shared" si="566"/>
        <v>2.4073910957706217E-6</v>
      </c>
      <c r="JC107">
        <f t="shared" si="544"/>
        <v>2.8214045104352211E-2</v>
      </c>
      <c r="JD107">
        <f t="shared" si="497"/>
        <v>3056.7598958198496</v>
      </c>
      <c r="JE107">
        <f t="shared" si="545"/>
        <v>2.1747118673054207E-6</v>
      </c>
      <c r="JF107">
        <f t="shared" si="498"/>
        <v>2.6091246041355176E-4</v>
      </c>
      <c r="JG107">
        <f t="shared" si="499"/>
        <v>0.20009467933127137</v>
      </c>
      <c r="JI107">
        <f t="shared" si="500"/>
        <v>37.441497425742376</v>
      </c>
      <c r="JJ107">
        <f t="shared" si="501"/>
        <v>0.58399999999999996</v>
      </c>
      <c r="JK107">
        <f t="shared" si="351"/>
        <v>108341.781</v>
      </c>
      <c r="JL107">
        <f t="shared" si="352"/>
        <v>5.1990789917746496E-3</v>
      </c>
      <c r="JM107">
        <f t="shared" si="572"/>
        <v>4.1495679986018209E-3</v>
      </c>
      <c r="JN107">
        <f t="shared" si="502"/>
        <v>1.2639097908552336E-2</v>
      </c>
      <c r="JO107">
        <f t="shared" si="503"/>
        <v>14.586157965918634</v>
      </c>
      <c r="JP107">
        <f t="shared" si="567"/>
        <v>2.3497666511874393E-6</v>
      </c>
      <c r="JQ107">
        <f t="shared" si="546"/>
        <v>2.7079680475688612E-2</v>
      </c>
      <c r="JR107">
        <f t="shared" si="504"/>
        <v>2933.8608116470314</v>
      </c>
      <c r="JS107">
        <f t="shared" si="547"/>
        <v>2.130545503075705E-6</v>
      </c>
      <c r="JT107">
        <f t="shared" si="505"/>
        <v>2.4582138038621939E-4</v>
      </c>
      <c r="JU107">
        <f t="shared" si="506"/>
        <v>0.19530511905551418</v>
      </c>
    </row>
    <row r="108" spans="2:281">
      <c r="B108">
        <v>0.74</v>
      </c>
      <c r="C108">
        <f t="shared" si="353"/>
        <v>1.4042933651824308</v>
      </c>
      <c r="D108">
        <f t="shared" si="354"/>
        <v>0.59200000000000008</v>
      </c>
      <c r="E108">
        <f t="shared" si="313"/>
        <v>108157.353</v>
      </c>
      <c r="F108">
        <f t="shared" si="314"/>
        <v>5.202032439449087E-3</v>
      </c>
      <c r="G108">
        <f t="shared" si="355"/>
        <v>4.1483898752329327E-3</v>
      </c>
      <c r="H108">
        <f t="shared" si="356"/>
        <v>1.2660649874132323E-2</v>
      </c>
      <c r="I108">
        <f t="shared" si="357"/>
        <v>14.602734629013343</v>
      </c>
      <c r="J108">
        <f t="shared" si="548"/>
        <v>4.0841725416218298E-6</v>
      </c>
      <c r="K108">
        <f t="shared" si="507"/>
        <v>6.6570872762074892E-2</v>
      </c>
      <c r="L108">
        <f t="shared" si="358"/>
        <v>7200.129384845819</v>
      </c>
      <c r="M108">
        <f t="shared" si="508"/>
        <v>3.337653216540462E-6</v>
      </c>
      <c r="N108">
        <f t="shared" si="509"/>
        <v>8.3781517096487854E-4</v>
      </c>
      <c r="O108">
        <f t="shared" si="359"/>
        <v>0.33946341185905471</v>
      </c>
      <c r="Q108">
        <f t="shared" si="360"/>
        <v>3.301987101915445</v>
      </c>
      <c r="R108">
        <f t="shared" si="361"/>
        <v>0.59200000000000008</v>
      </c>
      <c r="S108">
        <f t="shared" si="315"/>
        <v>108157.353</v>
      </c>
      <c r="T108">
        <f t="shared" si="316"/>
        <v>5.202032439449087E-3</v>
      </c>
      <c r="U108">
        <f t="shared" si="362"/>
        <v>4.1483898752329327E-3</v>
      </c>
      <c r="V108">
        <f t="shared" si="363"/>
        <v>1.2660649874132323E-2</v>
      </c>
      <c r="W108">
        <f t="shared" si="364"/>
        <v>14.602734629013343</v>
      </c>
      <c r="X108">
        <f t="shared" si="549"/>
        <v>3.944464711342389E-6</v>
      </c>
      <c r="Y108">
        <f t="shared" si="510"/>
        <v>6.3091026359160862E-2</v>
      </c>
      <c r="Z108">
        <f t="shared" si="365"/>
        <v>6823.7584090600667</v>
      </c>
      <c r="AA108">
        <f t="shared" si="511"/>
        <v>3.2492481641725897E-6</v>
      </c>
      <c r="AB108">
        <f t="shared" si="366"/>
        <v>7.8023830161555658E-4</v>
      </c>
      <c r="AC108">
        <f t="shared" si="367"/>
        <v>0.32785134203419564</v>
      </c>
      <c r="AE108">
        <f t="shared" si="368"/>
        <v>5.1996808386484599</v>
      </c>
      <c r="AF108">
        <f t="shared" si="369"/>
        <v>0.59200000000000008</v>
      </c>
      <c r="AG108">
        <f t="shared" si="317"/>
        <v>108157.353</v>
      </c>
      <c r="AH108">
        <f t="shared" si="318"/>
        <v>5.202032439449087E-3</v>
      </c>
      <c r="AI108">
        <f t="shared" si="370"/>
        <v>4.1483898752329327E-3</v>
      </c>
      <c r="AJ108">
        <f t="shared" si="371"/>
        <v>1.2660649874132323E-2</v>
      </c>
      <c r="AK108">
        <f t="shared" si="372"/>
        <v>14.602734629013343</v>
      </c>
      <c r="AL108">
        <f t="shared" si="550"/>
        <v>3.8123348436622338E-6</v>
      </c>
      <c r="AM108">
        <f t="shared" si="512"/>
        <v>5.9841321070031088E-2</v>
      </c>
      <c r="AN108">
        <f t="shared" si="373"/>
        <v>6472.2788869576907</v>
      </c>
      <c r="AO108">
        <f t="shared" si="513"/>
        <v>3.1644604506328575E-6</v>
      </c>
      <c r="AP108">
        <f t="shared" si="374"/>
        <v>7.2710642192753787E-4</v>
      </c>
      <c r="AQ108">
        <f t="shared" si="375"/>
        <v>0.31686912832160369</v>
      </c>
      <c r="AS108">
        <f t="shared" si="376"/>
        <v>7.0973745753814743</v>
      </c>
      <c r="AT108">
        <f t="shared" si="377"/>
        <v>0.59200000000000008</v>
      </c>
      <c r="AU108">
        <f t="shared" si="319"/>
        <v>108157.353</v>
      </c>
      <c r="AV108">
        <f t="shared" si="320"/>
        <v>5.202032439449087E-3</v>
      </c>
      <c r="AW108">
        <f t="shared" si="378"/>
        <v>4.1483898752329327E-3</v>
      </c>
      <c r="AX108">
        <f t="shared" si="379"/>
        <v>1.2660649874132323E-2</v>
      </c>
      <c r="AY108">
        <f t="shared" si="380"/>
        <v>14.602734629013343</v>
      </c>
      <c r="AZ108">
        <f t="shared" si="551"/>
        <v>3.6872676513520221E-6</v>
      </c>
      <c r="BA108">
        <f t="shared" si="514"/>
        <v>5.6804070370560185E-2</v>
      </c>
      <c r="BB108">
        <f t="shared" si="381"/>
        <v>6143.7778909055187</v>
      </c>
      <c r="BC108">
        <f t="shared" si="515"/>
        <v>3.0831085409877402E-6</v>
      </c>
      <c r="BD108">
        <f t="shared" si="382"/>
        <v>6.7804496324950299E-4</v>
      </c>
      <c r="BE108">
        <f t="shared" si="383"/>
        <v>0.30647394168818154</v>
      </c>
      <c r="BG108">
        <f t="shared" si="384"/>
        <v>8.9950683121144888</v>
      </c>
      <c r="BH108">
        <f t="shared" si="385"/>
        <v>0.59200000000000008</v>
      </c>
      <c r="BI108">
        <f t="shared" si="321"/>
        <v>108157.353</v>
      </c>
      <c r="BJ108">
        <f t="shared" si="322"/>
        <v>5.202032439449087E-3</v>
      </c>
      <c r="BK108">
        <f t="shared" si="386"/>
        <v>4.1483898752329327E-3</v>
      </c>
      <c r="BL108">
        <f t="shared" si="387"/>
        <v>1.2660649874132323E-2</v>
      </c>
      <c r="BM108">
        <f t="shared" si="388"/>
        <v>14.602734629013343</v>
      </c>
      <c r="BN108">
        <f t="shared" si="552"/>
        <v>3.5687882039966123E-6</v>
      </c>
      <c r="BO108">
        <f t="shared" si="516"/>
        <v>5.3963097383086453E-2</v>
      </c>
      <c r="BP108">
        <f t="shared" si="389"/>
        <v>5836.5057726358582</v>
      </c>
      <c r="BQ108">
        <f t="shared" si="517"/>
        <v>3.0050210646973535E-6</v>
      </c>
      <c r="BR108">
        <f t="shared" si="390"/>
        <v>6.3271324174348268E-4</v>
      </c>
      <c r="BS108">
        <f t="shared" si="391"/>
        <v>0.29662630743067497</v>
      </c>
      <c r="BU108">
        <f t="shared" si="392"/>
        <v>10.892762048847503</v>
      </c>
      <c r="BV108">
        <f t="shared" si="393"/>
        <v>0.59200000000000008</v>
      </c>
      <c r="BW108">
        <f t="shared" si="323"/>
        <v>108157.353</v>
      </c>
      <c r="BX108">
        <f t="shared" si="324"/>
        <v>5.202032439449087E-3</v>
      </c>
      <c r="BY108">
        <f t="shared" si="394"/>
        <v>4.1483898752329327E-3</v>
      </c>
      <c r="BZ108">
        <f t="shared" si="395"/>
        <v>1.2660649874132323E-2</v>
      </c>
      <c r="CA108">
        <f t="shared" si="396"/>
        <v>14.602734629013343</v>
      </c>
      <c r="CB108">
        <f t="shared" si="553"/>
        <v>3.4564584402243662E-6</v>
      </c>
      <c r="CC108">
        <f t="shared" si="518"/>
        <v>5.130359581407961E-2</v>
      </c>
      <c r="CD108">
        <f t="shared" si="397"/>
        <v>5548.8611226327312</v>
      </c>
      <c r="CE108">
        <f t="shared" si="519"/>
        <v>2.9300362180076324E-6</v>
      </c>
      <c r="CF108">
        <f t="shared" si="398"/>
        <v>5.9080121476848832E-4</v>
      </c>
      <c r="CG108">
        <f t="shared" si="399"/>
        <v>0.28728981528328251</v>
      </c>
      <c r="CI108">
        <f t="shared" si="400"/>
        <v>12.790455785580518</v>
      </c>
      <c r="CJ108">
        <f t="shared" si="401"/>
        <v>0.59200000000000008</v>
      </c>
      <c r="CK108">
        <f t="shared" si="325"/>
        <v>108157.353</v>
      </c>
      <c r="CL108">
        <f t="shared" si="326"/>
        <v>5.202032439449087E-3</v>
      </c>
      <c r="CM108">
        <f t="shared" si="402"/>
        <v>4.1483898752329327E-3</v>
      </c>
      <c r="CN108">
        <f t="shared" si="403"/>
        <v>1.2660649874132323E-2</v>
      </c>
      <c r="CO108">
        <f t="shared" si="404"/>
        <v>14.602734629013343</v>
      </c>
      <c r="CP108">
        <f t="shared" si="554"/>
        <v>3.3498740038300336E-6</v>
      </c>
      <c r="CQ108">
        <f t="shared" si="520"/>
        <v>4.8812004436665057E-2</v>
      </c>
      <c r="CR108">
        <f t="shared" si="405"/>
        <v>5279.377194493949</v>
      </c>
      <c r="CS108">
        <f t="shared" si="521"/>
        <v>2.8580012013317553E-6</v>
      </c>
      <c r="CT108">
        <f t="shared" si="406"/>
        <v>5.5202656150013497E-4</v>
      </c>
      <c r="CU108">
        <f t="shared" si="407"/>
        <v>0.27843085644626753</v>
      </c>
      <c r="CW108">
        <f t="shared" si="408"/>
        <v>14.688149522313532</v>
      </c>
      <c r="CX108">
        <f t="shared" si="409"/>
        <v>0.59200000000000008</v>
      </c>
      <c r="CY108">
        <f t="shared" si="327"/>
        <v>108157.353</v>
      </c>
      <c r="CZ108">
        <f t="shared" si="328"/>
        <v>5.202032439449087E-3</v>
      </c>
      <c r="DA108">
        <f t="shared" si="410"/>
        <v>4.1483898752329327E-3</v>
      </c>
      <c r="DB108">
        <f t="shared" si="411"/>
        <v>1.2660649874132323E-2</v>
      </c>
      <c r="DC108">
        <f t="shared" si="412"/>
        <v>14.602734629013343</v>
      </c>
      <c r="DD108">
        <f t="shared" si="555"/>
        <v>3.2486613720761703E-6</v>
      </c>
      <c r="DE108">
        <f t="shared" si="522"/>
        <v>4.6475893744827912E-2</v>
      </c>
      <c r="DF108">
        <f t="shared" si="413"/>
        <v>5026.7096457498446</v>
      </c>
      <c r="DG108">
        <f t="shared" si="523"/>
        <v>2.788771689704637E-6</v>
      </c>
      <c r="DH108">
        <f t="shared" si="414"/>
        <v>5.1613205434312547E-4</v>
      </c>
      <c r="DI108">
        <f t="shared" si="415"/>
        <v>0.27001838489952018</v>
      </c>
      <c r="DK108">
        <f t="shared" si="416"/>
        <v>16.585843259046548</v>
      </c>
      <c r="DL108">
        <f t="shared" si="417"/>
        <v>0.59200000000000008</v>
      </c>
      <c r="DM108">
        <f t="shared" si="329"/>
        <v>108157.353</v>
      </c>
      <c r="DN108">
        <f t="shared" si="330"/>
        <v>5.202032439449087E-3</v>
      </c>
      <c r="DO108">
        <f t="shared" si="418"/>
        <v>4.1483898752329327E-3</v>
      </c>
      <c r="DP108">
        <f t="shared" si="419"/>
        <v>1.2660649874132323E-2</v>
      </c>
      <c r="DQ108">
        <f t="shared" si="420"/>
        <v>14.602734629013343</v>
      </c>
      <c r="DR108">
        <f t="shared" si="556"/>
        <v>3.1524752476844369E-6</v>
      </c>
      <c r="DS108">
        <f t="shared" si="524"/>
        <v>4.4283863549152293E-2</v>
      </c>
      <c r="DT108">
        <f t="shared" si="421"/>
        <v>4789.6254620894979</v>
      </c>
      <c r="DU108">
        <f t="shared" si="525"/>
        <v>2.7222113344831876E-6</v>
      </c>
      <c r="DV108">
        <f t="shared" si="422"/>
        <v>4.8288319121468317E-4</v>
      </c>
      <c r="DW108">
        <f t="shared" si="423"/>
        <v>0.26202370063318131</v>
      </c>
      <c r="DY108">
        <f t="shared" si="424"/>
        <v>18.483536995779563</v>
      </c>
      <c r="DZ108">
        <f t="shared" si="425"/>
        <v>0.59200000000000008</v>
      </c>
      <c r="EA108">
        <f t="shared" si="331"/>
        <v>108157.353</v>
      </c>
      <c r="EB108">
        <f t="shared" si="332"/>
        <v>5.202032439449087E-3</v>
      </c>
      <c r="EC108">
        <f t="shared" si="426"/>
        <v>4.1483898752329327E-3</v>
      </c>
      <c r="ED108">
        <f t="shared" si="427"/>
        <v>1.2660649874132323E-2</v>
      </c>
      <c r="EE108">
        <f t="shared" si="428"/>
        <v>14.602734629013343</v>
      </c>
      <c r="EF108">
        <f t="shared" si="557"/>
        <v>3.0609961889176468E-6</v>
      </c>
      <c r="EG108">
        <f t="shared" si="526"/>
        <v>4.2225450411845493E-2</v>
      </c>
      <c r="EH108">
        <f t="shared" si="429"/>
        <v>4566.9929457779681</v>
      </c>
      <c r="EI108">
        <f t="shared" si="527"/>
        <v>2.6581912945510358E-6</v>
      </c>
      <c r="EJ108">
        <f t="shared" si="430"/>
        <v>4.5206606192340493E-4</v>
      </c>
      <c r="EK108">
        <f t="shared" si="431"/>
        <v>0.25442025266761176</v>
      </c>
      <c r="EM108">
        <f t="shared" si="432"/>
        <v>20.381230732512577</v>
      </c>
      <c r="EN108">
        <f t="shared" si="433"/>
        <v>0.59200000000000008</v>
      </c>
      <c r="EO108">
        <f t="shared" si="333"/>
        <v>108157.353</v>
      </c>
      <c r="EP108">
        <f t="shared" si="334"/>
        <v>5.202032439449087E-3</v>
      </c>
      <c r="EQ108">
        <f t="shared" si="434"/>
        <v>4.1483898752329327E-3</v>
      </c>
      <c r="ER108">
        <f t="shared" si="435"/>
        <v>1.2660649874132323E-2</v>
      </c>
      <c r="ES108">
        <f t="shared" si="436"/>
        <v>14.602734629013343</v>
      </c>
      <c r="ET108">
        <f t="shared" si="558"/>
        <v>2.9739284547418523E-6</v>
      </c>
      <c r="EU108">
        <f t="shared" si="528"/>
        <v>4.0291043933166966E-2</v>
      </c>
      <c r="EV108">
        <f t="shared" si="437"/>
        <v>4357.7726614180483</v>
      </c>
      <c r="EW108">
        <f t="shared" si="529"/>
        <v>2.5965897953696581E-6</v>
      </c>
      <c r="EX108">
        <f t="shared" si="438"/>
        <v>4.2348542467954856E-4</v>
      </c>
      <c r="EY108">
        <f t="shared" si="439"/>
        <v>0.24718345995012886</v>
      </c>
      <c r="FA108">
        <f t="shared" si="440"/>
        <v>22.278924469245592</v>
      </c>
      <c r="FB108">
        <f t="shared" si="441"/>
        <v>0.59200000000000008</v>
      </c>
      <c r="FC108">
        <f t="shared" si="335"/>
        <v>108157.353</v>
      </c>
      <c r="FD108">
        <f t="shared" si="336"/>
        <v>5.202032439449087E-3</v>
      </c>
      <c r="FE108">
        <f t="shared" si="442"/>
        <v>4.1483898752329327E-3</v>
      </c>
      <c r="FF108">
        <f t="shared" si="443"/>
        <v>1.2660649874132323E-2</v>
      </c>
      <c r="FG108">
        <f t="shared" si="444"/>
        <v>14.602734629013343</v>
      </c>
      <c r="FH108">
        <f t="shared" si="559"/>
        <v>2.8909980443769704E-6</v>
      </c>
      <c r="FI108">
        <f t="shared" si="530"/>
        <v>3.847181100366396E-2</v>
      </c>
      <c r="FJ108">
        <f t="shared" si="445"/>
        <v>4161.0092432725669</v>
      </c>
      <c r="FK108">
        <f t="shared" si="531"/>
        <v>2.5372917142982454E-6</v>
      </c>
      <c r="FL108">
        <f t="shared" si="446"/>
        <v>3.9696297128539396E-4</v>
      </c>
      <c r="FM108">
        <f t="shared" si="447"/>
        <v>0.2402905484086994</v>
      </c>
      <c r="FO108">
        <f t="shared" si="448"/>
        <v>24.176618205978606</v>
      </c>
      <c r="FP108">
        <f t="shared" si="449"/>
        <v>0.59200000000000008</v>
      </c>
      <c r="FQ108">
        <f t="shared" si="337"/>
        <v>108157.353</v>
      </c>
      <c r="FR108">
        <f t="shared" si="338"/>
        <v>5.202032439449087E-3</v>
      </c>
      <c r="FS108">
        <f t="shared" si="450"/>
        <v>4.1483898752329327E-3</v>
      </c>
      <c r="FT108">
        <f t="shared" si="451"/>
        <v>1.2660649874132323E-2</v>
      </c>
      <c r="FU108">
        <f t="shared" si="452"/>
        <v>14.602734629013343</v>
      </c>
      <c r="FV108">
        <f t="shared" si="560"/>
        <v>2.8119509126229535E-6</v>
      </c>
      <c r="FW108">
        <f t="shared" si="532"/>
        <v>3.6759627228106904E-2</v>
      </c>
      <c r="FX108">
        <f t="shared" si="453"/>
        <v>3975.8239782587702</v>
      </c>
      <c r="FY108">
        <f t="shared" si="533"/>
        <v>2.4801881906825427E-6</v>
      </c>
      <c r="FZ108">
        <f t="shared" si="454"/>
        <v>3.7233576179957915E-4</v>
      </c>
      <c r="GA108">
        <f t="shared" si="455"/>
        <v>0.23372040261553584</v>
      </c>
      <c r="GC108">
        <f t="shared" si="456"/>
        <v>26.074311942711621</v>
      </c>
      <c r="GD108">
        <f t="shared" si="457"/>
        <v>0.59200000000000008</v>
      </c>
      <c r="GE108">
        <f t="shared" si="339"/>
        <v>108157.353</v>
      </c>
      <c r="GF108">
        <f t="shared" si="340"/>
        <v>5.202032439449087E-3</v>
      </c>
      <c r="GG108">
        <f t="shared" si="458"/>
        <v>4.1483898752329327E-3</v>
      </c>
      <c r="GH108">
        <f t="shared" si="459"/>
        <v>1.2660649874132323E-2</v>
      </c>
      <c r="GI108">
        <f t="shared" si="460"/>
        <v>14.602734629013343</v>
      </c>
      <c r="GJ108">
        <f t="shared" si="561"/>
        <v>2.7365513442116755E-6</v>
      </c>
      <c r="GK108">
        <f t="shared" si="534"/>
        <v>3.5147014808853946E-2</v>
      </c>
      <c r="GL108">
        <f t="shared" si="461"/>
        <v>3801.4080875774439</v>
      </c>
      <c r="GM108">
        <f t="shared" si="535"/>
        <v>2.4251762592878434E-6</v>
      </c>
      <c r="GN108">
        <f t="shared" si="462"/>
        <v>3.4945481147621946E-4</v>
      </c>
      <c r="GO108">
        <f t="shared" si="463"/>
        <v>0.2274534306684034</v>
      </c>
      <c r="GQ108">
        <f t="shared" si="464"/>
        <v>27.972005679444635</v>
      </c>
      <c r="GR108">
        <f t="shared" si="465"/>
        <v>0.59200000000000008</v>
      </c>
      <c r="GS108">
        <f t="shared" si="341"/>
        <v>108157.353</v>
      </c>
      <c r="GT108">
        <f t="shared" si="342"/>
        <v>5.202032439449087E-3</v>
      </c>
      <c r="GU108">
        <f t="shared" si="466"/>
        <v>4.1483898752329327E-3</v>
      </c>
      <c r="GV108">
        <f t="shared" si="467"/>
        <v>1.2660649874132323E-2</v>
      </c>
      <c r="GW108">
        <f t="shared" si="468"/>
        <v>14.602734629013343</v>
      </c>
      <c r="GX108">
        <f t="shared" si="562"/>
        <v>2.6645804721054659E-6</v>
      </c>
      <c r="GY108">
        <f t="shared" si="536"/>
        <v>3.3627086249598495E-2</v>
      </c>
      <c r="GZ108">
        <f t="shared" si="469"/>
        <v>3637.0166378592708</v>
      </c>
      <c r="HA108">
        <f t="shared" si="537"/>
        <v>2.3721585057238681E-6</v>
      </c>
      <c r="HB108">
        <f t="shared" si="470"/>
        <v>3.2818381457329425E-4</v>
      </c>
      <c r="HC108">
        <f t="shared" si="471"/>
        <v>0.22147144103631411</v>
      </c>
      <c r="HE108">
        <f t="shared" si="472"/>
        <v>29.869699416177649</v>
      </c>
      <c r="HF108">
        <f t="shared" si="473"/>
        <v>0.59200000000000008</v>
      </c>
      <c r="HG108">
        <f t="shared" si="343"/>
        <v>108157.353</v>
      </c>
      <c r="HH108">
        <f t="shared" si="344"/>
        <v>5.202032439449087E-3</v>
      </c>
      <c r="HI108">
        <f t="shared" si="568"/>
        <v>4.1483898752329327E-3</v>
      </c>
      <c r="HJ108">
        <f t="shared" si="474"/>
        <v>1.2660649874132323E-2</v>
      </c>
      <c r="HK108">
        <f t="shared" si="475"/>
        <v>14.602734629013343</v>
      </c>
      <c r="HL108">
        <f t="shared" si="563"/>
        <v>2.5958349261615322E-6</v>
      </c>
      <c r="HM108">
        <f t="shared" si="538"/>
        <v>3.219349330597044E-2</v>
      </c>
      <c r="HN108">
        <f t="shared" si="476"/>
        <v>3481.9630197969818</v>
      </c>
      <c r="HO108">
        <f t="shared" si="539"/>
        <v>2.3210427425789209E-6</v>
      </c>
      <c r="HP108">
        <f t="shared" si="477"/>
        <v>3.0839799122813616E-4</v>
      </c>
      <c r="HQ108">
        <f t="shared" si="478"/>
        <v>0.21575753024081815</v>
      </c>
      <c r="HS108">
        <f t="shared" si="479"/>
        <v>31.76739315291066</v>
      </c>
      <c r="HT108">
        <f t="shared" si="480"/>
        <v>0.59200000000000008</v>
      </c>
      <c r="HU108">
        <f t="shared" si="345"/>
        <v>108157.353</v>
      </c>
      <c r="HV108">
        <f t="shared" si="346"/>
        <v>5.202032439449087E-3</v>
      </c>
      <c r="HW108">
        <f t="shared" si="569"/>
        <v>4.1483898752329327E-3</v>
      </c>
      <c r="HX108">
        <f t="shared" si="481"/>
        <v>1.2660649874132323E-2</v>
      </c>
      <c r="HY108">
        <f t="shared" si="482"/>
        <v>14.602734629013343</v>
      </c>
      <c r="HZ108">
        <f t="shared" si="564"/>
        <v>2.5301255999260115E-6</v>
      </c>
      <c r="IA108">
        <f t="shared" si="540"/>
        <v>3.0840380668102064E-2</v>
      </c>
      <c r="IB108">
        <f t="shared" si="483"/>
        <v>3335.6139385742908</v>
      </c>
      <c r="IC108">
        <f t="shared" si="541"/>
        <v>2.2717417050479211E-6</v>
      </c>
      <c r="ID108">
        <f t="shared" si="484"/>
        <v>2.899830450313704E-4</v>
      </c>
      <c r="IE108">
        <f t="shared" si="485"/>
        <v>0.21029598035585373</v>
      </c>
      <c r="IG108">
        <f t="shared" si="486"/>
        <v>33.665086889643675</v>
      </c>
      <c r="IH108">
        <f t="shared" si="487"/>
        <v>0.59200000000000008</v>
      </c>
      <c r="II108">
        <f t="shared" si="347"/>
        <v>108157.353</v>
      </c>
      <c r="IJ108">
        <f t="shared" si="348"/>
        <v>5.202032439449087E-3</v>
      </c>
      <c r="IK108">
        <f t="shared" si="570"/>
        <v>4.1483898752329327E-3</v>
      </c>
      <c r="IL108">
        <f t="shared" si="488"/>
        <v>1.2660649874132323E-2</v>
      </c>
      <c r="IM108">
        <f t="shared" si="489"/>
        <v>14.602734629013343</v>
      </c>
      <c r="IN108">
        <f t="shared" si="565"/>
        <v>2.4672765245277825E-6</v>
      </c>
      <c r="IO108">
        <f t="shared" si="542"/>
        <v>2.9562343912758613E-2</v>
      </c>
      <c r="IP108">
        <f t="shared" si="490"/>
        <v>3197.3848660796348</v>
      </c>
      <c r="IQ108">
        <f t="shared" si="543"/>
        <v>2.2241727649033743E-6</v>
      </c>
      <c r="IR108">
        <f t="shared" si="491"/>
        <v>2.728342202122207E-4</v>
      </c>
      <c r="IS108">
        <f t="shared" si="492"/>
        <v>0.2050721654093878</v>
      </c>
      <c r="IU108">
        <f t="shared" si="493"/>
        <v>35.562780626376686</v>
      </c>
      <c r="IV108">
        <f t="shared" si="494"/>
        <v>0.59200000000000008</v>
      </c>
      <c r="IW108">
        <f t="shared" si="349"/>
        <v>108157.353</v>
      </c>
      <c r="IX108">
        <f t="shared" si="350"/>
        <v>5.202032439449087E-3</v>
      </c>
      <c r="IY108">
        <f t="shared" si="571"/>
        <v>4.1483898752329327E-3</v>
      </c>
      <c r="IZ108">
        <f t="shared" si="495"/>
        <v>1.2660649874132323E-2</v>
      </c>
      <c r="JA108">
        <f t="shared" si="496"/>
        <v>14.602734629013343</v>
      </c>
      <c r="JB108">
        <f t="shared" si="566"/>
        <v>2.4071238397253647E-6</v>
      </c>
      <c r="JC108">
        <f t="shared" si="544"/>
        <v>2.8354391309629263E-2</v>
      </c>
      <c r="JD108">
        <f t="shared" si="497"/>
        <v>3066.7359099757045</v>
      </c>
      <c r="JE108">
        <f t="shared" si="545"/>
        <v>2.1782576617202821E-6</v>
      </c>
      <c r="JF108">
        <f t="shared" si="498"/>
        <v>2.5685544849425948E-4</v>
      </c>
      <c r="JG108">
        <f t="shared" si="499"/>
        <v>0.20007246586011207</v>
      </c>
      <c r="JI108">
        <f t="shared" si="500"/>
        <v>37.460474363109704</v>
      </c>
      <c r="JJ108">
        <f t="shared" si="501"/>
        <v>0.59200000000000008</v>
      </c>
      <c r="JK108">
        <f t="shared" si="351"/>
        <v>108157.353</v>
      </c>
      <c r="JL108">
        <f t="shared" si="352"/>
        <v>5.202032439449087E-3</v>
      </c>
      <c r="JM108">
        <f t="shared" si="572"/>
        <v>4.1483898752329327E-3</v>
      </c>
      <c r="JN108">
        <f t="shared" si="502"/>
        <v>1.2660649874132323E-2</v>
      </c>
      <c r="JO108">
        <f t="shared" si="503"/>
        <v>14.602734629013343</v>
      </c>
      <c r="JP108">
        <f t="shared" si="567"/>
        <v>2.3495148531328064E-6</v>
      </c>
      <c r="JQ108">
        <f t="shared" si="546"/>
        <v>2.7211909108458734E-2</v>
      </c>
      <c r="JR108">
        <f t="shared" si="504"/>
        <v>2943.1680592474868</v>
      </c>
      <c r="JS108">
        <f t="shared" si="547"/>
        <v>2.1339222503252836E-6</v>
      </c>
      <c r="JT108">
        <f t="shared" si="505"/>
        <v>2.4195857670564693E-4</v>
      </c>
      <c r="JU108">
        <f t="shared" si="506"/>
        <v>0.19528419040329539</v>
      </c>
    </row>
    <row r="109" spans="2:281">
      <c r="B109">
        <v>0.75</v>
      </c>
      <c r="C109">
        <f t="shared" si="353"/>
        <v>1.4232703025497608</v>
      </c>
      <c r="D109">
        <f t="shared" si="354"/>
        <v>0.6</v>
      </c>
      <c r="E109">
        <f t="shared" si="313"/>
        <v>107972.925</v>
      </c>
      <c r="F109">
        <f t="shared" si="314"/>
        <v>5.2049926096569433E-3</v>
      </c>
      <c r="G109">
        <f t="shared" si="355"/>
        <v>4.1472100765770027E-3</v>
      </c>
      <c r="H109">
        <f t="shared" si="356"/>
        <v>1.2682275465316285E-2</v>
      </c>
      <c r="I109">
        <f t="shared" si="357"/>
        <v>14.619358469543146</v>
      </c>
      <c r="J109">
        <f t="shared" si="548"/>
        <v>4.0833143565857702E-6</v>
      </c>
      <c r="K109">
        <f t="shared" si="507"/>
        <v>6.702153801501877E-2</v>
      </c>
      <c r="L109">
        <f t="shared" si="358"/>
        <v>7236.5114974802709</v>
      </c>
      <c r="M109">
        <f t="shared" si="508"/>
        <v>3.3460751391306584E-6</v>
      </c>
      <c r="N109">
        <f t="shared" si="509"/>
        <v>8.2810648676568679E-4</v>
      </c>
      <c r="O109">
        <f t="shared" si="359"/>
        <v>0.33939208225253631</v>
      </c>
      <c r="Q109">
        <f t="shared" si="360"/>
        <v>3.3209640392827753</v>
      </c>
      <c r="R109">
        <f t="shared" si="361"/>
        <v>0.6</v>
      </c>
      <c r="S109">
        <f t="shared" si="315"/>
        <v>107972.925</v>
      </c>
      <c r="T109">
        <f t="shared" si="316"/>
        <v>5.2049926096569433E-3</v>
      </c>
      <c r="U109">
        <f t="shared" si="362"/>
        <v>4.1472100765770027E-3</v>
      </c>
      <c r="V109">
        <f t="shared" si="363"/>
        <v>1.2682275465316285E-2</v>
      </c>
      <c r="W109">
        <f t="shared" si="364"/>
        <v>14.619358469543146</v>
      </c>
      <c r="X109">
        <f t="shared" si="549"/>
        <v>3.9436655030465596E-6</v>
      </c>
      <c r="Y109">
        <f t="shared" si="510"/>
        <v>6.3510720706720994E-2</v>
      </c>
      <c r="Z109">
        <f t="shared" si="365"/>
        <v>6857.438283562733</v>
      </c>
      <c r="AA109">
        <f t="shared" si="511"/>
        <v>3.2572569155805016E-6</v>
      </c>
      <c r="AB109">
        <f t="shared" si="366"/>
        <v>7.7101080679681049E-4</v>
      </c>
      <c r="AC109">
        <f t="shared" si="367"/>
        <v>0.32778491438645957</v>
      </c>
      <c r="AE109">
        <f t="shared" si="368"/>
        <v>5.2186577760157897</v>
      </c>
      <c r="AF109">
        <f t="shared" si="369"/>
        <v>0.6</v>
      </c>
      <c r="AG109">
        <f t="shared" si="317"/>
        <v>107972.925</v>
      </c>
      <c r="AH109">
        <f t="shared" si="318"/>
        <v>5.2049926096569433E-3</v>
      </c>
      <c r="AI109">
        <f t="shared" si="370"/>
        <v>4.1472100765770027E-3</v>
      </c>
      <c r="AJ109">
        <f t="shared" si="371"/>
        <v>1.2682275465316285E-2</v>
      </c>
      <c r="AK109">
        <f t="shared" si="372"/>
        <v>14.619358469543146</v>
      </c>
      <c r="AL109">
        <f t="shared" si="550"/>
        <v>3.8115900590455955E-6</v>
      </c>
      <c r="AM109">
        <f t="shared" si="512"/>
        <v>6.0232435495874814E-2</v>
      </c>
      <c r="AN109">
        <f t="shared" si="373"/>
        <v>6503.4722403634296</v>
      </c>
      <c r="AO109">
        <f t="shared" si="513"/>
        <v>3.1720768935029483E-6</v>
      </c>
      <c r="AP109">
        <f t="shared" si="374"/>
        <v>7.1833536282294884E-4</v>
      </c>
      <c r="AQ109">
        <f t="shared" si="375"/>
        <v>0.31680722419671969</v>
      </c>
      <c r="AS109">
        <f t="shared" si="376"/>
        <v>7.1163515127488042</v>
      </c>
      <c r="AT109">
        <f t="shared" si="377"/>
        <v>0.6</v>
      </c>
      <c r="AU109">
        <f t="shared" si="319"/>
        <v>107972.925</v>
      </c>
      <c r="AV109">
        <f t="shared" si="320"/>
        <v>5.2049926096569433E-3</v>
      </c>
      <c r="AW109">
        <f t="shared" si="378"/>
        <v>4.1472100765770027E-3</v>
      </c>
      <c r="AX109">
        <f t="shared" si="379"/>
        <v>1.2682275465316285E-2</v>
      </c>
      <c r="AY109">
        <f t="shared" si="380"/>
        <v>14.619358469543146</v>
      </c>
      <c r="AZ109">
        <f t="shared" si="551"/>
        <v>3.6865731210291038E-6</v>
      </c>
      <c r="BA109">
        <f t="shared" si="514"/>
        <v>5.7168794375877782E-2</v>
      </c>
      <c r="BB109">
        <f t="shared" si="381"/>
        <v>6172.6819474870736</v>
      </c>
      <c r="BC109">
        <f t="shared" si="515"/>
        <v>3.0903524371006934E-6</v>
      </c>
      <c r="BD109">
        <f t="shared" si="382"/>
        <v>6.6970693394380212E-4</v>
      </c>
      <c r="BE109">
        <f t="shared" si="383"/>
        <v>0.30641621454011059</v>
      </c>
      <c r="BG109">
        <f t="shared" si="384"/>
        <v>9.0140452494818177</v>
      </c>
      <c r="BH109">
        <f t="shared" si="385"/>
        <v>0.6</v>
      </c>
      <c r="BI109">
        <f t="shared" si="321"/>
        <v>107972.925</v>
      </c>
      <c r="BJ109">
        <f t="shared" si="322"/>
        <v>5.2049926096569433E-3</v>
      </c>
      <c r="BK109">
        <f t="shared" si="386"/>
        <v>4.1472100765770027E-3</v>
      </c>
      <c r="BL109">
        <f t="shared" si="387"/>
        <v>1.2682275465316285E-2</v>
      </c>
      <c r="BM109">
        <f t="shared" si="388"/>
        <v>14.619358469543146</v>
      </c>
      <c r="BN109">
        <f t="shared" si="552"/>
        <v>3.5681401075488533E-6</v>
      </c>
      <c r="BO109">
        <f t="shared" si="516"/>
        <v>5.4303437213413068E-2</v>
      </c>
      <c r="BP109">
        <f t="shared" si="389"/>
        <v>5863.3009534860585</v>
      </c>
      <c r="BQ109">
        <f t="shared" si="517"/>
        <v>3.0119111356899144E-6</v>
      </c>
      <c r="BR109">
        <f t="shared" si="390"/>
        <v>6.2478610580892142E-4</v>
      </c>
      <c r="BS109">
        <f t="shared" si="391"/>
        <v>0.29657243971839597</v>
      </c>
      <c r="BU109">
        <f t="shared" si="392"/>
        <v>10.911738986214832</v>
      </c>
      <c r="BV109">
        <f t="shared" si="393"/>
        <v>0.6</v>
      </c>
      <c r="BW109">
        <f t="shared" si="323"/>
        <v>107972.925</v>
      </c>
      <c r="BX109">
        <f t="shared" si="324"/>
        <v>5.2049926096569433E-3</v>
      </c>
      <c r="BY109">
        <f t="shared" si="394"/>
        <v>4.1472100765770027E-3</v>
      </c>
      <c r="BZ109">
        <f t="shared" si="395"/>
        <v>1.2682275465316285E-2</v>
      </c>
      <c r="CA109">
        <f t="shared" si="396"/>
        <v>14.619358469543146</v>
      </c>
      <c r="CB109">
        <f t="shared" si="553"/>
        <v>3.455853274813938E-6</v>
      </c>
      <c r="CC109">
        <f t="shared" si="518"/>
        <v>5.1621390941358751E-2</v>
      </c>
      <c r="CD109">
        <f t="shared" si="397"/>
        <v>5573.7125725070082</v>
      </c>
      <c r="CE109">
        <f t="shared" si="519"/>
        <v>2.9365902026509107E-6</v>
      </c>
      <c r="CF109">
        <f t="shared" si="398"/>
        <v>5.8326403183002603E-4</v>
      </c>
      <c r="CG109">
        <f t="shared" si="399"/>
        <v>0.28723951586207308</v>
      </c>
      <c r="CI109">
        <f t="shared" si="400"/>
        <v>12.809432722947847</v>
      </c>
      <c r="CJ109">
        <f t="shared" si="401"/>
        <v>0.6</v>
      </c>
      <c r="CK109">
        <f t="shared" si="325"/>
        <v>107972.925</v>
      </c>
      <c r="CL109">
        <f t="shared" si="326"/>
        <v>5.2049926096569433E-3</v>
      </c>
      <c r="CM109">
        <f t="shared" si="402"/>
        <v>4.1472100765770027E-3</v>
      </c>
      <c r="CN109">
        <f t="shared" si="403"/>
        <v>1.2682275465316285E-2</v>
      </c>
      <c r="CO109">
        <f t="shared" si="404"/>
        <v>14.619358469543146</v>
      </c>
      <c r="CP109">
        <f t="shared" si="554"/>
        <v>3.3493085558040194E-6</v>
      </c>
      <c r="CQ109">
        <f t="shared" si="520"/>
        <v>4.9108942470961661E-2</v>
      </c>
      <c r="CR109">
        <f t="shared" si="405"/>
        <v>5302.4361622464585</v>
      </c>
      <c r="CS109">
        <f t="shared" si="521"/>
        <v>2.864235909562059E-6</v>
      </c>
      <c r="CT109">
        <f t="shared" si="406"/>
        <v>5.4485951831506087E-4</v>
      </c>
      <c r="CU109">
        <f t="shared" si="407"/>
        <v>0.27838385820753409</v>
      </c>
      <c r="CW109">
        <f t="shared" si="408"/>
        <v>14.707126459680861</v>
      </c>
      <c r="CX109">
        <f t="shared" si="409"/>
        <v>0.6</v>
      </c>
      <c r="CY109">
        <f t="shared" si="327"/>
        <v>107972.925</v>
      </c>
      <c r="CZ109">
        <f t="shared" si="328"/>
        <v>5.2049926096569433E-3</v>
      </c>
      <c r="DA109">
        <f t="shared" si="410"/>
        <v>4.1472100765770027E-3</v>
      </c>
      <c r="DB109">
        <f t="shared" si="411"/>
        <v>1.2682275465316285E-2</v>
      </c>
      <c r="DC109">
        <f t="shared" si="412"/>
        <v>14.619358469543146</v>
      </c>
      <c r="DD109">
        <f t="shared" si="555"/>
        <v>3.2481326912632438E-6</v>
      </c>
      <c r="DE109">
        <f t="shared" si="522"/>
        <v>4.6753523932110262E-2</v>
      </c>
      <c r="DF109">
        <f t="shared" si="413"/>
        <v>5048.1147330074464</v>
      </c>
      <c r="DG109">
        <f t="shared" si="523"/>
        <v>2.7947030535904816E-6</v>
      </c>
      <c r="DH109">
        <f t="shared" si="414"/>
        <v>5.0931640010251048E-4</v>
      </c>
      <c r="DI109">
        <f t="shared" si="415"/>
        <v>0.26997444263441961</v>
      </c>
      <c r="DK109">
        <f t="shared" si="416"/>
        <v>16.604820196413876</v>
      </c>
      <c r="DL109">
        <f t="shared" si="417"/>
        <v>0.6</v>
      </c>
      <c r="DM109">
        <f t="shared" si="329"/>
        <v>107972.925</v>
      </c>
      <c r="DN109">
        <f t="shared" si="330"/>
        <v>5.2049926096569433E-3</v>
      </c>
      <c r="DO109">
        <f t="shared" si="418"/>
        <v>4.1472100765770027E-3</v>
      </c>
      <c r="DP109">
        <f t="shared" si="419"/>
        <v>1.2682275465316285E-2</v>
      </c>
      <c r="DQ109">
        <f t="shared" si="420"/>
        <v>14.619358469543146</v>
      </c>
      <c r="DR109">
        <f t="shared" si="556"/>
        <v>3.1519806241168216E-6</v>
      </c>
      <c r="DS109">
        <f t="shared" si="524"/>
        <v>4.4543608995466492E-2</v>
      </c>
      <c r="DT109">
        <f t="shared" si="421"/>
        <v>4809.503753296829</v>
      </c>
      <c r="DU109">
        <f t="shared" si="525"/>
        <v>2.7278544563021893E-6</v>
      </c>
      <c r="DV109">
        <f t="shared" si="422"/>
        <v>4.7640117679408994E-4</v>
      </c>
      <c r="DW109">
        <f t="shared" si="423"/>
        <v>0.2619825890978244</v>
      </c>
      <c r="DY109">
        <f t="shared" si="424"/>
        <v>18.50251393314689</v>
      </c>
      <c r="DZ109">
        <f t="shared" si="425"/>
        <v>0.6</v>
      </c>
      <c r="EA109">
        <f t="shared" si="331"/>
        <v>107972.925</v>
      </c>
      <c r="EB109">
        <f t="shared" si="332"/>
        <v>5.2049926096569433E-3</v>
      </c>
      <c r="EC109">
        <f t="shared" si="426"/>
        <v>4.1472100765770027E-3</v>
      </c>
      <c r="ED109">
        <f t="shared" si="427"/>
        <v>1.2682275465316285E-2</v>
      </c>
      <c r="EE109">
        <f t="shared" si="428"/>
        <v>14.619358469543146</v>
      </c>
      <c r="EF109">
        <f t="shared" si="557"/>
        <v>3.0605331317385723E-6</v>
      </c>
      <c r="EG109">
        <f t="shared" si="526"/>
        <v>4.2468619159803822E-2</v>
      </c>
      <c r="EH109">
        <f t="shared" si="429"/>
        <v>4585.4610313950616</v>
      </c>
      <c r="EI109">
        <f t="shared" si="527"/>
        <v>2.6635604921409675E-6</v>
      </c>
      <c r="EJ109">
        <f t="shared" si="430"/>
        <v>4.4590088282883472E-4</v>
      </c>
      <c r="EK109">
        <f t="shared" si="431"/>
        <v>0.25438176482991814</v>
      </c>
      <c r="EM109">
        <f t="shared" si="432"/>
        <v>20.400207669879904</v>
      </c>
      <c r="EN109">
        <f t="shared" si="433"/>
        <v>0.6</v>
      </c>
      <c r="EO109">
        <f t="shared" si="333"/>
        <v>107972.925</v>
      </c>
      <c r="EP109">
        <f t="shared" si="334"/>
        <v>5.2049926096569433E-3</v>
      </c>
      <c r="EQ109">
        <f t="shared" si="434"/>
        <v>4.1472100765770027E-3</v>
      </c>
      <c r="ER109">
        <f t="shared" si="435"/>
        <v>1.2682275465316285E-2</v>
      </c>
      <c r="ES109">
        <f t="shared" si="436"/>
        <v>14.619358469543146</v>
      </c>
      <c r="ET109">
        <f t="shared" si="558"/>
        <v>2.9734946730832668E-6</v>
      </c>
      <c r="EU109">
        <f t="shared" si="528"/>
        <v>4.0518839003780727E-2</v>
      </c>
      <c r="EV109">
        <f t="shared" si="437"/>
        <v>4374.9375648422911</v>
      </c>
      <c r="EW109">
        <f t="shared" si="529"/>
        <v>2.6016986449089766E-6</v>
      </c>
      <c r="EX109">
        <f t="shared" si="438"/>
        <v>4.1762116745178976E-4</v>
      </c>
      <c r="EY109">
        <f t="shared" si="439"/>
        <v>0.24714740540044353</v>
      </c>
      <c r="FA109">
        <f t="shared" si="440"/>
        <v>22.297901406612919</v>
      </c>
      <c r="FB109">
        <f t="shared" si="441"/>
        <v>0.6</v>
      </c>
      <c r="FC109">
        <f t="shared" si="335"/>
        <v>107972.925</v>
      </c>
      <c r="FD109">
        <f t="shared" si="336"/>
        <v>5.2049926096569433E-3</v>
      </c>
      <c r="FE109">
        <f t="shared" si="442"/>
        <v>4.1472100765770027E-3</v>
      </c>
      <c r="FF109">
        <f t="shared" si="443"/>
        <v>1.2682275465316285E-2</v>
      </c>
      <c r="FG109">
        <f t="shared" si="444"/>
        <v>14.619358469543146</v>
      </c>
      <c r="FH109">
        <f t="shared" si="559"/>
        <v>2.8905914300142411E-6</v>
      </c>
      <c r="FI109">
        <f t="shared" si="530"/>
        <v>3.8685339505013044E-2</v>
      </c>
      <c r="FJ109">
        <f t="shared" si="445"/>
        <v>4176.9692609743106</v>
      </c>
      <c r="FK109">
        <f t="shared" si="531"/>
        <v>2.5421530906628891E-6</v>
      </c>
      <c r="FL109">
        <f t="shared" si="446"/>
        <v>3.9138456314186348E-4</v>
      </c>
      <c r="FM109">
        <f t="shared" si="447"/>
        <v>0.24025675191810644</v>
      </c>
      <c r="FO109">
        <f t="shared" si="448"/>
        <v>24.195595143345933</v>
      </c>
      <c r="FP109">
        <f t="shared" si="449"/>
        <v>0.6</v>
      </c>
      <c r="FQ109">
        <f t="shared" si="337"/>
        <v>107972.925</v>
      </c>
      <c r="FR109">
        <f t="shared" si="338"/>
        <v>5.2049926096569433E-3</v>
      </c>
      <c r="FS109">
        <f t="shared" si="450"/>
        <v>4.1472100765770027E-3</v>
      </c>
      <c r="FT109">
        <f t="shared" si="451"/>
        <v>1.2682275465316285E-2</v>
      </c>
      <c r="FU109">
        <f t="shared" si="452"/>
        <v>14.619358469543146</v>
      </c>
      <c r="FV109">
        <f t="shared" si="560"/>
        <v>2.8115695242329602E-6</v>
      </c>
      <c r="FW109">
        <f t="shared" si="532"/>
        <v>3.6959908622006932E-2</v>
      </c>
      <c r="FX109">
        <f t="shared" si="453"/>
        <v>3990.669441650808</v>
      </c>
      <c r="FY109">
        <f t="shared" si="533"/>
        <v>2.4848143055176956E-6</v>
      </c>
      <c r="FZ109">
        <f t="shared" si="454"/>
        <v>3.6702892330755133E-4</v>
      </c>
      <c r="GA109">
        <f t="shared" si="455"/>
        <v>0.23368870282744142</v>
      </c>
      <c r="GC109">
        <f t="shared" si="456"/>
        <v>26.093288880078948</v>
      </c>
      <c r="GD109">
        <f t="shared" si="457"/>
        <v>0.6</v>
      </c>
      <c r="GE109">
        <f t="shared" si="339"/>
        <v>107972.925</v>
      </c>
      <c r="GF109">
        <f t="shared" si="340"/>
        <v>5.2049926096569433E-3</v>
      </c>
      <c r="GG109">
        <f t="shared" si="458"/>
        <v>4.1472100765770027E-3</v>
      </c>
      <c r="GH109">
        <f t="shared" si="459"/>
        <v>1.2682275465316285E-2</v>
      </c>
      <c r="GI109">
        <f t="shared" si="460"/>
        <v>14.619358469543146</v>
      </c>
      <c r="GJ109">
        <f t="shared" si="561"/>
        <v>2.736193393078322E-6</v>
      </c>
      <c r="GK109">
        <f t="shared" si="534"/>
        <v>3.5334988417430394E-2</v>
      </c>
      <c r="GL109">
        <f t="shared" si="461"/>
        <v>3815.2220542710807</v>
      </c>
      <c r="GM109">
        <f t="shared" si="535"/>
        <v>2.4295786969256785E-6</v>
      </c>
      <c r="GN109">
        <f t="shared" si="462"/>
        <v>3.4440601206507833E-4</v>
      </c>
      <c r="GO109">
        <f t="shared" si="463"/>
        <v>0.22742367891042337</v>
      </c>
      <c r="GQ109">
        <f t="shared" si="464"/>
        <v>27.990982616811962</v>
      </c>
      <c r="GR109">
        <f t="shared" si="465"/>
        <v>0.6</v>
      </c>
      <c r="GS109">
        <f t="shared" si="341"/>
        <v>107972.925</v>
      </c>
      <c r="GT109">
        <f t="shared" si="342"/>
        <v>5.2049926096569433E-3</v>
      </c>
      <c r="GU109">
        <f t="shared" si="466"/>
        <v>4.1472100765770027E-3</v>
      </c>
      <c r="GV109">
        <f t="shared" si="467"/>
        <v>1.2682275465316285E-2</v>
      </c>
      <c r="GW109">
        <f t="shared" si="468"/>
        <v>14.619358469543146</v>
      </c>
      <c r="GX109">
        <f t="shared" si="562"/>
        <v>2.664244309132409E-6</v>
      </c>
      <c r="GY109">
        <f t="shared" si="536"/>
        <v>3.3803618075390583E-2</v>
      </c>
      <c r="GZ109">
        <f t="shared" si="469"/>
        <v>3649.8755191827918</v>
      </c>
      <c r="HA109">
        <f t="shared" si="537"/>
        <v>2.3763482570709979E-6</v>
      </c>
      <c r="HB109">
        <f t="shared" si="470"/>
        <v>3.2338023070619179E-4</v>
      </c>
      <c r="HC109">
        <f t="shared" si="471"/>
        <v>0.22144350024081352</v>
      </c>
      <c r="HE109">
        <f t="shared" si="472"/>
        <v>29.888676353544977</v>
      </c>
      <c r="HF109">
        <f t="shared" si="473"/>
        <v>0.6</v>
      </c>
      <c r="HG109">
        <f t="shared" si="343"/>
        <v>107972.925</v>
      </c>
      <c r="HH109">
        <f t="shared" si="344"/>
        <v>5.2049926096569433E-3</v>
      </c>
      <c r="HI109">
        <f t="shared" si="568"/>
        <v>4.1472100765770027E-3</v>
      </c>
      <c r="HJ109">
        <f t="shared" si="474"/>
        <v>1.2682275465316285E-2</v>
      </c>
      <c r="HK109">
        <f t="shared" si="475"/>
        <v>14.619358469543146</v>
      </c>
      <c r="HL109">
        <f t="shared" si="563"/>
        <v>2.5955190300660747E-6</v>
      </c>
      <c r="HM109">
        <f t="shared" si="538"/>
        <v>3.2359382231763142E-2</v>
      </c>
      <c r="HN109">
        <f t="shared" si="476"/>
        <v>3493.9371507564947</v>
      </c>
      <c r="HO109">
        <f t="shared" si="539"/>
        <v>2.3250302370903497E-6</v>
      </c>
      <c r="HP109">
        <f t="shared" si="477"/>
        <v>3.0382746706533834E-4</v>
      </c>
      <c r="HQ109">
        <f t="shared" si="478"/>
        <v>0.21573127396362513</v>
      </c>
      <c r="HS109">
        <f t="shared" si="479"/>
        <v>31.786370090277991</v>
      </c>
      <c r="HT109">
        <f t="shared" si="480"/>
        <v>0.6</v>
      </c>
      <c r="HU109">
        <f t="shared" si="345"/>
        <v>107972.925</v>
      </c>
      <c r="HV109">
        <f t="shared" si="346"/>
        <v>5.2049926096569433E-3</v>
      </c>
      <c r="HW109">
        <f t="shared" si="569"/>
        <v>4.1472100765770027E-3</v>
      </c>
      <c r="HX109">
        <f t="shared" si="481"/>
        <v>1.2682275465316285E-2</v>
      </c>
      <c r="HY109">
        <f t="shared" si="482"/>
        <v>14.619358469543146</v>
      </c>
      <c r="HZ109">
        <f t="shared" si="564"/>
        <v>2.5298285665007629E-6</v>
      </c>
      <c r="IA109">
        <f t="shared" si="540"/>
        <v>3.0996364096031639E-2</v>
      </c>
      <c r="IB109">
        <f t="shared" si="483"/>
        <v>3346.768095813517</v>
      </c>
      <c r="IC109">
        <f t="shared" si="541"/>
        <v>2.2755368408977362E-6</v>
      </c>
      <c r="ID109">
        <f t="shared" si="484"/>
        <v>2.8563405542859373E-4</v>
      </c>
      <c r="IE109">
        <f t="shared" si="485"/>
        <v>0.21027129188372295</v>
      </c>
      <c r="IG109">
        <f t="shared" si="486"/>
        <v>33.684063827011009</v>
      </c>
      <c r="IH109">
        <f t="shared" si="487"/>
        <v>0.6</v>
      </c>
      <c r="II109">
        <f t="shared" si="347"/>
        <v>107972.925</v>
      </c>
      <c r="IJ109">
        <f t="shared" si="348"/>
        <v>5.2049926096569433E-3</v>
      </c>
      <c r="IK109">
        <f t="shared" si="570"/>
        <v>4.1472100765770027E-3</v>
      </c>
      <c r="IL109">
        <f t="shared" si="488"/>
        <v>1.2682275465316285E-2</v>
      </c>
      <c r="IM109">
        <f t="shared" si="489"/>
        <v>14.619358469543146</v>
      </c>
      <c r="IN109">
        <f t="shared" si="565"/>
        <v>2.4669970568680582E-6</v>
      </c>
      <c r="IO109">
        <f t="shared" si="542"/>
        <v>2.9709102896272974E-2</v>
      </c>
      <c r="IP109">
        <f t="shared" si="490"/>
        <v>3207.7787388365646</v>
      </c>
      <c r="IQ109">
        <f t="shared" si="543"/>
        <v>2.2277849374561865E-6</v>
      </c>
      <c r="IR109">
        <f t="shared" si="491"/>
        <v>2.6869583590756317E-4</v>
      </c>
      <c r="IS109">
        <f t="shared" si="492"/>
        <v>0.2050489369477331</v>
      </c>
      <c r="IU109">
        <f t="shared" si="493"/>
        <v>35.58175756374402</v>
      </c>
      <c r="IV109">
        <f t="shared" si="494"/>
        <v>0.6</v>
      </c>
      <c r="IW109">
        <f t="shared" si="349"/>
        <v>107972.925</v>
      </c>
      <c r="IX109">
        <f t="shared" si="350"/>
        <v>5.2049926096569433E-3</v>
      </c>
      <c r="IY109">
        <f t="shared" si="571"/>
        <v>4.1472100765770027E-3</v>
      </c>
      <c r="IZ109">
        <f t="shared" si="495"/>
        <v>1.2682275465316285E-2</v>
      </c>
      <c r="JA109">
        <f t="shared" si="496"/>
        <v>14.619358469543146</v>
      </c>
      <c r="JB109">
        <f t="shared" si="566"/>
        <v>2.4068607393304718E-6</v>
      </c>
      <c r="JC109">
        <f t="shared" si="544"/>
        <v>2.8492555226537562E-2</v>
      </c>
      <c r="JD109">
        <f t="shared" si="497"/>
        <v>3076.4245285332981</v>
      </c>
      <c r="JE109">
        <f t="shared" si="545"/>
        <v>2.1816957904015313E-6</v>
      </c>
      <c r="JF109">
        <f t="shared" si="498"/>
        <v>2.5291730334689255E-4</v>
      </c>
      <c r="JG109">
        <f t="shared" si="499"/>
        <v>0.20005059779337356</v>
      </c>
      <c r="JI109">
        <f t="shared" si="500"/>
        <v>37.479451300477038</v>
      </c>
      <c r="JJ109">
        <f t="shared" si="501"/>
        <v>0.6</v>
      </c>
      <c r="JK109">
        <f t="shared" si="351"/>
        <v>107972.925</v>
      </c>
      <c r="JL109">
        <f t="shared" si="352"/>
        <v>5.2049926096569433E-3</v>
      </c>
      <c r="JM109">
        <f t="shared" si="572"/>
        <v>4.1472100765770027E-3</v>
      </c>
      <c r="JN109">
        <f t="shared" si="502"/>
        <v>1.2682275465316285E-2</v>
      </c>
      <c r="JO109">
        <f t="shared" si="503"/>
        <v>14.619358469543146</v>
      </c>
      <c r="JP109">
        <f t="shared" si="567"/>
        <v>2.3492670117984988E-6</v>
      </c>
      <c r="JQ109">
        <f t="shared" si="546"/>
        <v>2.7342059918508445E-2</v>
      </c>
      <c r="JR109">
        <f t="shared" si="504"/>
        <v>2952.2021849266184</v>
      </c>
      <c r="JS109">
        <f t="shared" si="547"/>
        <v>2.1371948039829304E-6</v>
      </c>
      <c r="JT109">
        <f t="shared" si="505"/>
        <v>2.3821083685837127E-4</v>
      </c>
      <c r="JU109">
        <f t="shared" si="506"/>
        <v>0.19526359062106621</v>
      </c>
    </row>
    <row r="110" spans="2:281">
      <c r="B110">
        <v>0.76</v>
      </c>
      <c r="C110">
        <f t="shared" si="353"/>
        <v>1.4422472399170909</v>
      </c>
      <c r="D110">
        <f t="shared" si="354"/>
        <v>0.60799999999999998</v>
      </c>
      <c r="E110">
        <f t="shared" si="313"/>
        <v>107788.497</v>
      </c>
      <c r="F110">
        <f t="shared" si="314"/>
        <v>5.2079595292218017E-3</v>
      </c>
      <c r="G110">
        <f t="shared" si="355"/>
        <v>4.1460285973841165E-3</v>
      </c>
      <c r="H110">
        <f t="shared" si="356"/>
        <v>1.2703975060028301E-2</v>
      </c>
      <c r="I110">
        <f t="shared" si="357"/>
        <v>14.636029702703842</v>
      </c>
      <c r="J110">
        <f t="shared" si="548"/>
        <v>4.0824661162819E-6</v>
      </c>
      <c r="K110">
        <f t="shared" si="507"/>
        <v>6.7466980914904343E-2</v>
      </c>
      <c r="L110">
        <f t="shared" si="358"/>
        <v>7272.1644699452245</v>
      </c>
      <c r="M110">
        <f t="shared" si="508"/>
        <v>3.3543077624337569E-6</v>
      </c>
      <c r="N110">
        <f t="shared" si="509"/>
        <v>8.1860580247334876E-4</v>
      </c>
      <c r="O110">
        <f t="shared" si="359"/>
        <v>0.33932157922047934</v>
      </c>
      <c r="Q110">
        <f t="shared" si="360"/>
        <v>3.3399409766501056</v>
      </c>
      <c r="R110">
        <f t="shared" si="361"/>
        <v>0.60799999999999998</v>
      </c>
      <c r="S110">
        <f t="shared" si="315"/>
        <v>107788.497</v>
      </c>
      <c r="T110">
        <f t="shared" si="316"/>
        <v>5.2079595292218017E-3</v>
      </c>
      <c r="U110">
        <f t="shared" si="362"/>
        <v>4.1460285973841165E-3</v>
      </c>
      <c r="V110">
        <f t="shared" si="363"/>
        <v>1.2703975060028301E-2</v>
      </c>
      <c r="W110">
        <f t="shared" si="364"/>
        <v>14.636029702703842</v>
      </c>
      <c r="X110">
        <f t="shared" si="549"/>
        <v>3.9428757465943451E-6</v>
      </c>
      <c r="Y110">
        <f t="shared" si="510"/>
        <v>6.3925451535559286E-2</v>
      </c>
      <c r="Z110">
        <f t="shared" si="365"/>
        <v>6890.4283410642774</v>
      </c>
      <c r="AA110">
        <f t="shared" si="511"/>
        <v>3.2650825903189113E-6</v>
      </c>
      <c r="AB110">
        <f t="shared" si="366"/>
        <v>7.6198454315818786E-4</v>
      </c>
      <c r="AC110">
        <f t="shared" si="367"/>
        <v>0.32771927234585663</v>
      </c>
      <c r="AE110">
        <f t="shared" si="368"/>
        <v>5.2376347133831196</v>
      </c>
      <c r="AF110">
        <f t="shared" si="369"/>
        <v>0.60799999999999998</v>
      </c>
      <c r="AG110">
        <f t="shared" si="317"/>
        <v>107788.497</v>
      </c>
      <c r="AH110">
        <f t="shared" si="318"/>
        <v>5.2079595292218017E-3</v>
      </c>
      <c r="AI110">
        <f t="shared" si="370"/>
        <v>4.1460285973841165E-3</v>
      </c>
      <c r="AJ110">
        <f t="shared" si="371"/>
        <v>1.2703975060028301E-2</v>
      </c>
      <c r="AK110">
        <f t="shared" si="372"/>
        <v>14.636029702703842</v>
      </c>
      <c r="AL110">
        <f t="shared" si="550"/>
        <v>3.8108542587395005E-6</v>
      </c>
      <c r="AM110">
        <f t="shared" si="512"/>
        <v>6.0618831922203915E-2</v>
      </c>
      <c r="AN110">
        <f t="shared" si="373"/>
        <v>6534.0127827899814</v>
      </c>
      <c r="AO110">
        <f t="shared" si="513"/>
        <v>3.1795162641360038E-6</v>
      </c>
      <c r="AP110">
        <f t="shared" si="374"/>
        <v>7.0975900087262068E-4</v>
      </c>
      <c r="AQ110">
        <f t="shared" si="375"/>
        <v>0.31674606681910933</v>
      </c>
      <c r="AS110">
        <f t="shared" si="376"/>
        <v>7.135328450116134</v>
      </c>
      <c r="AT110">
        <f t="shared" si="377"/>
        <v>0.60799999999999998</v>
      </c>
      <c r="AU110">
        <f t="shared" si="319"/>
        <v>107788.497</v>
      </c>
      <c r="AV110">
        <f t="shared" si="320"/>
        <v>5.2079595292218017E-3</v>
      </c>
      <c r="AW110">
        <f t="shared" si="378"/>
        <v>4.1460285973841165E-3</v>
      </c>
      <c r="AX110">
        <f t="shared" si="379"/>
        <v>1.2703975060028301E-2</v>
      </c>
      <c r="AY110">
        <f t="shared" si="380"/>
        <v>14.636029702703842</v>
      </c>
      <c r="AZ110">
        <f t="shared" si="551"/>
        <v>3.6858871314586431E-6</v>
      </c>
      <c r="BA110">
        <f t="shared" si="514"/>
        <v>5.7529033310721206E-2</v>
      </c>
      <c r="BB110">
        <f t="shared" si="381"/>
        <v>6200.968034425573</v>
      </c>
      <c r="BC110">
        <f t="shared" si="515"/>
        <v>3.0974250567831832E-6</v>
      </c>
      <c r="BD110">
        <f t="shared" si="382"/>
        <v>6.6155729220034271E-4</v>
      </c>
      <c r="BE110">
        <f t="shared" si="383"/>
        <v>0.30635919727217809</v>
      </c>
      <c r="BG110">
        <f t="shared" si="384"/>
        <v>9.0330221868491485</v>
      </c>
      <c r="BH110">
        <f t="shared" si="385"/>
        <v>0.60799999999999998</v>
      </c>
      <c r="BI110">
        <f t="shared" si="321"/>
        <v>107788.497</v>
      </c>
      <c r="BJ110">
        <f t="shared" si="322"/>
        <v>5.2079595292218017E-3</v>
      </c>
      <c r="BK110">
        <f t="shared" si="386"/>
        <v>4.1460285973841165E-3</v>
      </c>
      <c r="BL110">
        <f t="shared" si="387"/>
        <v>1.2703975060028301E-2</v>
      </c>
      <c r="BM110">
        <f t="shared" si="388"/>
        <v>14.636029702703842</v>
      </c>
      <c r="BN110">
        <f t="shared" si="552"/>
        <v>3.5675001309700983E-6</v>
      </c>
      <c r="BO110">
        <f t="shared" si="516"/>
        <v>5.4639512995003345E-2</v>
      </c>
      <c r="BP110">
        <f t="shared" si="389"/>
        <v>5889.5109825433792</v>
      </c>
      <c r="BQ110">
        <f t="shared" si="517"/>
        <v>3.0186355264412861E-6</v>
      </c>
      <c r="BR110">
        <f t="shared" si="390"/>
        <v>6.1704126261143957E-4</v>
      </c>
      <c r="BS110">
        <f t="shared" si="391"/>
        <v>0.29651924690376336</v>
      </c>
      <c r="BU110">
        <f t="shared" si="392"/>
        <v>10.930715923582163</v>
      </c>
      <c r="BV110">
        <f t="shared" si="393"/>
        <v>0.60799999999999998</v>
      </c>
      <c r="BW110">
        <f t="shared" si="323"/>
        <v>107788.497</v>
      </c>
      <c r="BX110">
        <f t="shared" si="324"/>
        <v>5.2079595292218017E-3</v>
      </c>
      <c r="BY110">
        <f t="shared" si="394"/>
        <v>4.1460285973841165E-3</v>
      </c>
      <c r="BZ110">
        <f t="shared" si="395"/>
        <v>1.2703975060028301E-2</v>
      </c>
      <c r="CA110">
        <f t="shared" si="396"/>
        <v>14.636029702703842</v>
      </c>
      <c r="CB110">
        <f t="shared" si="553"/>
        <v>3.4552558298385604E-6</v>
      </c>
      <c r="CC110">
        <f t="shared" si="518"/>
        <v>5.1935131777699817E-2</v>
      </c>
      <c r="CD110">
        <f t="shared" si="397"/>
        <v>5598.0097958152019</v>
      </c>
      <c r="CE110">
        <f t="shared" si="519"/>
        <v>2.9429839121187774E-6</v>
      </c>
      <c r="CF110">
        <f t="shared" si="398"/>
        <v>5.7590325246343211E-4</v>
      </c>
      <c r="CG110">
        <f t="shared" si="399"/>
        <v>0.28718985813883219</v>
      </c>
      <c r="CI110">
        <f t="shared" si="400"/>
        <v>12.828409660315177</v>
      </c>
      <c r="CJ110">
        <f t="shared" si="401"/>
        <v>0.60799999999999998</v>
      </c>
      <c r="CK110">
        <f t="shared" si="325"/>
        <v>107788.497</v>
      </c>
      <c r="CL110">
        <f t="shared" si="326"/>
        <v>5.2079595292218017E-3</v>
      </c>
      <c r="CM110">
        <f t="shared" si="402"/>
        <v>4.1460285973841165E-3</v>
      </c>
      <c r="CN110">
        <f t="shared" si="403"/>
        <v>1.2703975060028301E-2</v>
      </c>
      <c r="CO110">
        <f t="shared" si="404"/>
        <v>14.636029702703842</v>
      </c>
      <c r="CP110">
        <f t="shared" si="554"/>
        <v>3.348750449074066E-6</v>
      </c>
      <c r="CQ110">
        <f t="shared" si="520"/>
        <v>4.9402025314469446E-2</v>
      </c>
      <c r="CR110">
        <f t="shared" si="405"/>
        <v>5324.9700574026137</v>
      </c>
      <c r="CS110">
        <f t="shared" si="521"/>
        <v>2.87031556457184E-6</v>
      </c>
      <c r="CT110">
        <f t="shared" si="406"/>
        <v>5.3786318661238198E-4</v>
      </c>
      <c r="CU110">
        <f t="shared" si="407"/>
        <v>0.27833747015394411</v>
      </c>
      <c r="CW110">
        <f t="shared" si="408"/>
        <v>14.726103397048192</v>
      </c>
      <c r="CX110">
        <f t="shared" si="409"/>
        <v>0.60799999999999998</v>
      </c>
      <c r="CY110">
        <f t="shared" si="327"/>
        <v>107788.497</v>
      </c>
      <c r="CZ110">
        <f t="shared" si="328"/>
        <v>5.2079595292218017E-3</v>
      </c>
      <c r="DA110">
        <f t="shared" si="410"/>
        <v>4.1460285973841165E-3</v>
      </c>
      <c r="DB110">
        <f t="shared" si="411"/>
        <v>1.2703975060028301E-2</v>
      </c>
      <c r="DC110">
        <f t="shared" si="412"/>
        <v>14.636029702703842</v>
      </c>
      <c r="DD110">
        <f t="shared" si="555"/>
        <v>3.247610991814087E-6</v>
      </c>
      <c r="DE110">
        <f t="shared" si="522"/>
        <v>4.7027487942592823E-2</v>
      </c>
      <c r="DF110">
        <f t="shared" si="413"/>
        <v>5069.0222430177027</v>
      </c>
      <c r="DG110">
        <f t="shared" si="523"/>
        <v>2.8004844106626941E-6</v>
      </c>
      <c r="DH110">
        <f t="shared" si="414"/>
        <v>5.0266595423408976E-4</v>
      </c>
      <c r="DI110">
        <f t="shared" si="415"/>
        <v>0.26993108063803695</v>
      </c>
      <c r="DK110">
        <f t="shared" si="416"/>
        <v>16.623797133781206</v>
      </c>
      <c r="DL110">
        <f t="shared" si="417"/>
        <v>0.60799999999999998</v>
      </c>
      <c r="DM110">
        <f t="shared" si="329"/>
        <v>107788.497</v>
      </c>
      <c r="DN110">
        <f t="shared" si="330"/>
        <v>5.2079595292218017E-3</v>
      </c>
      <c r="DO110">
        <f t="shared" si="418"/>
        <v>4.1460285973841165E-3</v>
      </c>
      <c r="DP110">
        <f t="shared" si="419"/>
        <v>1.2703975060028301E-2</v>
      </c>
      <c r="DQ110">
        <f t="shared" si="420"/>
        <v>14.636029702703842</v>
      </c>
      <c r="DR110">
        <f t="shared" si="556"/>
        <v>3.1514926401613452E-6</v>
      </c>
      <c r="DS110">
        <f t="shared" si="524"/>
        <v>4.4799867731621174E-2</v>
      </c>
      <c r="DT110">
        <f t="shared" si="421"/>
        <v>4828.9104085902454</v>
      </c>
      <c r="DU110">
        <f t="shared" si="525"/>
        <v>2.7333524493091028E-6</v>
      </c>
      <c r="DV110">
        <f t="shared" si="422"/>
        <v>4.7007904897338284E-4</v>
      </c>
      <c r="DW110">
        <f t="shared" si="423"/>
        <v>0.26194202942587852</v>
      </c>
      <c r="DY110">
        <f t="shared" si="424"/>
        <v>18.521490870514221</v>
      </c>
      <c r="DZ110">
        <f t="shared" si="425"/>
        <v>0.60799999999999998</v>
      </c>
      <c r="EA110">
        <f t="shared" si="331"/>
        <v>107788.497</v>
      </c>
      <c r="EB110">
        <f t="shared" si="332"/>
        <v>5.2079595292218017E-3</v>
      </c>
      <c r="EC110">
        <f t="shared" si="426"/>
        <v>4.1460285973841165E-3</v>
      </c>
      <c r="ED110">
        <f t="shared" si="427"/>
        <v>1.2703975060028301E-2</v>
      </c>
      <c r="EE110">
        <f t="shared" si="428"/>
        <v>14.636029702703842</v>
      </c>
      <c r="EF110">
        <f t="shared" si="557"/>
        <v>3.0600763896330686E-6</v>
      </c>
      <c r="EG110">
        <f t="shared" si="526"/>
        <v>4.2708471625015849E-2</v>
      </c>
      <c r="EH110">
        <f t="shared" si="429"/>
        <v>4603.4819656276059</v>
      </c>
      <c r="EI110">
        <f t="shared" si="527"/>
        <v>2.6687892772650037E-6</v>
      </c>
      <c r="EJ110">
        <f t="shared" si="430"/>
        <v>4.3989044268293807E-4</v>
      </c>
      <c r="EK110">
        <f t="shared" si="431"/>
        <v>0.25434380188102368</v>
      </c>
      <c r="EM110">
        <f t="shared" si="432"/>
        <v>20.419184607247235</v>
      </c>
      <c r="EN110">
        <f t="shared" si="433"/>
        <v>0.60799999999999998</v>
      </c>
      <c r="EO110">
        <f t="shared" si="333"/>
        <v>107788.497</v>
      </c>
      <c r="EP110">
        <f t="shared" si="334"/>
        <v>5.2079595292218017E-3</v>
      </c>
      <c r="EQ110">
        <f t="shared" si="434"/>
        <v>4.1460285973841165E-3</v>
      </c>
      <c r="ER110">
        <f t="shared" si="435"/>
        <v>1.2703975060028301E-2</v>
      </c>
      <c r="ES110">
        <f t="shared" si="436"/>
        <v>14.636029702703842</v>
      </c>
      <c r="ET110">
        <f t="shared" si="558"/>
        <v>2.9730668982600488E-6</v>
      </c>
      <c r="EU110">
        <f t="shared" si="528"/>
        <v>4.0743479659126745E-2</v>
      </c>
      <c r="EV110">
        <f t="shared" si="437"/>
        <v>4391.678435007344</v>
      </c>
      <c r="EW110">
        <f t="shared" si="529"/>
        <v>2.606671643056374E-6</v>
      </c>
      <c r="EX110">
        <f t="shared" si="438"/>
        <v>4.1190666882190646E-4</v>
      </c>
      <c r="EY110">
        <f t="shared" si="439"/>
        <v>0.24711185011977968</v>
      </c>
      <c r="FA110">
        <f t="shared" si="440"/>
        <v>22.31687834398025</v>
      </c>
      <c r="FB110">
        <f t="shared" si="441"/>
        <v>0.60799999999999998</v>
      </c>
      <c r="FC110">
        <f t="shared" si="335"/>
        <v>107788.497</v>
      </c>
      <c r="FD110">
        <f t="shared" si="336"/>
        <v>5.2079595292218017E-3</v>
      </c>
      <c r="FE110">
        <f t="shared" si="442"/>
        <v>4.1460285973841165E-3</v>
      </c>
      <c r="FF110">
        <f t="shared" si="443"/>
        <v>1.2703975060028301E-2</v>
      </c>
      <c r="FG110">
        <f t="shared" si="444"/>
        <v>14.636029702703842</v>
      </c>
      <c r="FH110">
        <f t="shared" si="559"/>
        <v>2.8901905296879243E-6</v>
      </c>
      <c r="FI110">
        <f t="shared" si="530"/>
        <v>3.8895867350842731E-2</v>
      </c>
      <c r="FJ110">
        <f t="shared" si="445"/>
        <v>4192.5270812587096</v>
      </c>
      <c r="FK110">
        <f t="shared" si="531"/>
        <v>2.5468830274777398E-6</v>
      </c>
      <c r="FL110">
        <f t="shared" si="446"/>
        <v>3.8595109409470348E-4</v>
      </c>
      <c r="FM110">
        <f t="shared" si="447"/>
        <v>0.24022343036001848</v>
      </c>
      <c r="FO110">
        <f t="shared" si="448"/>
        <v>24.214572080713264</v>
      </c>
      <c r="FP110">
        <f t="shared" si="449"/>
        <v>0.60799999999999998</v>
      </c>
      <c r="FQ110">
        <f t="shared" si="337"/>
        <v>107788.497</v>
      </c>
      <c r="FR110">
        <f t="shared" si="338"/>
        <v>5.2079595292218017E-3</v>
      </c>
      <c r="FS110">
        <f t="shared" si="450"/>
        <v>4.1460285973841165E-3</v>
      </c>
      <c r="FT110">
        <f t="shared" si="451"/>
        <v>1.2703975060028301E-2</v>
      </c>
      <c r="FU110">
        <f t="shared" si="452"/>
        <v>14.636029702703842</v>
      </c>
      <c r="FV110">
        <f t="shared" si="560"/>
        <v>2.811193571707034E-6</v>
      </c>
      <c r="FW110">
        <f t="shared" si="532"/>
        <v>3.7157335439152811E-2</v>
      </c>
      <c r="FX110">
        <f t="shared" si="453"/>
        <v>4005.1333395111164</v>
      </c>
      <c r="FY110">
        <f t="shared" si="533"/>
        <v>2.4893132491334608E-6</v>
      </c>
      <c r="FZ110">
        <f t="shared" si="454"/>
        <v>3.618623591533657E-4</v>
      </c>
      <c r="GA110">
        <f t="shared" si="455"/>
        <v>0.23365745485105271</v>
      </c>
      <c r="GC110">
        <f t="shared" si="456"/>
        <v>26.112265817446279</v>
      </c>
      <c r="GD110">
        <f t="shared" si="457"/>
        <v>0.60799999999999998</v>
      </c>
      <c r="GE110">
        <f t="shared" si="339"/>
        <v>107788.497</v>
      </c>
      <c r="GF110">
        <f t="shared" si="340"/>
        <v>5.2079595292218017E-3</v>
      </c>
      <c r="GG110">
        <f t="shared" si="458"/>
        <v>4.1460285973841165E-3</v>
      </c>
      <c r="GH110">
        <f t="shared" si="459"/>
        <v>1.2703975060028301E-2</v>
      </c>
      <c r="GI110">
        <f t="shared" si="460"/>
        <v>14.636029702703842</v>
      </c>
      <c r="GJ110">
        <f t="shared" si="561"/>
        <v>2.7358406134962304E-6</v>
      </c>
      <c r="GK110">
        <f t="shared" si="534"/>
        <v>3.5520246249851783E-2</v>
      </c>
      <c r="GL110">
        <f t="shared" si="461"/>
        <v>3828.6739563414103</v>
      </c>
      <c r="GM110">
        <f t="shared" si="535"/>
        <v>2.4338580935837031E-6</v>
      </c>
      <c r="GN110">
        <f t="shared" si="462"/>
        <v>3.3949297119163834E-4</v>
      </c>
      <c r="GO110">
        <f t="shared" si="463"/>
        <v>0.22739435699531069</v>
      </c>
      <c r="GQ110">
        <f t="shared" si="464"/>
        <v>28.009959554179293</v>
      </c>
      <c r="GR110">
        <f t="shared" si="465"/>
        <v>0.60799999999999998</v>
      </c>
      <c r="GS110">
        <f t="shared" si="341"/>
        <v>107788.497</v>
      </c>
      <c r="GT110">
        <f t="shared" si="342"/>
        <v>5.2079595292218017E-3</v>
      </c>
      <c r="GU110">
        <f t="shared" si="466"/>
        <v>4.1460285973841165E-3</v>
      </c>
      <c r="GV110">
        <f t="shared" si="467"/>
        <v>1.2703975060028301E-2</v>
      </c>
      <c r="GW110">
        <f t="shared" si="468"/>
        <v>14.636029702703842</v>
      </c>
      <c r="GX110">
        <f t="shared" si="562"/>
        <v>2.6639130665331257E-6</v>
      </c>
      <c r="GY110">
        <f t="shared" si="536"/>
        <v>3.3977566027777774E-2</v>
      </c>
      <c r="GZ110">
        <f t="shared" si="469"/>
        <v>3662.3907738524267</v>
      </c>
      <c r="HA110">
        <f t="shared" si="537"/>
        <v>2.3804189647283351E-6</v>
      </c>
      <c r="HB110">
        <f t="shared" si="470"/>
        <v>3.1870803305069251E-4</v>
      </c>
      <c r="HC110">
        <f t="shared" si="471"/>
        <v>0.22141596841110753</v>
      </c>
      <c r="HE110">
        <f t="shared" si="472"/>
        <v>29.907653290912307</v>
      </c>
      <c r="HF110">
        <f t="shared" si="473"/>
        <v>0.60799999999999998</v>
      </c>
      <c r="HG110">
        <f t="shared" si="343"/>
        <v>107788.497</v>
      </c>
      <c r="HH110">
        <f t="shared" si="344"/>
        <v>5.2079595292218017E-3</v>
      </c>
      <c r="HI110">
        <f t="shared" si="568"/>
        <v>4.1460285973841165E-3</v>
      </c>
      <c r="HJ110">
        <f t="shared" si="474"/>
        <v>1.2703975060028301E-2</v>
      </c>
      <c r="HK110">
        <f t="shared" si="475"/>
        <v>14.636029702703842</v>
      </c>
      <c r="HL110">
        <f t="shared" si="563"/>
        <v>2.5952078156182877E-6</v>
      </c>
      <c r="HM110">
        <f t="shared" si="538"/>
        <v>3.2522812648210025E-2</v>
      </c>
      <c r="HN110">
        <f t="shared" si="476"/>
        <v>3505.5850935631483</v>
      </c>
      <c r="HO110">
        <f t="shared" si="539"/>
        <v>2.3289025571323719E-6</v>
      </c>
      <c r="HP110">
        <f t="shared" si="477"/>
        <v>2.9938409505798138E-4</v>
      </c>
      <c r="HQ110">
        <f t="shared" si="478"/>
        <v>0.21570540681007347</v>
      </c>
      <c r="HS110">
        <f t="shared" si="479"/>
        <v>31.805347027645325</v>
      </c>
      <c r="HT110">
        <f t="shared" si="480"/>
        <v>0.60799999999999998</v>
      </c>
      <c r="HU110">
        <f t="shared" si="345"/>
        <v>107788.497</v>
      </c>
      <c r="HV110">
        <f t="shared" si="346"/>
        <v>5.2079595292218017E-3</v>
      </c>
      <c r="HW110">
        <f t="shared" si="569"/>
        <v>4.1460285973841165E-3</v>
      </c>
      <c r="HX110">
        <f t="shared" si="481"/>
        <v>1.2703975060028301E-2</v>
      </c>
      <c r="HY110">
        <f t="shared" si="482"/>
        <v>14.636029702703842</v>
      </c>
      <c r="HZ110">
        <f t="shared" si="564"/>
        <v>2.5295359878024378E-6</v>
      </c>
      <c r="IA110">
        <f t="shared" si="540"/>
        <v>3.1150008179237836E-2</v>
      </c>
      <c r="IB110">
        <f t="shared" si="483"/>
        <v>3357.6125631777531</v>
      </c>
      <c r="IC110">
        <f t="shared" si="541"/>
        <v>2.2792205480645275E-6</v>
      </c>
      <c r="ID110">
        <f t="shared" si="484"/>
        <v>2.814081172525489E-4</v>
      </c>
      <c r="IE110">
        <f t="shared" si="485"/>
        <v>0.21024697367430389</v>
      </c>
      <c r="IG110">
        <f t="shared" si="486"/>
        <v>33.703040764378336</v>
      </c>
      <c r="IH110">
        <f t="shared" si="487"/>
        <v>0.60799999999999998</v>
      </c>
      <c r="II110">
        <f t="shared" si="347"/>
        <v>107788.497</v>
      </c>
      <c r="IJ110">
        <f t="shared" si="348"/>
        <v>5.2079595292218017E-3</v>
      </c>
      <c r="IK110">
        <f t="shared" si="570"/>
        <v>4.1460285973841165E-3</v>
      </c>
      <c r="IL110">
        <f t="shared" si="488"/>
        <v>1.2703975060028301E-2</v>
      </c>
      <c r="IM110">
        <f t="shared" si="489"/>
        <v>14.636029702703842</v>
      </c>
      <c r="IN110">
        <f t="shared" si="565"/>
        <v>2.4667218282094967E-6</v>
      </c>
      <c r="IO110">
        <f t="shared" si="542"/>
        <v>2.9853635820777998E-2</v>
      </c>
      <c r="IP110">
        <f t="shared" si="490"/>
        <v>3217.8785351070219</v>
      </c>
      <c r="IQ110">
        <f t="shared" si="543"/>
        <v>2.2312893080855545E-6</v>
      </c>
      <c r="IR110">
        <f t="shared" si="491"/>
        <v>2.6467653093021509E-4</v>
      </c>
      <c r="IS110">
        <f t="shared" si="492"/>
        <v>0.20502606081835206</v>
      </c>
      <c r="IU110">
        <f t="shared" si="493"/>
        <v>35.600734501111354</v>
      </c>
      <c r="IV110">
        <f t="shared" si="494"/>
        <v>0.60799999999999998</v>
      </c>
      <c r="IW110">
        <f t="shared" si="349"/>
        <v>107788.497</v>
      </c>
      <c r="IX110">
        <f t="shared" si="350"/>
        <v>5.2079595292218017E-3</v>
      </c>
      <c r="IY110">
        <f t="shared" si="571"/>
        <v>4.1460285973841165E-3</v>
      </c>
      <c r="IZ110">
        <f t="shared" si="495"/>
        <v>1.2703975060028301E-2</v>
      </c>
      <c r="JA110">
        <f t="shared" si="496"/>
        <v>14.636029702703842</v>
      </c>
      <c r="JB110">
        <f t="shared" si="566"/>
        <v>2.4066016728291539E-6</v>
      </c>
      <c r="JC110">
        <f t="shared" si="544"/>
        <v>2.862860079414822E-2</v>
      </c>
      <c r="JD110">
        <f t="shared" si="497"/>
        <v>3085.8338508142433</v>
      </c>
      <c r="JE110">
        <f t="shared" si="545"/>
        <v>2.1850296290856804E-6</v>
      </c>
      <c r="JF110">
        <f t="shared" si="498"/>
        <v>2.4909438958673646E-4</v>
      </c>
      <c r="JG110">
        <f t="shared" si="499"/>
        <v>0.20002906501101933</v>
      </c>
      <c r="JI110">
        <f t="shared" si="500"/>
        <v>37.498428237844365</v>
      </c>
      <c r="JJ110">
        <f t="shared" si="501"/>
        <v>0.60799999999999998</v>
      </c>
      <c r="JK110">
        <f t="shared" si="351"/>
        <v>107788.497</v>
      </c>
      <c r="JL110">
        <f t="shared" si="352"/>
        <v>5.2079595292218017E-3</v>
      </c>
      <c r="JM110">
        <f t="shared" si="572"/>
        <v>4.1460285973841165E-3</v>
      </c>
      <c r="JN110">
        <f t="shared" si="502"/>
        <v>1.2703975060028301E-2</v>
      </c>
      <c r="JO110">
        <f t="shared" si="503"/>
        <v>14.636029702703842</v>
      </c>
      <c r="JP110">
        <f t="shared" si="567"/>
        <v>2.3490230093231276E-6</v>
      </c>
      <c r="JQ110">
        <f t="shared" si="546"/>
        <v>2.747019479928782E-2</v>
      </c>
      <c r="JR110">
        <f t="shared" si="504"/>
        <v>2960.9710097124507</v>
      </c>
      <c r="JS110">
        <f t="shared" si="547"/>
        <v>2.1403664687302578E-6</v>
      </c>
      <c r="JT110">
        <f t="shared" si="505"/>
        <v>2.3457460036084522E-4</v>
      </c>
      <c r="JU110">
        <f t="shared" si="506"/>
        <v>0.19524330991256347</v>
      </c>
    </row>
    <row r="111" spans="2:281">
      <c r="B111">
        <v>0.77</v>
      </c>
      <c r="C111">
        <f t="shared" si="353"/>
        <v>1.4612241772844212</v>
      </c>
      <c r="D111">
        <f t="shared" si="354"/>
        <v>0.6160000000000001</v>
      </c>
      <c r="E111">
        <f t="shared" si="313"/>
        <v>107604.069</v>
      </c>
      <c r="F111">
        <f t="shared" si="314"/>
        <v>5.2109332251204059E-3</v>
      </c>
      <c r="G111">
        <f t="shared" si="355"/>
        <v>4.1448454323788925E-3</v>
      </c>
      <c r="H111">
        <f t="shared" si="356"/>
        <v>1.2725749038783424E-2</v>
      </c>
      <c r="I111">
        <f t="shared" si="357"/>
        <v>14.652748545043249</v>
      </c>
      <c r="J111">
        <f t="shared" si="548"/>
        <v>4.0816276076531953E-6</v>
      </c>
      <c r="K111">
        <f t="shared" si="507"/>
        <v>6.7907313345991885E-2</v>
      </c>
      <c r="L111">
        <f t="shared" si="358"/>
        <v>7307.1032308867316</v>
      </c>
      <c r="M111">
        <f t="shared" si="508"/>
        <v>3.3623559116338094E-6</v>
      </c>
      <c r="N111">
        <f t="shared" si="509"/>
        <v>8.0930796393442891E-4</v>
      </c>
      <c r="O111">
        <f t="shared" si="359"/>
        <v>0.33925188505426268</v>
      </c>
      <c r="Q111">
        <f t="shared" si="360"/>
        <v>3.3589179140174354</v>
      </c>
      <c r="R111">
        <f t="shared" si="361"/>
        <v>0.6160000000000001</v>
      </c>
      <c r="S111">
        <f t="shared" si="315"/>
        <v>107604.069</v>
      </c>
      <c r="T111">
        <f t="shared" si="316"/>
        <v>5.2109332251204059E-3</v>
      </c>
      <c r="U111">
        <f t="shared" si="362"/>
        <v>4.1448454323788925E-3</v>
      </c>
      <c r="V111">
        <f t="shared" si="363"/>
        <v>1.2725749038783424E-2</v>
      </c>
      <c r="W111">
        <f t="shared" si="364"/>
        <v>14.652748545043249</v>
      </c>
      <c r="X111">
        <f t="shared" si="549"/>
        <v>3.9420952358620149E-6</v>
      </c>
      <c r="Y111">
        <f t="shared" si="510"/>
        <v>6.4335327089001734E-2</v>
      </c>
      <c r="Z111">
        <f t="shared" si="365"/>
        <v>6922.7429752225116</v>
      </c>
      <c r="AA111">
        <f t="shared" si="511"/>
        <v>3.2727299040012414E-6</v>
      </c>
      <c r="AB111">
        <f t="shared" si="366"/>
        <v>7.5315447118877779E-4</v>
      </c>
      <c r="AC111">
        <f t="shared" si="367"/>
        <v>0.32765439878003905</v>
      </c>
      <c r="AE111">
        <f t="shared" si="368"/>
        <v>5.2566116507504503</v>
      </c>
      <c r="AF111">
        <f t="shared" si="369"/>
        <v>0.6160000000000001</v>
      </c>
      <c r="AG111">
        <f t="shared" si="317"/>
        <v>107604.069</v>
      </c>
      <c r="AH111">
        <f t="shared" si="318"/>
        <v>5.2109332251204059E-3</v>
      </c>
      <c r="AI111">
        <f t="shared" si="370"/>
        <v>4.1448454323788925E-3</v>
      </c>
      <c r="AJ111">
        <f t="shared" si="371"/>
        <v>1.2725749038783424E-2</v>
      </c>
      <c r="AK111">
        <f t="shared" si="372"/>
        <v>14.652748545043249</v>
      </c>
      <c r="AL111">
        <f t="shared" si="550"/>
        <v>3.8101272433131078E-6</v>
      </c>
      <c r="AM111">
        <f t="shared" si="512"/>
        <v>6.1000615077657035E-2</v>
      </c>
      <c r="AN111">
        <f t="shared" si="373"/>
        <v>6563.9143938586485</v>
      </c>
      <c r="AO111">
        <f t="shared" si="513"/>
        <v>3.186783171912613E-6</v>
      </c>
      <c r="AP111">
        <f t="shared" si="374"/>
        <v>7.0137240773914043E-4</v>
      </c>
      <c r="AQ111">
        <f t="shared" si="375"/>
        <v>0.31668563961271629</v>
      </c>
      <c r="AS111">
        <f t="shared" si="376"/>
        <v>7.1543053874834648</v>
      </c>
      <c r="AT111">
        <f t="shared" si="377"/>
        <v>0.6160000000000001</v>
      </c>
      <c r="AU111">
        <f t="shared" si="319"/>
        <v>107604.069</v>
      </c>
      <c r="AV111">
        <f t="shared" si="320"/>
        <v>5.2109332251204059E-3</v>
      </c>
      <c r="AW111">
        <f t="shared" si="378"/>
        <v>4.1448454323788925E-3</v>
      </c>
      <c r="AX111">
        <f t="shared" si="379"/>
        <v>1.2725749038783424E-2</v>
      </c>
      <c r="AY111">
        <f t="shared" si="380"/>
        <v>14.652748545043249</v>
      </c>
      <c r="AZ111">
        <f t="shared" si="551"/>
        <v>3.685209489672796E-6</v>
      </c>
      <c r="BA111">
        <f t="shared" si="514"/>
        <v>5.7884888509765871E-2</v>
      </c>
      <c r="BB111">
        <f t="shared" si="381"/>
        <v>6228.6495372621539</v>
      </c>
      <c r="BC111">
        <f t="shared" si="515"/>
        <v>3.1043309063462304E-6</v>
      </c>
      <c r="BD111">
        <f t="shared" si="382"/>
        <v>6.5359121757026272E-4</v>
      </c>
      <c r="BE111">
        <f t="shared" si="383"/>
        <v>0.30630287384551147</v>
      </c>
      <c r="BG111">
        <f t="shared" si="384"/>
        <v>9.0519991242164775</v>
      </c>
      <c r="BH111">
        <f t="shared" si="385"/>
        <v>0.6160000000000001</v>
      </c>
      <c r="BI111">
        <f t="shared" si="321"/>
        <v>107604.069</v>
      </c>
      <c r="BJ111">
        <f t="shared" si="322"/>
        <v>5.2109332251204059E-3</v>
      </c>
      <c r="BK111">
        <f t="shared" si="386"/>
        <v>4.1448454323788925E-3</v>
      </c>
      <c r="BL111">
        <f t="shared" si="387"/>
        <v>1.2725749038783424E-2</v>
      </c>
      <c r="BM111">
        <f t="shared" si="388"/>
        <v>14.652748545043249</v>
      </c>
      <c r="BN111">
        <f t="shared" si="552"/>
        <v>3.5668680875355129E-6</v>
      </c>
      <c r="BO111">
        <f t="shared" si="516"/>
        <v>5.4971422784093615E-2</v>
      </c>
      <c r="BP111">
        <f t="shared" si="389"/>
        <v>5915.1487702877821</v>
      </c>
      <c r="BQ111">
        <f t="shared" si="517"/>
        <v>3.0251986431921601E-6</v>
      </c>
      <c r="BR111">
        <f t="shared" si="390"/>
        <v>6.094739964787897E-4</v>
      </c>
      <c r="BS111">
        <f t="shared" si="391"/>
        <v>0.29646671346680376</v>
      </c>
      <c r="BU111">
        <f t="shared" si="392"/>
        <v>10.949692860949492</v>
      </c>
      <c r="BV111">
        <f t="shared" si="393"/>
        <v>0.6160000000000001</v>
      </c>
      <c r="BW111">
        <f t="shared" si="323"/>
        <v>107604.069</v>
      </c>
      <c r="BX111">
        <f t="shared" si="324"/>
        <v>5.2109332251204059E-3</v>
      </c>
      <c r="BY111">
        <f t="shared" si="394"/>
        <v>4.1448454323788925E-3</v>
      </c>
      <c r="BZ111">
        <f t="shared" si="395"/>
        <v>1.2725749038783424E-2</v>
      </c>
      <c r="CA111">
        <f t="shared" si="396"/>
        <v>14.652748545043249</v>
      </c>
      <c r="CB111">
        <f t="shared" si="553"/>
        <v>3.4546659246057478E-6</v>
      </c>
      <c r="CC111">
        <f t="shared" si="518"/>
        <v>5.2244913211525752E-2</v>
      </c>
      <c r="CD111">
        <f t="shared" si="397"/>
        <v>5621.7652461120288</v>
      </c>
      <c r="CE111">
        <f t="shared" si="519"/>
        <v>2.9492216554267144E-6</v>
      </c>
      <c r="CF111">
        <f t="shared" si="398"/>
        <v>5.6871426282368806E-4</v>
      </c>
      <c r="CG111">
        <f t="shared" si="399"/>
        <v>0.28714082709497613</v>
      </c>
      <c r="CI111">
        <f t="shared" si="400"/>
        <v>12.847386597682506</v>
      </c>
      <c r="CJ111">
        <f t="shared" si="401"/>
        <v>0.6160000000000001</v>
      </c>
      <c r="CK111">
        <f t="shared" si="325"/>
        <v>107604.069</v>
      </c>
      <c r="CL111">
        <f t="shared" si="326"/>
        <v>5.2109332251204059E-3</v>
      </c>
      <c r="CM111">
        <f t="shared" si="402"/>
        <v>4.1448454323788925E-3</v>
      </c>
      <c r="CN111">
        <f t="shared" si="403"/>
        <v>1.2725749038783424E-2</v>
      </c>
      <c r="CO111">
        <f t="shared" si="404"/>
        <v>14.652748545043249</v>
      </c>
      <c r="CP111">
        <f t="shared" si="554"/>
        <v>3.3481995087781695E-6</v>
      </c>
      <c r="CQ111">
        <f t="shared" si="520"/>
        <v>4.969134479380604E-2</v>
      </c>
      <c r="CR111">
        <f t="shared" si="405"/>
        <v>5346.9908938954959</v>
      </c>
      <c r="CS111">
        <f t="shared" si="521"/>
        <v>2.8762443808517358E-6</v>
      </c>
      <c r="CT111">
        <f t="shared" si="406"/>
        <v>5.3103305157757856E-4</v>
      </c>
      <c r="CU111">
        <f t="shared" si="407"/>
        <v>0.27829167775152486</v>
      </c>
      <c r="CW111">
        <f t="shared" si="408"/>
        <v>14.745080334415521</v>
      </c>
      <c r="CX111">
        <f t="shared" si="409"/>
        <v>0.6160000000000001</v>
      </c>
      <c r="CY111">
        <f t="shared" si="327"/>
        <v>107604.069</v>
      </c>
      <c r="CZ111">
        <f t="shared" si="328"/>
        <v>5.2109332251204059E-3</v>
      </c>
      <c r="DA111">
        <f t="shared" si="410"/>
        <v>4.1448454323788925E-3</v>
      </c>
      <c r="DB111">
        <f t="shared" si="411"/>
        <v>1.2725749038783424E-2</v>
      </c>
      <c r="DC111">
        <f t="shared" si="412"/>
        <v>14.652748545043249</v>
      </c>
      <c r="DD111">
        <f t="shared" si="555"/>
        <v>3.2470961045036039E-6</v>
      </c>
      <c r="DE111">
        <f t="shared" si="522"/>
        <v>4.7297874642740878E-2</v>
      </c>
      <c r="DF111">
        <f t="shared" si="413"/>
        <v>5089.4437666108397</v>
      </c>
      <c r="DG111">
        <f t="shared" si="523"/>
        <v>2.8061198834515299E-6</v>
      </c>
      <c r="DH111">
        <f t="shared" si="414"/>
        <v>4.9617629830040443E-4</v>
      </c>
      <c r="DI111">
        <f t="shared" si="415"/>
        <v>0.26988828484492139</v>
      </c>
      <c r="DK111">
        <f t="shared" si="416"/>
        <v>16.642774071148537</v>
      </c>
      <c r="DL111">
        <f t="shared" si="417"/>
        <v>0.6160000000000001</v>
      </c>
      <c r="DM111">
        <f t="shared" si="329"/>
        <v>107604.069</v>
      </c>
      <c r="DN111">
        <f t="shared" si="330"/>
        <v>5.2109332251204059E-3</v>
      </c>
      <c r="DO111">
        <f t="shared" si="418"/>
        <v>4.1448454323788925E-3</v>
      </c>
      <c r="DP111">
        <f t="shared" si="419"/>
        <v>1.2725749038783424E-2</v>
      </c>
      <c r="DQ111">
        <f t="shared" si="420"/>
        <v>14.652748545043249</v>
      </c>
      <c r="DR111">
        <f t="shared" si="556"/>
        <v>3.1510111320440721E-6</v>
      </c>
      <c r="DS111">
        <f t="shared" si="524"/>
        <v>4.5052725761471887E-2</v>
      </c>
      <c r="DT111">
        <f t="shared" si="421"/>
        <v>4847.8566114754985</v>
      </c>
      <c r="DU111">
        <f t="shared" si="525"/>
        <v>2.7387093465107257E-6</v>
      </c>
      <c r="DV111">
        <f t="shared" si="422"/>
        <v>4.6391248317315798E-4</v>
      </c>
      <c r="DW111">
        <f t="shared" si="423"/>
        <v>0.26190200800497587</v>
      </c>
      <c r="DY111">
        <f t="shared" si="424"/>
        <v>18.540467807881551</v>
      </c>
      <c r="DZ111">
        <f t="shared" si="425"/>
        <v>0.6160000000000001</v>
      </c>
      <c r="EA111">
        <f t="shared" si="331"/>
        <v>107604.069</v>
      </c>
      <c r="EB111">
        <f t="shared" si="332"/>
        <v>5.2109332251204059E-3</v>
      </c>
      <c r="EC111">
        <f t="shared" si="426"/>
        <v>4.1448454323788925E-3</v>
      </c>
      <c r="ED111">
        <f t="shared" si="427"/>
        <v>1.2725749038783424E-2</v>
      </c>
      <c r="EE111">
        <f t="shared" si="428"/>
        <v>14.652748545043249</v>
      </c>
      <c r="EF111">
        <f t="shared" si="557"/>
        <v>3.0596258041000074E-6</v>
      </c>
      <c r="EG111">
        <f t="shared" si="526"/>
        <v>4.2945091042388063E-2</v>
      </c>
      <c r="EH111">
        <f t="shared" si="429"/>
        <v>4621.0665397364073</v>
      </c>
      <c r="EI111">
        <f t="shared" si="527"/>
        <v>2.6738815957237649E-6</v>
      </c>
      <c r="EJ111">
        <f t="shared" si="430"/>
        <v>4.3403050837143026E-4</v>
      </c>
      <c r="EK111">
        <f t="shared" si="431"/>
        <v>0.25430635064681928</v>
      </c>
      <c r="EM111">
        <f t="shared" si="432"/>
        <v>20.438161544614566</v>
      </c>
      <c r="EN111">
        <f t="shared" si="433"/>
        <v>0.6160000000000001</v>
      </c>
      <c r="EO111">
        <f t="shared" si="333"/>
        <v>107604.069</v>
      </c>
      <c r="EP111">
        <f t="shared" si="334"/>
        <v>5.2109332251204059E-3</v>
      </c>
      <c r="EQ111">
        <f t="shared" si="434"/>
        <v>4.1448454323788925E-3</v>
      </c>
      <c r="ER111">
        <f t="shared" si="435"/>
        <v>1.2725749038783424E-2</v>
      </c>
      <c r="ES111">
        <f t="shared" si="436"/>
        <v>14.652748545043249</v>
      </c>
      <c r="ET111">
        <f t="shared" si="558"/>
        <v>2.9726449768725081E-6</v>
      </c>
      <c r="EU111">
        <f t="shared" si="528"/>
        <v>4.0965046455154225E-2</v>
      </c>
      <c r="EV111">
        <f t="shared" si="437"/>
        <v>4408.0056853486203</v>
      </c>
      <c r="EW111">
        <f t="shared" si="529"/>
        <v>2.6115126506113925E-6</v>
      </c>
      <c r="EX111">
        <f t="shared" si="438"/>
        <v>4.0633778486594334E-4</v>
      </c>
      <c r="EY111">
        <f t="shared" si="439"/>
        <v>0.24707678135804367</v>
      </c>
      <c r="FA111">
        <f t="shared" si="440"/>
        <v>22.33585528134758</v>
      </c>
      <c r="FB111">
        <f t="shared" si="441"/>
        <v>0.6160000000000001</v>
      </c>
      <c r="FC111">
        <f t="shared" si="335"/>
        <v>107604.069</v>
      </c>
      <c r="FD111">
        <f t="shared" si="336"/>
        <v>5.2109332251204059E-3</v>
      </c>
      <c r="FE111">
        <f t="shared" si="442"/>
        <v>4.1448454323788925E-3</v>
      </c>
      <c r="FF111">
        <f t="shared" si="443"/>
        <v>1.2725749038783424E-2</v>
      </c>
      <c r="FG111">
        <f t="shared" si="444"/>
        <v>14.652748545043249</v>
      </c>
      <c r="FH111">
        <f t="shared" si="559"/>
        <v>2.8897951949350083E-6</v>
      </c>
      <c r="FI111">
        <f t="shared" si="530"/>
        <v>3.9103472504666635E-2</v>
      </c>
      <c r="FJ111">
        <f t="shared" si="445"/>
        <v>4207.6927535317518</v>
      </c>
      <c r="FK111">
        <f t="shared" si="531"/>
        <v>2.5514853026412246E-6</v>
      </c>
      <c r="FL111">
        <f t="shared" si="446"/>
        <v>3.8065850724616676E-4</v>
      </c>
      <c r="FM111">
        <f t="shared" si="447"/>
        <v>0.24019057139466291</v>
      </c>
      <c r="FO111">
        <f t="shared" si="448"/>
        <v>24.233549018080595</v>
      </c>
      <c r="FP111">
        <f t="shared" si="449"/>
        <v>0.6160000000000001</v>
      </c>
      <c r="FQ111">
        <f t="shared" si="337"/>
        <v>107604.069</v>
      </c>
      <c r="FR111">
        <f t="shared" si="338"/>
        <v>5.2109332251204059E-3</v>
      </c>
      <c r="FS111">
        <f t="shared" si="450"/>
        <v>4.1448454323788925E-3</v>
      </c>
      <c r="FT111">
        <f t="shared" si="451"/>
        <v>1.2725749038783424E-2</v>
      </c>
      <c r="FU111">
        <f t="shared" si="452"/>
        <v>14.652748545043249</v>
      </c>
      <c r="FV111">
        <f t="shared" si="560"/>
        <v>2.8108229113603363E-6</v>
      </c>
      <c r="FW111">
        <f t="shared" si="532"/>
        <v>3.7351983133859644E-2</v>
      </c>
      <c r="FX111">
        <f t="shared" si="453"/>
        <v>4019.2253704226696</v>
      </c>
      <c r="FY111">
        <f t="shared" si="533"/>
        <v>2.4936887185286281E-6</v>
      </c>
      <c r="FZ111">
        <f t="shared" si="454"/>
        <v>3.5683209740495732E-4</v>
      </c>
      <c r="GA111">
        <f t="shared" si="455"/>
        <v>0.2336266467437437</v>
      </c>
      <c r="GC111">
        <f t="shared" si="456"/>
        <v>26.131242754813609</v>
      </c>
      <c r="GD111">
        <f t="shared" si="457"/>
        <v>0.6160000000000001</v>
      </c>
      <c r="GE111">
        <f t="shared" si="339"/>
        <v>107604.069</v>
      </c>
      <c r="GF111">
        <f t="shared" si="340"/>
        <v>5.2109332251204059E-3</v>
      </c>
      <c r="GG111">
        <f t="shared" si="458"/>
        <v>4.1448454323788925E-3</v>
      </c>
      <c r="GH111">
        <f t="shared" si="459"/>
        <v>1.2725749038783424E-2</v>
      </c>
      <c r="GI111">
        <f t="shared" si="460"/>
        <v>14.652748545043249</v>
      </c>
      <c r="GJ111">
        <f t="shared" si="561"/>
        <v>2.7354928664061549E-6</v>
      </c>
      <c r="GK111">
        <f t="shared" si="534"/>
        <v>3.5702861331360219E-2</v>
      </c>
      <c r="GL111">
        <f t="shared" si="461"/>
        <v>3841.773154197117</v>
      </c>
      <c r="GM111">
        <f t="shared" si="535"/>
        <v>2.4380180672703401E-6</v>
      </c>
      <c r="GN111">
        <f t="shared" si="462"/>
        <v>3.347117999259084E-4</v>
      </c>
      <c r="GO111">
        <f t="shared" si="463"/>
        <v>0.22736545336490377</v>
      </c>
      <c r="GQ111">
        <f t="shared" si="464"/>
        <v>28.028936491546624</v>
      </c>
      <c r="GR111">
        <f t="shared" si="465"/>
        <v>0.6160000000000001</v>
      </c>
      <c r="GS111">
        <f t="shared" si="341"/>
        <v>107604.069</v>
      </c>
      <c r="GT111">
        <f t="shared" si="342"/>
        <v>5.2109332251204059E-3</v>
      </c>
      <c r="GU111">
        <f t="shared" si="466"/>
        <v>4.1448454323788925E-3</v>
      </c>
      <c r="GV111">
        <f t="shared" si="467"/>
        <v>1.2725749038783424E-2</v>
      </c>
      <c r="GW111">
        <f t="shared" si="468"/>
        <v>14.652748545043249</v>
      </c>
      <c r="GX111">
        <f t="shared" si="562"/>
        <v>2.663586609727001E-6</v>
      </c>
      <c r="GY111">
        <f t="shared" si="536"/>
        <v>3.4149000780104626E-2</v>
      </c>
      <c r="GZ111">
        <f t="shared" si="469"/>
        <v>3674.5714362234321</v>
      </c>
      <c r="HA111">
        <f t="shared" si="537"/>
        <v>2.3843741695369208E-6</v>
      </c>
      <c r="HB111">
        <f t="shared" si="470"/>
        <v>3.1416341380588253E-4</v>
      </c>
      <c r="HC111">
        <f t="shared" si="471"/>
        <v>0.22138883436128415</v>
      </c>
      <c r="HE111">
        <f t="shared" si="472"/>
        <v>29.926630228279638</v>
      </c>
      <c r="HF111">
        <f t="shared" si="473"/>
        <v>0.6160000000000001</v>
      </c>
      <c r="HG111">
        <f t="shared" si="343"/>
        <v>107604.069</v>
      </c>
      <c r="HH111">
        <f t="shared" si="344"/>
        <v>5.2109332251204059E-3</v>
      </c>
      <c r="HI111">
        <f t="shared" si="568"/>
        <v>4.1448454323788925E-3</v>
      </c>
      <c r="HJ111">
        <f t="shared" si="474"/>
        <v>1.2725749038783424E-2</v>
      </c>
      <c r="HK111">
        <f t="shared" si="475"/>
        <v>14.652748545043249</v>
      </c>
      <c r="HL111">
        <f t="shared" si="563"/>
        <v>2.5949011525745559E-6</v>
      </c>
      <c r="HM111">
        <f t="shared" si="538"/>
        <v>3.268385295113424E-2</v>
      </c>
      <c r="HN111">
        <f t="shared" si="476"/>
        <v>3516.9155681397024</v>
      </c>
      <c r="HO111">
        <f t="shared" si="539"/>
        <v>2.3326631681209329E-6</v>
      </c>
      <c r="HP111">
        <f t="shared" si="477"/>
        <v>2.9506414674589098E-4</v>
      </c>
      <c r="HQ111">
        <f t="shared" si="478"/>
        <v>0.21567991795472874</v>
      </c>
      <c r="HS111">
        <f t="shared" si="479"/>
        <v>31.824323965012653</v>
      </c>
      <c r="HT111">
        <f t="shared" si="480"/>
        <v>0.6160000000000001</v>
      </c>
      <c r="HU111">
        <f t="shared" si="345"/>
        <v>107604.069</v>
      </c>
      <c r="HV111">
        <f t="shared" si="346"/>
        <v>5.2109332251204059E-3</v>
      </c>
      <c r="HW111">
        <f t="shared" si="569"/>
        <v>4.1448454323788925E-3</v>
      </c>
      <c r="HX111">
        <f t="shared" si="481"/>
        <v>1.2725749038783424E-2</v>
      </c>
      <c r="HY111">
        <f t="shared" si="482"/>
        <v>14.652748545043249</v>
      </c>
      <c r="HZ111">
        <f t="shared" si="564"/>
        <v>2.5292477377878509E-6</v>
      </c>
      <c r="IA111">
        <f t="shared" si="540"/>
        <v>3.1301379107739891E-2</v>
      </c>
      <c r="IB111">
        <f t="shared" si="483"/>
        <v>3368.1557573044015</v>
      </c>
      <c r="IC111">
        <f t="shared" si="541"/>
        <v>2.2827962182059955E-6</v>
      </c>
      <c r="ID111">
        <f t="shared" si="484"/>
        <v>2.7730157967450689E-4</v>
      </c>
      <c r="IE111">
        <f t="shared" si="485"/>
        <v>0.2102230152512885</v>
      </c>
      <c r="IG111">
        <f t="shared" si="486"/>
        <v>33.722017701745663</v>
      </c>
      <c r="IH111">
        <f t="shared" si="487"/>
        <v>0.6160000000000001</v>
      </c>
      <c r="II111">
        <f t="shared" si="347"/>
        <v>107604.069</v>
      </c>
      <c r="IJ111">
        <f t="shared" si="348"/>
        <v>5.2109332251204059E-3</v>
      </c>
      <c r="IK111">
        <f t="shared" si="570"/>
        <v>4.1448454323788925E-3</v>
      </c>
      <c r="IL111">
        <f t="shared" si="488"/>
        <v>1.2725749038783424E-2</v>
      </c>
      <c r="IM111">
        <f t="shared" si="489"/>
        <v>14.652748545043249</v>
      </c>
      <c r="IN111">
        <f t="shared" si="565"/>
        <v>2.4664507165775854E-6</v>
      </c>
      <c r="IO111">
        <f t="shared" si="542"/>
        <v>2.999600673967958E-2</v>
      </c>
      <c r="IP111">
        <f t="shared" si="490"/>
        <v>3227.6923789409466</v>
      </c>
      <c r="IQ111">
        <f t="shared" si="543"/>
        <v>2.2346891962873209E-6</v>
      </c>
      <c r="IR111">
        <f t="shared" si="491"/>
        <v>2.6077273044733629E-4</v>
      </c>
      <c r="IS111">
        <f t="shared" si="492"/>
        <v>0.20500352688311171</v>
      </c>
      <c r="IU111">
        <f t="shared" si="493"/>
        <v>35.619711438478681</v>
      </c>
      <c r="IV111">
        <f t="shared" si="494"/>
        <v>0.6160000000000001</v>
      </c>
      <c r="IW111">
        <f t="shared" si="349"/>
        <v>107604.069</v>
      </c>
      <c r="IX111">
        <f t="shared" si="350"/>
        <v>5.2109332251204059E-3</v>
      </c>
      <c r="IY111">
        <f t="shared" si="571"/>
        <v>4.1448454323788925E-3</v>
      </c>
      <c r="IZ111">
        <f t="shared" si="495"/>
        <v>1.2725749038783424E-2</v>
      </c>
      <c r="JA111">
        <f t="shared" si="496"/>
        <v>14.652748545043249</v>
      </c>
      <c r="JB111">
        <f t="shared" si="566"/>
        <v>2.4063465221883947E-6</v>
      </c>
      <c r="JC111">
        <f t="shared" si="544"/>
        <v>2.8762589996039502E-2</v>
      </c>
      <c r="JD111">
        <f t="shared" si="497"/>
        <v>3094.9717185525446</v>
      </c>
      <c r="JE111">
        <f t="shared" si="545"/>
        <v>2.1882624266372849E-6</v>
      </c>
      <c r="JF111">
        <f t="shared" si="498"/>
        <v>2.4538320681006349E-4</v>
      </c>
      <c r="JG111">
        <f t="shared" si="499"/>
        <v>0.20000785770252111</v>
      </c>
      <c r="JI111">
        <f t="shared" si="500"/>
        <v>37.517405175211692</v>
      </c>
      <c r="JJ111">
        <f t="shared" si="501"/>
        <v>0.6160000000000001</v>
      </c>
      <c r="JK111">
        <f t="shared" si="351"/>
        <v>107604.069</v>
      </c>
      <c r="JL111">
        <f t="shared" si="352"/>
        <v>5.2109332251204059E-3</v>
      </c>
      <c r="JM111">
        <f t="shared" si="572"/>
        <v>4.1448454323788925E-3</v>
      </c>
      <c r="JN111">
        <f t="shared" si="502"/>
        <v>1.2725749038783424E-2</v>
      </c>
      <c r="JO111">
        <f t="shared" si="503"/>
        <v>14.652748545043249</v>
      </c>
      <c r="JP111">
        <f t="shared" si="567"/>
        <v>2.3487827314923531E-6</v>
      </c>
      <c r="JQ111">
        <f t="shared" si="546"/>
        <v>2.7596373729043971E-2</v>
      </c>
      <c r="JR111">
        <f t="shared" si="504"/>
        <v>2969.482102889835</v>
      </c>
      <c r="JS111">
        <f t="shared" si="547"/>
        <v>2.1434404242697175E-6</v>
      </c>
      <c r="JT111">
        <f t="shared" si="505"/>
        <v>2.3104643973571591E-4</v>
      </c>
      <c r="JU111">
        <f t="shared" si="506"/>
        <v>0.19522333878465506</v>
      </c>
    </row>
    <row r="112" spans="2:281">
      <c r="B112">
        <v>0.78</v>
      </c>
      <c r="C112">
        <f t="shared" si="353"/>
        <v>1.4802011146517513</v>
      </c>
      <c r="D112">
        <f t="shared" si="354"/>
        <v>0.624</v>
      </c>
      <c r="E112">
        <f t="shared" si="313"/>
        <v>107419.641</v>
      </c>
      <c r="F112">
        <f t="shared" si="314"/>
        <v>5.213913724483799E-3</v>
      </c>
      <c r="G112">
        <f t="shared" si="355"/>
        <v>4.1436605762603098E-3</v>
      </c>
      <c r="H112">
        <f t="shared" si="356"/>
        <v>1.2747597784709923E-2</v>
      </c>
      <c r="I112">
        <f t="shared" si="357"/>
        <v>14.669515214472016</v>
      </c>
      <c r="J112">
        <f t="shared" si="548"/>
        <v>4.0807986229220973E-6</v>
      </c>
      <c r="K112">
        <f t="shared" si="507"/>
        <v>6.8342644420094981E-2</v>
      </c>
      <c r="L112">
        <f t="shared" si="358"/>
        <v>7341.3423285972558</v>
      </c>
      <c r="M112">
        <f t="shared" si="508"/>
        <v>3.3702242476915528E-6</v>
      </c>
      <c r="N112">
        <f t="shared" si="509"/>
        <v>8.0020799103994471E-4</v>
      </c>
      <c r="O112">
        <f t="shared" si="359"/>
        <v>0.33918298248407747</v>
      </c>
      <c r="Q112">
        <f t="shared" si="360"/>
        <v>3.3778948513847658</v>
      </c>
      <c r="R112">
        <f t="shared" si="361"/>
        <v>0.624</v>
      </c>
      <c r="S112">
        <f t="shared" si="315"/>
        <v>107419.641</v>
      </c>
      <c r="T112">
        <f t="shared" si="316"/>
        <v>5.213913724483799E-3</v>
      </c>
      <c r="U112">
        <f t="shared" si="362"/>
        <v>4.1436605762603098E-3</v>
      </c>
      <c r="V112">
        <f t="shared" si="363"/>
        <v>1.2747597784709923E-2</v>
      </c>
      <c r="W112">
        <f t="shared" si="364"/>
        <v>14.669515214472016</v>
      </c>
      <c r="X112">
        <f t="shared" si="549"/>
        <v>3.9413237698878777E-6</v>
      </c>
      <c r="Y112">
        <f t="shared" si="510"/>
        <v>6.4740452899594556E-2</v>
      </c>
      <c r="Z112">
        <f t="shared" si="365"/>
        <v>6954.3962086518568</v>
      </c>
      <c r="AA112">
        <f t="shared" si="511"/>
        <v>3.2802034111454823E-6</v>
      </c>
      <c r="AB112">
        <f t="shared" si="366"/>
        <v>7.4451572213424634E-4</v>
      </c>
      <c r="AC112">
        <f t="shared" si="367"/>
        <v>0.32759027698571108</v>
      </c>
      <c r="AE112">
        <f t="shared" si="368"/>
        <v>5.2755885881177802</v>
      </c>
      <c r="AF112">
        <f t="shared" si="369"/>
        <v>0.624</v>
      </c>
      <c r="AG112">
        <f t="shared" si="317"/>
        <v>107419.641</v>
      </c>
      <c r="AH112">
        <f t="shared" si="318"/>
        <v>5.213913724483799E-3</v>
      </c>
      <c r="AI112">
        <f t="shared" si="370"/>
        <v>4.1436605762603098E-3</v>
      </c>
      <c r="AJ112">
        <f t="shared" si="371"/>
        <v>1.2747597784709923E-2</v>
      </c>
      <c r="AK112">
        <f t="shared" si="372"/>
        <v>14.669515214472016</v>
      </c>
      <c r="AL112">
        <f t="shared" si="550"/>
        <v>3.8094088183837363E-6</v>
      </c>
      <c r="AM112">
        <f t="shared" si="512"/>
        <v>6.1377887039893761E-2</v>
      </c>
      <c r="AN112">
        <f t="shared" si="373"/>
        <v>6593.1905911639406</v>
      </c>
      <c r="AO112">
        <f t="shared" si="513"/>
        <v>3.1938820681341575E-6</v>
      </c>
      <c r="AP112">
        <f t="shared" si="374"/>
        <v>6.9317082267250987E-4</v>
      </c>
      <c r="AQ112">
        <f t="shared" si="375"/>
        <v>0.31662592642107129</v>
      </c>
      <c r="AS112">
        <f t="shared" si="376"/>
        <v>7.1732823248507946</v>
      </c>
      <c r="AT112">
        <f t="shared" si="377"/>
        <v>0.624</v>
      </c>
      <c r="AU112">
        <f t="shared" si="319"/>
        <v>107419.641</v>
      </c>
      <c r="AV112">
        <f t="shared" si="320"/>
        <v>5.213913724483799E-3</v>
      </c>
      <c r="AW112">
        <f t="shared" si="378"/>
        <v>4.1436605762603098E-3</v>
      </c>
      <c r="AX112">
        <f t="shared" si="379"/>
        <v>1.2747597784709923E-2</v>
      </c>
      <c r="AY112">
        <f t="shared" si="380"/>
        <v>14.669515214472016</v>
      </c>
      <c r="AZ112">
        <f t="shared" si="551"/>
        <v>3.6845400076413683E-6</v>
      </c>
      <c r="BA112">
        <f t="shared" si="514"/>
        <v>5.8236458714741958E-2</v>
      </c>
      <c r="BB112">
        <f t="shared" si="381"/>
        <v>6255.7394882489025</v>
      </c>
      <c r="BC112">
        <f t="shared" si="515"/>
        <v>3.1110743369321295E-6</v>
      </c>
      <c r="BD112">
        <f t="shared" si="382"/>
        <v>6.4580405413539976E-4</v>
      </c>
      <c r="BE112">
        <f t="shared" si="383"/>
        <v>0.30624722863163989</v>
      </c>
      <c r="BG112">
        <f t="shared" si="384"/>
        <v>9.07097606158381</v>
      </c>
      <c r="BH112">
        <f t="shared" si="385"/>
        <v>0.624</v>
      </c>
      <c r="BI112">
        <f t="shared" si="321"/>
        <v>107419.641</v>
      </c>
      <c r="BJ112">
        <f t="shared" si="322"/>
        <v>5.213913724483799E-3</v>
      </c>
      <c r="BK112">
        <f t="shared" si="386"/>
        <v>4.1436605762603098E-3</v>
      </c>
      <c r="BL112">
        <f t="shared" si="387"/>
        <v>1.2747597784709923E-2</v>
      </c>
      <c r="BM112">
        <f t="shared" si="388"/>
        <v>14.669515214472016</v>
      </c>
      <c r="BN112">
        <f t="shared" si="552"/>
        <v>3.5662437953505874E-6</v>
      </c>
      <c r="BO112">
        <f t="shared" si="516"/>
        <v>5.5299262100335096E-2</v>
      </c>
      <c r="BP112">
        <f t="shared" si="389"/>
        <v>5940.2268823829017</v>
      </c>
      <c r="BQ112">
        <f t="shared" si="517"/>
        <v>3.0316047398248202E-6</v>
      </c>
      <c r="BR112">
        <f t="shared" si="390"/>
        <v>6.0207975331922345E-4</v>
      </c>
      <c r="BS112">
        <f t="shared" si="391"/>
        <v>0.29641482428902488</v>
      </c>
      <c r="BU112">
        <f t="shared" si="392"/>
        <v>10.968669798316824</v>
      </c>
      <c r="BV112">
        <f t="shared" si="393"/>
        <v>0.624</v>
      </c>
      <c r="BW112">
        <f t="shared" si="323"/>
        <v>107419.641</v>
      </c>
      <c r="BX112">
        <f t="shared" si="324"/>
        <v>5.213913724483799E-3</v>
      </c>
      <c r="BY112">
        <f t="shared" si="394"/>
        <v>4.1436605762603098E-3</v>
      </c>
      <c r="BZ112">
        <f t="shared" si="395"/>
        <v>1.2747597784709923E-2</v>
      </c>
      <c r="CA112">
        <f t="shared" si="396"/>
        <v>14.669515214472016</v>
      </c>
      <c r="CB112">
        <f t="shared" si="553"/>
        <v>3.4540833831490364E-6</v>
      </c>
      <c r="CC112">
        <f t="shared" si="518"/>
        <v>5.2550827649447775E-2</v>
      </c>
      <c r="CD112">
        <f t="shared" si="397"/>
        <v>5644.9910403565536</v>
      </c>
      <c r="CE112">
        <f t="shared" si="519"/>
        <v>2.9553075919472586E-6</v>
      </c>
      <c r="CF112">
        <f t="shared" si="398"/>
        <v>5.6169260779695071E-4</v>
      </c>
      <c r="CG112">
        <f t="shared" si="399"/>
        <v>0.28709240810473285</v>
      </c>
      <c r="CI112">
        <f t="shared" si="400"/>
        <v>12.866363535049839</v>
      </c>
      <c r="CJ112">
        <f t="shared" si="401"/>
        <v>0.624</v>
      </c>
      <c r="CK112">
        <f t="shared" si="325"/>
        <v>107419.641</v>
      </c>
      <c r="CL112">
        <f t="shared" si="326"/>
        <v>5.213913724483799E-3</v>
      </c>
      <c r="CM112">
        <f t="shared" si="402"/>
        <v>4.1436605762603098E-3</v>
      </c>
      <c r="CN112">
        <f t="shared" si="403"/>
        <v>1.2747597784709923E-2</v>
      </c>
      <c r="CO112">
        <f t="shared" si="404"/>
        <v>14.669515214472016</v>
      </c>
      <c r="CP112">
        <f t="shared" si="554"/>
        <v>3.3476555646789095E-6</v>
      </c>
      <c r="CQ112">
        <f t="shared" si="520"/>
        <v>4.9976990307046373E-2</v>
      </c>
      <c r="CR112">
        <f t="shared" si="405"/>
        <v>5368.5103570434012</v>
      </c>
      <c r="CS112">
        <f t="shared" si="521"/>
        <v>2.8820264258750792E-6</v>
      </c>
      <c r="CT112">
        <f t="shared" si="406"/>
        <v>5.2436475437350695E-4</v>
      </c>
      <c r="CU112">
        <f t="shared" si="407"/>
        <v>0.27824646685068416</v>
      </c>
      <c r="CW112">
        <f t="shared" si="408"/>
        <v>14.764057271782853</v>
      </c>
      <c r="CX112">
        <f t="shared" si="409"/>
        <v>0.624</v>
      </c>
      <c r="CY112">
        <f t="shared" si="327"/>
        <v>107419.641</v>
      </c>
      <c r="CZ112">
        <f t="shared" si="328"/>
        <v>5.213913724483799E-3</v>
      </c>
      <c r="DA112">
        <f t="shared" si="410"/>
        <v>4.1436605762603098E-3</v>
      </c>
      <c r="DB112">
        <f t="shared" si="411"/>
        <v>1.2747597784709923E-2</v>
      </c>
      <c r="DC112">
        <f t="shared" si="412"/>
        <v>14.669515214472016</v>
      </c>
      <c r="DD112">
        <f t="shared" si="555"/>
        <v>3.2465878646325612E-6</v>
      </c>
      <c r="DE112">
        <f t="shared" si="522"/>
        <v>4.7564770522318729E-2</v>
      </c>
      <c r="DF112">
        <f t="shared" si="413"/>
        <v>5109.3905737548603</v>
      </c>
      <c r="DG112">
        <f t="shared" si="523"/>
        <v>2.8116134500105398E-6</v>
      </c>
      <c r="DH112">
        <f t="shared" si="414"/>
        <v>4.8984316717800723E-4</v>
      </c>
      <c r="DI112">
        <f t="shared" si="415"/>
        <v>0.26984604156579722</v>
      </c>
      <c r="DK112">
        <f t="shared" si="416"/>
        <v>16.661751008515864</v>
      </c>
      <c r="DL112">
        <f t="shared" si="417"/>
        <v>0.624</v>
      </c>
      <c r="DM112">
        <f t="shared" si="329"/>
        <v>107419.641</v>
      </c>
      <c r="DN112">
        <f t="shared" si="330"/>
        <v>5.213913724483799E-3</v>
      </c>
      <c r="DO112">
        <f t="shared" si="418"/>
        <v>4.1436605762603098E-3</v>
      </c>
      <c r="DP112">
        <f t="shared" si="419"/>
        <v>1.2747597784709923E-2</v>
      </c>
      <c r="DQ112">
        <f t="shared" si="420"/>
        <v>14.669515214472016</v>
      </c>
      <c r="DR112">
        <f t="shared" si="556"/>
        <v>3.1505359404207912E-6</v>
      </c>
      <c r="DS112">
        <f t="shared" si="524"/>
        <v>4.5302266762659832E-2</v>
      </c>
      <c r="DT112">
        <f t="shared" si="421"/>
        <v>4866.3532321311513</v>
      </c>
      <c r="DU112">
        <f t="shared" si="525"/>
        <v>2.7439290388972389E-6</v>
      </c>
      <c r="DV112">
        <f t="shared" si="422"/>
        <v>4.5789730555027787E-4</v>
      </c>
      <c r="DW112">
        <f t="shared" si="423"/>
        <v>0.26186251159093316</v>
      </c>
      <c r="DY112">
        <f t="shared" si="424"/>
        <v>18.559444745248879</v>
      </c>
      <c r="DZ112">
        <f t="shared" si="425"/>
        <v>0.624</v>
      </c>
      <c r="EA112">
        <f t="shared" si="331"/>
        <v>107419.641</v>
      </c>
      <c r="EB112">
        <f t="shared" si="332"/>
        <v>5.213913724483799E-3</v>
      </c>
      <c r="EC112">
        <f t="shared" si="426"/>
        <v>4.1436605762603098E-3</v>
      </c>
      <c r="ED112">
        <f t="shared" si="427"/>
        <v>1.2747597784709923E-2</v>
      </c>
      <c r="EE112">
        <f t="shared" si="428"/>
        <v>14.669515214472016</v>
      </c>
      <c r="EF112">
        <f t="shared" si="557"/>
        <v>3.0591812209742941E-6</v>
      </c>
      <c r="EG112">
        <f t="shared" si="526"/>
        <v>4.3178558369812173E-2</v>
      </c>
      <c r="EH112">
        <f t="shared" si="429"/>
        <v>4638.225238982769</v>
      </c>
      <c r="EI112">
        <f t="shared" si="527"/>
        <v>2.6788412536851486E-6</v>
      </c>
      <c r="EJ112">
        <f t="shared" si="430"/>
        <v>4.2831699501955621E-4</v>
      </c>
      <c r="EK112">
        <f t="shared" si="431"/>
        <v>0.25426939831359352</v>
      </c>
      <c r="EM112">
        <f t="shared" si="432"/>
        <v>20.457138481981893</v>
      </c>
      <c r="EN112">
        <f t="shared" si="433"/>
        <v>0.624</v>
      </c>
      <c r="EO112">
        <f t="shared" si="333"/>
        <v>107419.641</v>
      </c>
      <c r="EP112">
        <f t="shared" si="334"/>
        <v>5.213913724483799E-3</v>
      </c>
      <c r="EQ112">
        <f t="shared" si="434"/>
        <v>4.1436605762603098E-3</v>
      </c>
      <c r="ER112">
        <f t="shared" si="435"/>
        <v>1.2747597784709923E-2</v>
      </c>
      <c r="ES112">
        <f t="shared" si="436"/>
        <v>14.669515214472016</v>
      </c>
      <c r="ET112">
        <f t="shared" si="558"/>
        <v>2.97222875976563E-6</v>
      </c>
      <c r="EU112">
        <f t="shared" si="528"/>
        <v>4.1183617718773553E-2</v>
      </c>
      <c r="EV112">
        <f t="shared" si="437"/>
        <v>4423.9294304318946</v>
      </c>
      <c r="EW112">
        <f t="shared" si="529"/>
        <v>2.6162253910526413E-6</v>
      </c>
      <c r="EX112">
        <f t="shared" si="438"/>
        <v>4.0091051747939216E-4</v>
      </c>
      <c r="EY112">
        <f t="shared" si="439"/>
        <v>0.24704218671794581</v>
      </c>
      <c r="FA112">
        <f t="shared" si="440"/>
        <v>22.354832218714908</v>
      </c>
      <c r="FB112">
        <f t="shared" si="441"/>
        <v>0.624</v>
      </c>
      <c r="FC112">
        <f t="shared" si="335"/>
        <v>107419.641</v>
      </c>
      <c r="FD112">
        <f t="shared" si="336"/>
        <v>5.213913724483799E-3</v>
      </c>
      <c r="FE112">
        <f t="shared" si="442"/>
        <v>4.1436605762603098E-3</v>
      </c>
      <c r="FF112">
        <f t="shared" si="443"/>
        <v>1.2747597784709923E-2</v>
      </c>
      <c r="FG112">
        <f t="shared" si="444"/>
        <v>14.669515214472016</v>
      </c>
      <c r="FH112">
        <f t="shared" si="559"/>
        <v>2.8894052814480146E-6</v>
      </c>
      <c r="FI112">
        <f t="shared" si="530"/>
        <v>3.9308230747771428E-2</v>
      </c>
      <c r="FJ112">
        <f t="shared" si="445"/>
        <v>4222.4760352707681</v>
      </c>
      <c r="FK112">
        <f t="shared" si="531"/>
        <v>2.5559635589744092E-6</v>
      </c>
      <c r="FL112">
        <f t="shared" si="446"/>
        <v>3.7550288917037345E-4</v>
      </c>
      <c r="FM112">
        <f t="shared" si="447"/>
        <v>0.2401581630276618</v>
      </c>
      <c r="FO112">
        <f t="shared" si="448"/>
        <v>24.252525955447922</v>
      </c>
      <c r="FP112">
        <f t="shared" si="449"/>
        <v>0.624</v>
      </c>
      <c r="FQ112">
        <f t="shared" si="337"/>
        <v>107419.641</v>
      </c>
      <c r="FR112">
        <f t="shared" si="338"/>
        <v>5.213913724483799E-3</v>
      </c>
      <c r="FS112">
        <f t="shared" si="450"/>
        <v>4.1436605762603098E-3</v>
      </c>
      <c r="FT112">
        <f t="shared" si="451"/>
        <v>1.2747597784709923E-2</v>
      </c>
      <c r="FU112">
        <f t="shared" si="452"/>
        <v>14.669515214472016</v>
      </c>
      <c r="FV112">
        <f t="shared" si="560"/>
        <v>2.8104574035765302E-6</v>
      </c>
      <c r="FW112">
        <f t="shared" si="532"/>
        <v>3.7543925023919088E-2</v>
      </c>
      <c r="FX112">
        <f t="shared" si="453"/>
        <v>4032.954947800305</v>
      </c>
      <c r="FY112">
        <f t="shared" si="533"/>
        <v>2.4979442778036791E-6</v>
      </c>
      <c r="FZ112">
        <f t="shared" si="454"/>
        <v>3.5193430732310076E-4</v>
      </c>
      <c r="GA112">
        <f t="shared" si="455"/>
        <v>0.23359626690104915</v>
      </c>
      <c r="GC112">
        <f t="shared" si="456"/>
        <v>26.150219692180936</v>
      </c>
      <c r="GD112">
        <f t="shared" si="457"/>
        <v>0.624</v>
      </c>
      <c r="GE112">
        <f t="shared" si="339"/>
        <v>107419.641</v>
      </c>
      <c r="GF112">
        <f t="shared" si="340"/>
        <v>5.213913724483799E-3</v>
      </c>
      <c r="GG112">
        <f t="shared" si="458"/>
        <v>4.1436605762603098E-3</v>
      </c>
      <c r="GH112">
        <f t="shared" si="459"/>
        <v>1.2747597784709923E-2</v>
      </c>
      <c r="GI112">
        <f t="shared" si="460"/>
        <v>14.669515214472016</v>
      </c>
      <c r="GJ112">
        <f t="shared" si="561"/>
        <v>2.7351500167323324E-6</v>
      </c>
      <c r="GK112">
        <f t="shared" si="534"/>
        <v>3.5882904595321612E-2</v>
      </c>
      <c r="GL112">
        <f t="shared" si="461"/>
        <v>3854.5287296666979</v>
      </c>
      <c r="GM112">
        <f t="shared" si="535"/>
        <v>2.442062105213747E-6</v>
      </c>
      <c r="GN112">
        <f t="shared" si="462"/>
        <v>3.3005874831651096E-4</v>
      </c>
      <c r="GO112">
        <f t="shared" si="463"/>
        <v>0.2273369567921355</v>
      </c>
      <c r="GQ112">
        <f t="shared" si="464"/>
        <v>28.047913428913951</v>
      </c>
      <c r="GR112">
        <f t="shared" si="465"/>
        <v>0.624</v>
      </c>
      <c r="GS112">
        <f t="shared" si="341"/>
        <v>107419.641</v>
      </c>
      <c r="GT112">
        <f t="shared" si="342"/>
        <v>5.213913724483799E-3</v>
      </c>
      <c r="GU112">
        <f t="shared" si="466"/>
        <v>4.1436605762603098E-3</v>
      </c>
      <c r="GV112">
        <f t="shared" si="467"/>
        <v>1.2747597784709923E-2</v>
      </c>
      <c r="GW112">
        <f t="shared" si="468"/>
        <v>14.669515214472016</v>
      </c>
      <c r="GX112">
        <f t="shared" si="562"/>
        <v>2.6632648080338006E-6</v>
      </c>
      <c r="GY112">
        <f t="shared" si="536"/>
        <v>3.4317990957479269E-2</v>
      </c>
      <c r="GZ112">
        <f t="shared" si="469"/>
        <v>3686.4262684936693</v>
      </c>
      <c r="HA112">
        <f t="shared" si="537"/>
        <v>2.388217283617902E-6</v>
      </c>
      <c r="HB112">
        <f t="shared" si="470"/>
        <v>3.0974270199646151E-4</v>
      </c>
      <c r="HC112">
        <f t="shared" si="471"/>
        <v>0.22136208722961853</v>
      </c>
      <c r="HE112">
        <f t="shared" si="472"/>
        <v>29.945607165646965</v>
      </c>
      <c r="HF112">
        <f t="shared" si="473"/>
        <v>0.624</v>
      </c>
      <c r="HG112">
        <f t="shared" si="343"/>
        <v>107419.641</v>
      </c>
      <c r="HH112">
        <f t="shared" si="344"/>
        <v>5.213913724483799E-3</v>
      </c>
      <c r="HI112">
        <f t="shared" si="568"/>
        <v>4.1436605762603098E-3</v>
      </c>
      <c r="HJ112">
        <f t="shared" si="474"/>
        <v>1.2747597784709923E-2</v>
      </c>
      <c r="HK112">
        <f t="shared" si="475"/>
        <v>14.669515214472016</v>
      </c>
      <c r="HL112">
        <f t="shared" si="563"/>
        <v>2.5945989145103735E-6</v>
      </c>
      <c r="HM112">
        <f t="shared" si="538"/>
        <v>3.2842569530800308E-2</v>
      </c>
      <c r="HN112">
        <f t="shared" si="476"/>
        <v>3527.9370285161076</v>
      </c>
      <c r="HO112">
        <f t="shared" si="539"/>
        <v>2.3363154087579568E-6</v>
      </c>
      <c r="HP112">
        <f t="shared" si="477"/>
        <v>2.9086402839933301E-4</v>
      </c>
      <c r="HQ112">
        <f t="shared" si="478"/>
        <v>0.21565479688958877</v>
      </c>
      <c r="HS112">
        <f t="shared" si="479"/>
        <v>31.843300902379983</v>
      </c>
      <c r="HT112">
        <f t="shared" si="480"/>
        <v>0.624</v>
      </c>
      <c r="HU112">
        <f t="shared" si="345"/>
        <v>107419.641</v>
      </c>
      <c r="HV112">
        <f t="shared" si="346"/>
        <v>5.213913724483799E-3</v>
      </c>
      <c r="HW112">
        <f t="shared" si="569"/>
        <v>4.1436605762603098E-3</v>
      </c>
      <c r="HX112">
        <f t="shared" si="481"/>
        <v>1.2747597784709923E-2</v>
      </c>
      <c r="HY112">
        <f t="shared" si="482"/>
        <v>14.669515214472016</v>
      </c>
      <c r="HZ112">
        <f t="shared" si="564"/>
        <v>2.5289636941534079E-6</v>
      </c>
      <c r="IA112">
        <f t="shared" si="540"/>
        <v>3.1450541107756948E-2</v>
      </c>
      <c r="IB112">
        <f t="shared" si="483"/>
        <v>3378.4058350509936</v>
      </c>
      <c r="IC112">
        <f t="shared" si="541"/>
        <v>2.2862671182202108E-6</v>
      </c>
      <c r="ID112">
        <f t="shared" si="484"/>
        <v>2.7331092455559877E-4</v>
      </c>
      <c r="IE112">
        <f t="shared" si="485"/>
        <v>0.21019940644919158</v>
      </c>
      <c r="IG112">
        <f t="shared" si="486"/>
        <v>33.740994639112998</v>
      </c>
      <c r="IH112">
        <f t="shared" si="487"/>
        <v>0.624</v>
      </c>
      <c r="II112">
        <f t="shared" si="347"/>
        <v>107419.641</v>
      </c>
      <c r="IJ112">
        <f t="shared" si="348"/>
        <v>5.213913724483799E-3</v>
      </c>
      <c r="IK112">
        <f t="shared" si="570"/>
        <v>4.1436605762603098E-3</v>
      </c>
      <c r="IL112">
        <f t="shared" si="488"/>
        <v>1.2747597784709923E-2</v>
      </c>
      <c r="IM112">
        <f t="shared" si="489"/>
        <v>14.669515214472016</v>
      </c>
      <c r="IN112">
        <f t="shared" si="565"/>
        <v>2.4661836036595601E-6</v>
      </c>
      <c r="IO112">
        <f t="shared" si="542"/>
        <v>3.0136277783461941E-2</v>
      </c>
      <c r="IP112">
        <f t="shared" si="490"/>
        <v>3237.2281405757576</v>
      </c>
      <c r="IQ112">
        <f t="shared" si="543"/>
        <v>2.2379877987034549E-6</v>
      </c>
      <c r="IR112">
        <f t="shared" si="491"/>
        <v>2.5698099032690622E-4</v>
      </c>
      <c r="IS112">
        <f t="shared" si="492"/>
        <v>0.20498132530823199</v>
      </c>
      <c r="IU112">
        <f t="shared" si="493"/>
        <v>35.638688375846016</v>
      </c>
      <c r="IV112">
        <f t="shared" si="494"/>
        <v>0.624</v>
      </c>
      <c r="IW112">
        <f t="shared" si="349"/>
        <v>107419.641</v>
      </c>
      <c r="IX112">
        <f t="shared" si="350"/>
        <v>5.213913724483799E-3</v>
      </c>
      <c r="IY112">
        <f t="shared" si="571"/>
        <v>4.1436605762603098E-3</v>
      </c>
      <c r="IZ112">
        <f t="shared" si="495"/>
        <v>1.2747597784709923E-2</v>
      </c>
      <c r="JA112">
        <f t="shared" si="496"/>
        <v>14.669515214472016</v>
      </c>
      <c r="JB112">
        <f t="shared" si="566"/>
        <v>2.4060951729606857E-6</v>
      </c>
      <c r="JC112">
        <f t="shared" si="544"/>
        <v>2.8894582932903971E-2</v>
      </c>
      <c r="JD112">
        <f t="shared" si="497"/>
        <v>3103.8457254972718</v>
      </c>
      <c r="JE112">
        <f t="shared" si="545"/>
        <v>2.1913973109268955E-6</v>
      </c>
      <c r="JF112">
        <f t="shared" si="498"/>
        <v>2.4178038337350583E-4</v>
      </c>
      <c r="JG112">
        <f t="shared" si="499"/>
        <v>0.19998696635536653</v>
      </c>
      <c r="JI112">
        <f t="shared" si="500"/>
        <v>37.536382112579027</v>
      </c>
      <c r="JJ112">
        <f t="shared" si="501"/>
        <v>0.624</v>
      </c>
      <c r="JK112">
        <f t="shared" si="351"/>
        <v>107419.641</v>
      </c>
      <c r="JL112">
        <f t="shared" si="352"/>
        <v>5.213913724483799E-3</v>
      </c>
      <c r="JM112">
        <f t="shared" si="572"/>
        <v>4.1436605762603098E-3</v>
      </c>
      <c r="JN112">
        <f t="shared" si="502"/>
        <v>1.2747597784709923E-2</v>
      </c>
      <c r="JO112">
        <f t="shared" si="503"/>
        <v>14.669515214472016</v>
      </c>
      <c r="JP112">
        <f t="shared" si="567"/>
        <v>2.3485460676026461E-6</v>
      </c>
      <c r="JQ112">
        <f t="shared" si="546"/>
        <v>2.7720654842365643E-2</v>
      </c>
      <c r="JR112">
        <f t="shared" si="504"/>
        <v>2977.7427914518289</v>
      </c>
      <c r="JS112">
        <f t="shared" si="547"/>
        <v>2.146419731126296E-6</v>
      </c>
      <c r="JT112">
        <f t="shared" si="505"/>
        <v>2.2762305437136932E-4</v>
      </c>
      <c r="JU112">
        <f t="shared" si="506"/>
        <v>0.19520366803601624</v>
      </c>
    </row>
    <row r="113" spans="2:281">
      <c r="B113">
        <v>0.79</v>
      </c>
      <c r="C113">
        <f t="shared" si="353"/>
        <v>1.4991780520190814</v>
      </c>
      <c r="D113">
        <f t="shared" si="354"/>
        <v>0.63200000000000001</v>
      </c>
      <c r="E113">
        <f t="shared" si="313"/>
        <v>107235.213</v>
      </c>
      <c r="F113">
        <f t="shared" si="314"/>
        <v>5.2169010545984728E-3</v>
      </c>
      <c r="G113">
        <f t="shared" si="355"/>
        <v>4.1424740237015426E-3</v>
      </c>
      <c r="H113">
        <f t="shared" si="356"/>
        <v>1.276952168357175E-2</v>
      </c>
      <c r="I113">
        <f t="shared" si="357"/>
        <v>14.686329930274567</v>
      </c>
      <c r="J113">
        <f t="shared" si="548"/>
        <v>4.0799789594122386E-6</v>
      </c>
      <c r="K113">
        <f t="shared" si="507"/>
        <v>6.877308057020004E-2</v>
      </c>
      <c r="L113">
        <f t="shared" si="358"/>
        <v>7374.8959436115629</v>
      </c>
      <c r="M113">
        <f t="shared" si="508"/>
        <v>3.3779172746998356E-6</v>
      </c>
      <c r="N113">
        <f t="shared" si="509"/>
        <v>7.9130106994763157E-4</v>
      </c>
      <c r="O113">
        <f t="shared" si="359"/>
        <v>0.33911485466410968</v>
      </c>
      <c r="Q113">
        <f t="shared" si="360"/>
        <v>3.3968717887520961</v>
      </c>
      <c r="R113">
        <f t="shared" si="361"/>
        <v>0.63200000000000001</v>
      </c>
      <c r="S113">
        <f t="shared" si="315"/>
        <v>107235.213</v>
      </c>
      <c r="T113">
        <f t="shared" si="316"/>
        <v>5.2169010545984728E-3</v>
      </c>
      <c r="U113">
        <f t="shared" si="362"/>
        <v>4.1424740237015426E-3</v>
      </c>
      <c r="V113">
        <f t="shared" si="363"/>
        <v>1.276952168357175E-2</v>
      </c>
      <c r="W113">
        <f t="shared" si="364"/>
        <v>14.686329930274567</v>
      </c>
      <c r="X113">
        <f t="shared" si="549"/>
        <v>3.9405611526973696E-6</v>
      </c>
      <c r="Y113">
        <f t="shared" si="510"/>
        <v>6.5140931880954989E-2</v>
      </c>
      <c r="Z113">
        <f t="shared" si="365"/>
        <v>6985.4017052726995</v>
      </c>
      <c r="AA113">
        <f t="shared" si="511"/>
        <v>3.287507512394415E-6</v>
      </c>
      <c r="AB113">
        <f t="shared" si="366"/>
        <v>7.3606359036188309E-4</v>
      </c>
      <c r="AC113">
        <f t="shared" si="367"/>
        <v>0.32752689067409124</v>
      </c>
      <c r="AE113">
        <f t="shared" si="368"/>
        <v>5.2945655254851101</v>
      </c>
      <c r="AF113">
        <f t="shared" si="369"/>
        <v>0.63200000000000001</v>
      </c>
      <c r="AG113">
        <f t="shared" si="317"/>
        <v>107235.213</v>
      </c>
      <c r="AH113">
        <f t="shared" si="318"/>
        <v>5.2169010545984728E-3</v>
      </c>
      <c r="AI113">
        <f t="shared" si="370"/>
        <v>4.1424740237015426E-3</v>
      </c>
      <c r="AJ113">
        <f t="shared" si="371"/>
        <v>1.276952168357175E-2</v>
      </c>
      <c r="AK113">
        <f t="shared" si="372"/>
        <v>14.686329930274567</v>
      </c>
      <c r="AL113">
        <f t="shared" si="550"/>
        <v>3.808698794445204E-6</v>
      </c>
      <c r="AM113">
        <f t="shared" si="512"/>
        <v>6.1750747325740887E-2</v>
      </c>
      <c r="AN113">
        <f t="shared" si="373"/>
        <v>6621.8545423850046</v>
      </c>
      <c r="AO113">
        <f t="shared" si="513"/>
        <v>3.2008172531129791E-6</v>
      </c>
      <c r="AP113">
        <f t="shared" si="374"/>
        <v>6.8514964501253483E-4</v>
      </c>
      <c r="AQ113">
        <f t="shared" si="375"/>
        <v>0.31656691149302418</v>
      </c>
      <c r="AS113">
        <f t="shared" si="376"/>
        <v>7.1922592622181245</v>
      </c>
      <c r="AT113">
        <f t="shared" si="377"/>
        <v>0.63200000000000001</v>
      </c>
      <c r="AU113">
        <f t="shared" si="319"/>
        <v>107235.213</v>
      </c>
      <c r="AV113">
        <f t="shared" si="320"/>
        <v>5.2169010545984728E-3</v>
      </c>
      <c r="AW113">
        <f t="shared" si="378"/>
        <v>4.1424740237015426E-3</v>
      </c>
      <c r="AX113">
        <f t="shared" si="379"/>
        <v>1.276952168357175E-2</v>
      </c>
      <c r="AY113">
        <f t="shared" si="380"/>
        <v>14.686329930274567</v>
      </c>
      <c r="AZ113">
        <f t="shared" si="551"/>
        <v>3.6838785021032827E-6</v>
      </c>
      <c r="BA113">
        <f t="shared" si="514"/>
        <v>5.8583840162936468E-2</v>
      </c>
      <c r="BB113">
        <f t="shared" si="381"/>
        <v>6282.250578230447</v>
      </c>
      <c r="BC113">
        <f t="shared" si="515"/>
        <v>3.1176595514794369E-6</v>
      </c>
      <c r="BD113">
        <f t="shared" si="382"/>
        <v>6.3819130314285172E-4</v>
      </c>
      <c r="BE113">
        <f t="shared" si="383"/>
        <v>0.30619224639848652</v>
      </c>
      <c r="BG113">
        <f t="shared" si="384"/>
        <v>9.089952998951139</v>
      </c>
      <c r="BH113">
        <f t="shared" si="385"/>
        <v>0.63200000000000001</v>
      </c>
      <c r="BI113">
        <f t="shared" si="321"/>
        <v>107235.213</v>
      </c>
      <c r="BJ113">
        <f t="shared" si="322"/>
        <v>5.2169010545984728E-3</v>
      </c>
      <c r="BK113">
        <f t="shared" si="386"/>
        <v>4.1424740237015426E-3</v>
      </c>
      <c r="BL113">
        <f t="shared" si="387"/>
        <v>1.276952168357175E-2</v>
      </c>
      <c r="BM113">
        <f t="shared" si="388"/>
        <v>14.686329930274567</v>
      </c>
      <c r="BN113">
        <f t="shared" si="552"/>
        <v>3.5656270771856278E-6</v>
      </c>
      <c r="BO113">
        <f t="shared" si="516"/>
        <v>5.5623124013708537E-2</v>
      </c>
      <c r="BP113">
        <f t="shared" si="389"/>
        <v>5964.7575513354504</v>
      </c>
      <c r="BQ113">
        <f t="shared" si="517"/>
        <v>3.0378579247076105E-6</v>
      </c>
      <c r="BR113">
        <f t="shared" si="390"/>
        <v>5.9485413338329109E-4</v>
      </c>
      <c r="BS113">
        <f t="shared" si="391"/>
        <v>0.29636356463965918</v>
      </c>
      <c r="BU113">
        <f t="shared" si="392"/>
        <v>10.987646735684153</v>
      </c>
      <c r="BV113">
        <f t="shared" si="393"/>
        <v>0.63200000000000001</v>
      </c>
      <c r="BW113">
        <f t="shared" si="323"/>
        <v>107235.213</v>
      </c>
      <c r="BX113">
        <f t="shared" si="324"/>
        <v>5.2169010545984728E-3</v>
      </c>
      <c r="BY113">
        <f t="shared" si="394"/>
        <v>4.1424740237015426E-3</v>
      </c>
      <c r="BZ113">
        <f t="shared" si="395"/>
        <v>1.276952168357175E-2</v>
      </c>
      <c r="CA113">
        <f t="shared" si="396"/>
        <v>14.686329930274567</v>
      </c>
      <c r="CB113">
        <f t="shared" si="553"/>
        <v>3.4535080340653937E-6</v>
      </c>
      <c r="CC113">
        <f t="shared" si="518"/>
        <v>5.285296510164738E-2</v>
      </c>
      <c r="CD113">
        <f t="shared" si="397"/>
        <v>5667.6989703567233</v>
      </c>
      <c r="CE113">
        <f t="shared" si="519"/>
        <v>2.9612457381383834E-6</v>
      </c>
      <c r="CF113">
        <f t="shared" si="398"/>
        <v>5.5483398388489111E-4</v>
      </c>
      <c r="CG113">
        <f t="shared" si="399"/>
        <v>0.28704458692162832</v>
      </c>
      <c r="CI113">
        <f t="shared" si="400"/>
        <v>12.885340472417168</v>
      </c>
      <c r="CJ113">
        <f t="shared" si="401"/>
        <v>0.63200000000000001</v>
      </c>
      <c r="CK113">
        <f t="shared" si="325"/>
        <v>107235.213</v>
      </c>
      <c r="CL113">
        <f t="shared" si="326"/>
        <v>5.2169010545984728E-3</v>
      </c>
      <c r="CM113">
        <f t="shared" si="402"/>
        <v>4.1424740237015426E-3</v>
      </c>
      <c r="CN113">
        <f t="shared" si="403"/>
        <v>1.276952168357175E-2</v>
      </c>
      <c r="CO113">
        <f t="shared" si="404"/>
        <v>14.686329930274567</v>
      </c>
      <c r="CP113">
        <f t="shared" si="554"/>
        <v>3.3471184510036797E-6</v>
      </c>
      <c r="CQ113">
        <f t="shared" si="520"/>
        <v>5.0259048907623428E-2</v>
      </c>
      <c r="CR113">
        <f t="shared" si="405"/>
        <v>5389.5398147864162</v>
      </c>
      <c r="CS113">
        <f t="shared" si="521"/>
        <v>2.8876656267144235E-6</v>
      </c>
      <c r="CT113">
        <f t="shared" si="406"/>
        <v>5.1785408514279331E-4</v>
      </c>
      <c r="CU113">
        <f t="shared" si="407"/>
        <v>0.27820182367293117</v>
      </c>
      <c r="CW113">
        <f t="shared" si="408"/>
        <v>14.783034209150182</v>
      </c>
      <c r="CX113">
        <f t="shared" si="409"/>
        <v>0.63200000000000001</v>
      </c>
      <c r="CY113">
        <f t="shared" si="327"/>
        <v>107235.213</v>
      </c>
      <c r="CZ113">
        <f t="shared" si="328"/>
        <v>5.2169010545984728E-3</v>
      </c>
      <c r="DA113">
        <f t="shared" si="410"/>
        <v>4.1424740237015426E-3</v>
      </c>
      <c r="DB113">
        <f t="shared" si="411"/>
        <v>1.276952168357175E-2</v>
      </c>
      <c r="DC113">
        <f t="shared" si="412"/>
        <v>14.686329930274567</v>
      </c>
      <c r="DD113">
        <f t="shared" si="555"/>
        <v>3.2460861118705481E-6</v>
      </c>
      <c r="DE113">
        <f t="shared" si="522"/>
        <v>4.782825977685784E-2</v>
      </c>
      <c r="DF113">
        <f t="shared" si="413"/>
        <v>5128.873624590683</v>
      </c>
      <c r="DG113">
        <f t="shared" si="523"/>
        <v>2.8169689504252572E-6</v>
      </c>
      <c r="DH113">
        <f t="shared" si="414"/>
        <v>4.8366244217365191E-4</v>
      </c>
      <c r="DI113">
        <f t="shared" si="415"/>
        <v>0.26980433747451149</v>
      </c>
      <c r="DK113">
        <f t="shared" si="416"/>
        <v>16.680727945883195</v>
      </c>
      <c r="DL113">
        <f t="shared" si="417"/>
        <v>0.63200000000000001</v>
      </c>
      <c r="DM113">
        <f t="shared" si="329"/>
        <v>107235.213</v>
      </c>
      <c r="DN113">
        <f t="shared" si="330"/>
        <v>5.2169010545984728E-3</v>
      </c>
      <c r="DO113">
        <f t="shared" si="418"/>
        <v>4.1424740237015426E-3</v>
      </c>
      <c r="DP113">
        <f t="shared" si="419"/>
        <v>1.276952168357175E-2</v>
      </c>
      <c r="DQ113">
        <f t="shared" si="420"/>
        <v>14.686329930274567</v>
      </c>
      <c r="DR113">
        <f t="shared" si="556"/>
        <v>3.1500669102226123E-6</v>
      </c>
      <c r="DS113">
        <f t="shared" si="524"/>
        <v>4.5548572167693847E-2</v>
      </c>
      <c r="DT113">
        <f t="shared" si="421"/>
        <v>4884.4108382485219</v>
      </c>
      <c r="DU113">
        <f t="shared" si="525"/>
        <v>2.7490152818469086E-6</v>
      </c>
      <c r="DV113">
        <f t="shared" si="422"/>
        <v>4.5202948622375912E-4</v>
      </c>
      <c r="DW113">
        <f t="shared" si="423"/>
        <v>0.2618235272949182</v>
      </c>
      <c r="DY113">
        <f t="shared" si="424"/>
        <v>18.578421682616209</v>
      </c>
      <c r="DZ113">
        <f t="shared" si="425"/>
        <v>0.63200000000000001</v>
      </c>
      <c r="EA113">
        <f t="shared" si="331"/>
        <v>107235.213</v>
      </c>
      <c r="EB113">
        <f t="shared" si="332"/>
        <v>5.2169010545984728E-3</v>
      </c>
      <c r="EC113">
        <f t="shared" si="426"/>
        <v>4.1424740237015426E-3</v>
      </c>
      <c r="ED113">
        <f t="shared" si="427"/>
        <v>1.276952168357175E-2</v>
      </c>
      <c r="EE113">
        <f t="shared" si="428"/>
        <v>14.686329930274567</v>
      </c>
      <c r="EF113">
        <f t="shared" si="557"/>
        <v>3.058742490275025E-6</v>
      </c>
      <c r="EG113">
        <f t="shared" si="526"/>
        <v>4.3408952367904083E-2</v>
      </c>
      <c r="EH113">
        <f t="shared" si="429"/>
        <v>4654.9682532790484</v>
      </c>
      <c r="EI113">
        <f t="shared" si="527"/>
        <v>2.6836719239886892E-6</v>
      </c>
      <c r="EJ113">
        <f t="shared" si="430"/>
        <v>4.2274595932381942E-4</v>
      </c>
      <c r="EK113">
        <f t="shared" si="431"/>
        <v>0.25423293241541134</v>
      </c>
      <c r="EM113">
        <f t="shared" si="432"/>
        <v>20.476115419349224</v>
      </c>
      <c r="EN113">
        <f t="shared" si="433"/>
        <v>0.63200000000000001</v>
      </c>
      <c r="EO113">
        <f t="shared" si="333"/>
        <v>107235.213</v>
      </c>
      <c r="EP113">
        <f t="shared" si="334"/>
        <v>5.2169010545984728E-3</v>
      </c>
      <c r="EQ113">
        <f t="shared" si="434"/>
        <v>4.1424740237015426E-3</v>
      </c>
      <c r="ER113">
        <f t="shared" si="435"/>
        <v>1.276952168357175E-2</v>
      </c>
      <c r="ES113">
        <f t="shared" si="436"/>
        <v>14.686329930274567</v>
      </c>
      <c r="ET113">
        <f t="shared" si="558"/>
        <v>2.9718181018797106E-6</v>
      </c>
      <c r="EU113">
        <f t="shared" si="528"/>
        <v>4.1399269626293492E-2</v>
      </c>
      <c r="EV113">
        <f t="shared" si="437"/>
        <v>4439.4594964200132</v>
      </c>
      <c r="EW113">
        <f t="shared" si="529"/>
        <v>2.6208134567452997E-6</v>
      </c>
      <c r="EX113">
        <f t="shared" si="438"/>
        <v>3.9562100781105511E-4</v>
      </c>
      <c r="EY113">
        <f t="shared" si="439"/>
        <v>0.24700805414258561</v>
      </c>
      <c r="FA113">
        <f t="shared" si="440"/>
        <v>22.373809156082238</v>
      </c>
      <c r="FB113">
        <f t="shared" si="441"/>
        <v>0.63200000000000001</v>
      </c>
      <c r="FC113">
        <f t="shared" si="335"/>
        <v>107235.213</v>
      </c>
      <c r="FD113">
        <f t="shared" si="336"/>
        <v>5.2169010545984728E-3</v>
      </c>
      <c r="FE113">
        <f t="shared" si="442"/>
        <v>4.1424740237015426E-3</v>
      </c>
      <c r="FF113">
        <f t="shared" si="443"/>
        <v>1.276952168357175E-2</v>
      </c>
      <c r="FG113">
        <f t="shared" si="444"/>
        <v>14.686329930274567</v>
      </c>
      <c r="FH113">
        <f t="shared" si="559"/>
        <v>2.8890206489280378E-6</v>
      </c>
      <c r="FI113">
        <f t="shared" si="530"/>
        <v>3.9510215756391215E-2</v>
      </c>
      <c r="FJ113">
        <f t="shared" si="445"/>
        <v>4236.886402312568</v>
      </c>
      <c r="FK113">
        <f t="shared" si="531"/>
        <v>2.5603213103349743E-6</v>
      </c>
      <c r="FL113">
        <f t="shared" si="446"/>
        <v>3.7048046344577125E-4</v>
      </c>
      <c r="FM113">
        <f t="shared" si="447"/>
        <v>0.24012619359781703</v>
      </c>
      <c r="FO113">
        <f t="shared" si="448"/>
        <v>24.271502892815253</v>
      </c>
      <c r="FP113">
        <f t="shared" si="449"/>
        <v>0.63200000000000001</v>
      </c>
      <c r="FQ113">
        <f t="shared" si="337"/>
        <v>107235.213</v>
      </c>
      <c r="FR113">
        <f t="shared" si="338"/>
        <v>5.2169010545984728E-3</v>
      </c>
      <c r="FS113">
        <f t="shared" si="450"/>
        <v>4.1424740237015426E-3</v>
      </c>
      <c r="FT113">
        <f t="shared" si="451"/>
        <v>1.276952168357175E-2</v>
      </c>
      <c r="FU113">
        <f t="shared" si="452"/>
        <v>14.686329930274567</v>
      </c>
      <c r="FV113">
        <f t="shared" si="560"/>
        <v>2.810096912663155E-6</v>
      </c>
      <c r="FW113">
        <f t="shared" si="532"/>
        <v>3.7733232366547825E-2</v>
      </c>
      <c r="FX113">
        <f t="shared" si="453"/>
        <v>4046.3312100052503</v>
      </c>
      <c r="FY113">
        <f t="shared" si="533"/>
        <v>2.5020833641844024E-6</v>
      </c>
      <c r="FZ113">
        <f t="shared" si="454"/>
        <v>3.471652929891016E-4</v>
      </c>
      <c r="GA113">
        <f t="shared" si="455"/>
        <v>0.23356630404464399</v>
      </c>
      <c r="GC113">
        <f t="shared" si="456"/>
        <v>26.169196629548267</v>
      </c>
      <c r="GD113">
        <f t="shared" si="457"/>
        <v>0.63200000000000001</v>
      </c>
      <c r="GE113">
        <f t="shared" si="339"/>
        <v>107235.213</v>
      </c>
      <c r="GF113">
        <f t="shared" si="340"/>
        <v>5.2169010545984728E-3</v>
      </c>
      <c r="GG113">
        <f t="shared" si="458"/>
        <v>4.1424740237015426E-3</v>
      </c>
      <c r="GH113">
        <f t="shared" si="459"/>
        <v>1.276952168357175E-2</v>
      </c>
      <c r="GI113">
        <f t="shared" si="460"/>
        <v>14.686329930274567</v>
      </c>
      <c r="GJ113">
        <f t="shared" si="561"/>
        <v>2.7348119332401233E-6</v>
      </c>
      <c r="GK113">
        <f t="shared" si="534"/>
        <v>3.6060444957983107E-2</v>
      </c>
      <c r="GL113">
        <f t="shared" si="461"/>
        <v>3866.9494959440945</v>
      </c>
      <c r="GM113">
        <f t="shared" si="535"/>
        <v>2.4459935697980984E-6</v>
      </c>
      <c r="GN113">
        <f t="shared" si="462"/>
        <v>3.2553019911038121E-4</v>
      </c>
      <c r="GO113">
        <f t="shared" si="463"/>
        <v>0.22730885636920062</v>
      </c>
      <c r="GQ113">
        <f t="shared" si="464"/>
        <v>28.066890366281282</v>
      </c>
      <c r="GR113">
        <f t="shared" si="465"/>
        <v>0.63200000000000001</v>
      </c>
      <c r="GS113">
        <f t="shared" si="341"/>
        <v>107235.213</v>
      </c>
      <c r="GT113">
        <f t="shared" si="342"/>
        <v>5.2169010545984728E-3</v>
      </c>
      <c r="GU113">
        <f t="shared" si="466"/>
        <v>4.1424740237015426E-3</v>
      </c>
      <c r="GV113">
        <f t="shared" si="467"/>
        <v>1.276952168357175E-2</v>
      </c>
      <c r="GW113">
        <f t="shared" si="468"/>
        <v>14.686329930274567</v>
      </c>
      <c r="GX113">
        <f t="shared" si="562"/>
        <v>2.6629475345335179E-6</v>
      </c>
      <c r="GY113">
        <f t="shared" si="536"/>
        <v>3.4484603210372708E-2</v>
      </c>
      <c r="GZ113">
        <f t="shared" si="469"/>
        <v>3697.9637704848014</v>
      </c>
      <c r="HA113">
        <f t="shared" si="537"/>
        <v>2.3919515962243688E-6</v>
      </c>
      <c r="HB113">
        <f t="shared" si="470"/>
        <v>3.0544235728137821E-4</v>
      </c>
      <c r="HC113">
        <f t="shared" si="471"/>
        <v>0.22133571646692404</v>
      </c>
      <c r="HE113">
        <f t="shared" si="472"/>
        <v>29.964584103014296</v>
      </c>
      <c r="HF113">
        <f t="shared" si="473"/>
        <v>0.63200000000000001</v>
      </c>
      <c r="HG113">
        <f t="shared" si="343"/>
        <v>107235.213</v>
      </c>
      <c r="HH113">
        <f t="shared" si="344"/>
        <v>5.2169010545984728E-3</v>
      </c>
      <c r="HI113">
        <f t="shared" si="568"/>
        <v>4.1424740237015426E-3</v>
      </c>
      <c r="HJ113">
        <f t="shared" si="474"/>
        <v>1.276952168357175E-2</v>
      </c>
      <c r="HK113">
        <f t="shared" si="475"/>
        <v>14.686329930274567</v>
      </c>
      <c r="HL113">
        <f t="shared" si="563"/>
        <v>2.5943009786823403E-6</v>
      </c>
      <c r="HM113">
        <f t="shared" si="538"/>
        <v>3.2999026844386437E-2</v>
      </c>
      <c r="HN113">
        <f t="shared" si="476"/>
        <v>3538.6576724504976</v>
      </c>
      <c r="HO113">
        <f t="shared" si="539"/>
        <v>2.3398624968014894E-6</v>
      </c>
      <c r="HP113">
        <f t="shared" si="477"/>
        <v>2.8678027491365742E-4</v>
      </c>
      <c r="HQ113">
        <f t="shared" si="478"/>
        <v>0.21563003341261308</v>
      </c>
      <c r="HS113">
        <f t="shared" si="479"/>
        <v>31.862277839747311</v>
      </c>
      <c r="HT113">
        <f t="shared" si="480"/>
        <v>0.63200000000000001</v>
      </c>
      <c r="HU113">
        <f t="shared" si="345"/>
        <v>107235.213</v>
      </c>
      <c r="HV113">
        <f t="shared" si="346"/>
        <v>5.2169010545984728E-3</v>
      </c>
      <c r="HW113">
        <f t="shared" si="569"/>
        <v>4.1424740237015426E-3</v>
      </c>
      <c r="HX113">
        <f t="shared" si="481"/>
        <v>1.276952168357175E-2</v>
      </c>
      <c r="HY113">
        <f t="shared" si="482"/>
        <v>14.686329930274567</v>
      </c>
      <c r="HZ113">
        <f t="shared" si="564"/>
        <v>2.5286837381991905E-6</v>
      </c>
      <c r="IA113">
        <f t="shared" si="540"/>
        <v>3.1597556513082332E-2</v>
      </c>
      <c r="IB113">
        <f t="shared" si="483"/>
        <v>3388.3707029599213</v>
      </c>
      <c r="IC113">
        <f t="shared" si="541"/>
        <v>2.2896363959366804E-6</v>
      </c>
      <c r="ID113">
        <f t="shared" si="484"/>
        <v>2.694327604246769E-4</v>
      </c>
      <c r="IE113">
        <f t="shared" si="485"/>
        <v>0.21017613740205401</v>
      </c>
      <c r="IG113">
        <f t="shared" si="486"/>
        <v>33.759971576480325</v>
      </c>
      <c r="IH113">
        <f t="shared" si="487"/>
        <v>0.63200000000000001</v>
      </c>
      <c r="II113">
        <f t="shared" si="347"/>
        <v>107235.213</v>
      </c>
      <c r="IJ113">
        <f t="shared" si="348"/>
        <v>5.2169010545984728E-3</v>
      </c>
      <c r="IK113">
        <f t="shared" si="570"/>
        <v>4.1424740237015426E-3</v>
      </c>
      <c r="IL113">
        <f t="shared" si="488"/>
        <v>1.276952168357175E-2</v>
      </c>
      <c r="IM113">
        <f t="shared" si="489"/>
        <v>14.686329930274567</v>
      </c>
      <c r="IN113">
        <f t="shared" si="565"/>
        <v>2.4659203746705265E-6</v>
      </c>
      <c r="IO113">
        <f t="shared" si="542"/>
        <v>3.0274509229992145E-2</v>
      </c>
      <c r="IP113">
        <f t="shared" si="490"/>
        <v>3246.4934457486738</v>
      </c>
      <c r="IQ113">
        <f t="shared" si="543"/>
        <v>2.2411881947365709E-6</v>
      </c>
      <c r="IR113">
        <f t="shared" si="491"/>
        <v>2.5329799119610185E-4</v>
      </c>
      <c r="IS113">
        <f t="shared" si="492"/>
        <v>0.20495944655315812</v>
      </c>
      <c r="IU113">
        <f t="shared" si="493"/>
        <v>35.657665313213343</v>
      </c>
      <c r="IV113">
        <f t="shared" si="494"/>
        <v>0.63200000000000001</v>
      </c>
      <c r="IW113">
        <f t="shared" si="349"/>
        <v>107235.213</v>
      </c>
      <c r="IX113">
        <f t="shared" si="350"/>
        <v>5.2169010545984728E-3</v>
      </c>
      <c r="IY113">
        <f t="shared" si="571"/>
        <v>4.1424740237015426E-3</v>
      </c>
      <c r="IZ113">
        <f t="shared" si="495"/>
        <v>1.276952168357175E-2</v>
      </c>
      <c r="JA113">
        <f t="shared" si="496"/>
        <v>14.686329930274567</v>
      </c>
      <c r="JB113">
        <f t="shared" si="566"/>
        <v>2.4058475141521387E-6</v>
      </c>
      <c r="JC113">
        <f t="shared" si="544"/>
        <v>2.9024637891809032E-2</v>
      </c>
      <c r="JD113">
        <f t="shared" si="497"/>
        <v>3112.4632265760124</v>
      </c>
      <c r="JE113">
        <f t="shared" si="545"/>
        <v>2.194437294371402E-6</v>
      </c>
      <c r="JF113">
        <f t="shared" si="498"/>
        <v>2.3828267053042533E-4</v>
      </c>
      <c r="JG113">
        <f t="shared" si="499"/>
        <v>0.19996638174409717</v>
      </c>
      <c r="JI113">
        <f t="shared" si="500"/>
        <v>37.555359049946354</v>
      </c>
      <c r="JJ113">
        <f t="shared" si="501"/>
        <v>0.63200000000000001</v>
      </c>
      <c r="JK113">
        <f t="shared" si="351"/>
        <v>107235.213</v>
      </c>
      <c r="JL113">
        <f t="shared" si="352"/>
        <v>5.2169010545984728E-3</v>
      </c>
      <c r="JM113">
        <f t="shared" si="572"/>
        <v>4.1424740237015426E-3</v>
      </c>
      <c r="JN113">
        <f t="shared" si="502"/>
        <v>1.276952168357175E-2</v>
      </c>
      <c r="JO113">
        <f t="shared" si="503"/>
        <v>14.686329930274567</v>
      </c>
      <c r="JP113">
        <f t="shared" si="567"/>
        <v>2.3483129103313369E-6</v>
      </c>
      <c r="JQ113">
        <f t="shared" si="546"/>
        <v>2.7843094498424838E-2</v>
      </c>
      <c r="JR113">
        <f t="shared" si="504"/>
        <v>2985.7601691177156</v>
      </c>
      <c r="JS113">
        <f t="shared" si="547"/>
        <v>2.149307336115979E-6</v>
      </c>
      <c r="JT113">
        <f t="shared" si="505"/>
        <v>2.243012647338302E-4</v>
      </c>
      <c r="JU113">
        <f t="shared" si="506"/>
        <v>0.19518428874632859</v>
      </c>
    </row>
    <row r="114" spans="2:281">
      <c r="B114">
        <v>0.8</v>
      </c>
      <c r="C114">
        <f t="shared" si="353"/>
        <v>1.5181549893864117</v>
      </c>
      <c r="D114">
        <f t="shared" si="354"/>
        <v>0.64000000000000012</v>
      </c>
      <c r="E114">
        <f t="shared" si="313"/>
        <v>107050.785</v>
      </c>
      <c r="F114">
        <f t="shared" si="314"/>
        <v>5.2198952429075279E-3</v>
      </c>
      <c r="G114">
        <f t="shared" si="355"/>
        <v>4.1412857693497902E-3</v>
      </c>
      <c r="H114">
        <f t="shared" si="356"/>
        <v>1.2791521123791248E-2</v>
      </c>
      <c r="I114">
        <f t="shared" si="357"/>
        <v>14.703192913120139</v>
      </c>
      <c r="J114">
        <f t="shared" si="548"/>
        <v>4.0791684193781347E-6</v>
      </c>
      <c r="K114">
        <f t="shared" si="507"/>
        <v>6.9198725639902009E-2</v>
      </c>
      <c r="L114">
        <f t="shared" si="358"/>
        <v>7407.7779007511381</v>
      </c>
      <c r="M114">
        <f t="shared" si="508"/>
        <v>3.3854393468221446E-6</v>
      </c>
      <c r="N114">
        <f t="shared" si="509"/>
        <v>7.825825457450675E-4</v>
      </c>
      <c r="O114">
        <f t="shared" si="359"/>
        <v>0.33904748515838451</v>
      </c>
      <c r="Q114">
        <f t="shared" si="360"/>
        <v>3.4158487261194259</v>
      </c>
      <c r="R114">
        <f t="shared" si="361"/>
        <v>0.64000000000000012</v>
      </c>
      <c r="S114">
        <f t="shared" si="315"/>
        <v>107050.785</v>
      </c>
      <c r="T114">
        <f t="shared" si="316"/>
        <v>5.2198952429075279E-3</v>
      </c>
      <c r="U114">
        <f t="shared" si="362"/>
        <v>4.1412857693497902E-3</v>
      </c>
      <c r="V114">
        <f t="shared" si="363"/>
        <v>1.2791521123791248E-2</v>
      </c>
      <c r="W114">
        <f t="shared" si="364"/>
        <v>14.703192913120139</v>
      </c>
      <c r="X114">
        <f t="shared" si="549"/>
        <v>3.9398071931359675E-6</v>
      </c>
      <c r="Y114">
        <f t="shared" si="510"/>
        <v>6.5536864415515317E-2</v>
      </c>
      <c r="Z114">
        <f t="shared" si="365"/>
        <v>7015.7727821194812</v>
      </c>
      <c r="AA114">
        <f t="shared" si="511"/>
        <v>3.2946464613265834E-6</v>
      </c>
      <c r="AB114">
        <f t="shared" si="366"/>
        <v>7.2779352615842598E-4</v>
      </c>
      <c r="AC114">
        <f t="shared" si="367"/>
        <v>0.32746422395702457</v>
      </c>
      <c r="AE114">
        <f t="shared" si="368"/>
        <v>5.3135424628524399</v>
      </c>
      <c r="AF114">
        <f t="shared" si="369"/>
        <v>0.64000000000000012</v>
      </c>
      <c r="AG114">
        <f t="shared" si="317"/>
        <v>107050.785</v>
      </c>
      <c r="AH114">
        <f t="shared" si="318"/>
        <v>5.2198952429075279E-3</v>
      </c>
      <c r="AI114">
        <f t="shared" si="370"/>
        <v>4.1412857693497902E-3</v>
      </c>
      <c r="AJ114">
        <f t="shared" si="371"/>
        <v>1.2791521123791248E-2</v>
      </c>
      <c r="AK114">
        <f t="shared" si="372"/>
        <v>14.703192913120139</v>
      </c>
      <c r="AL114">
        <f t="shared" si="550"/>
        <v>3.8079969867038451E-6</v>
      </c>
      <c r="AM114">
        <f t="shared" si="512"/>
        <v>6.2119292977305514E-2</v>
      </c>
      <c r="AN114">
        <f t="shared" si="373"/>
        <v>6649.9190768655426</v>
      </c>
      <c r="AO114">
        <f t="shared" si="513"/>
        <v>3.207592882860645E-6</v>
      </c>
      <c r="AP114">
        <f t="shared" si="374"/>
        <v>6.7730442711621403E-4</v>
      </c>
      <c r="AQ114">
        <f t="shared" si="375"/>
        <v>0.31650857946911409</v>
      </c>
      <c r="AS114">
        <f t="shared" si="376"/>
        <v>7.2112361995854544</v>
      </c>
      <c r="AT114">
        <f t="shared" si="377"/>
        <v>0.64000000000000012</v>
      </c>
      <c r="AU114">
        <f t="shared" si="319"/>
        <v>107050.785</v>
      </c>
      <c r="AV114">
        <f t="shared" si="320"/>
        <v>5.2198952429075279E-3</v>
      </c>
      <c r="AW114">
        <f t="shared" si="378"/>
        <v>4.1412857693497902E-3</v>
      </c>
      <c r="AX114">
        <f t="shared" si="379"/>
        <v>1.2791521123791248E-2</v>
      </c>
      <c r="AY114">
        <f t="shared" si="380"/>
        <v>14.703192913120139</v>
      </c>
      <c r="AZ114">
        <f t="shared" si="551"/>
        <v>3.6832247944055938E-6</v>
      </c>
      <c r="BA114">
        <f t="shared" si="514"/>
        <v>5.8927126671733179E-2</v>
      </c>
      <c r="BB114">
        <f t="shared" si="381"/>
        <v>6308.1951680034745</v>
      </c>
      <c r="BC114">
        <f t="shared" si="515"/>
        <v>3.1240906112931469E-6</v>
      </c>
      <c r="BD114">
        <f t="shared" si="382"/>
        <v>6.3074861605704401E-4</v>
      </c>
      <c r="BE114">
        <f t="shared" si="383"/>
        <v>0.3061379122969875</v>
      </c>
      <c r="BG114">
        <f t="shared" si="384"/>
        <v>9.1089299363184697</v>
      </c>
      <c r="BH114">
        <f t="shared" si="385"/>
        <v>0.64000000000000012</v>
      </c>
      <c r="BI114">
        <f t="shared" si="321"/>
        <v>107050.785</v>
      </c>
      <c r="BJ114">
        <f t="shared" si="322"/>
        <v>5.2198952429075279E-3</v>
      </c>
      <c r="BK114">
        <f t="shared" si="386"/>
        <v>4.1412857693497902E-3</v>
      </c>
      <c r="BL114">
        <f t="shared" si="387"/>
        <v>1.2791521123791248E-2</v>
      </c>
      <c r="BM114">
        <f t="shared" si="388"/>
        <v>14.703192913120139</v>
      </c>
      <c r="BN114">
        <f t="shared" si="552"/>
        <v>3.5650177603176609E-6</v>
      </c>
      <c r="BO114">
        <f t="shared" si="516"/>
        <v>5.5943099227546172E-2</v>
      </c>
      <c r="BP114">
        <f t="shared" si="389"/>
        <v>5988.7526876417114</v>
      </c>
      <c r="BQ114">
        <f t="shared" si="517"/>
        <v>3.0439621671514157E-6</v>
      </c>
      <c r="BR114">
        <f t="shared" si="390"/>
        <v>5.8779288443592767E-4</v>
      </c>
      <c r="BS114">
        <f t="shared" si="391"/>
        <v>0.29631292016252325</v>
      </c>
      <c r="BU114">
        <f t="shared" si="392"/>
        <v>11.006623673051484</v>
      </c>
      <c r="BV114">
        <f t="shared" si="393"/>
        <v>0.64000000000000012</v>
      </c>
      <c r="BW114">
        <f t="shared" si="323"/>
        <v>107050.785</v>
      </c>
      <c r="BX114">
        <f t="shared" si="324"/>
        <v>5.2198952429075279E-3</v>
      </c>
      <c r="BY114">
        <f t="shared" si="394"/>
        <v>4.1412857693497902E-3</v>
      </c>
      <c r="BZ114">
        <f t="shared" si="395"/>
        <v>1.2791521123791248E-2</v>
      </c>
      <c r="CA114">
        <f t="shared" si="396"/>
        <v>14.703192913120139</v>
      </c>
      <c r="CB114">
        <f t="shared" si="553"/>
        <v>3.4529397103599173E-6</v>
      </c>
      <c r="CC114">
        <f t="shared" si="518"/>
        <v>5.3151413263431549E-2</v>
      </c>
      <c r="CD114">
        <f t="shared" si="397"/>
        <v>5689.9005137097593</v>
      </c>
      <c r="CE114">
        <f t="shared" si="519"/>
        <v>2.9670399738904711E-6</v>
      </c>
      <c r="CF114">
        <f t="shared" si="398"/>
        <v>5.4813423249236318E-4</v>
      </c>
      <c r="CG114">
        <f t="shared" si="399"/>
        <v>0.28699734966557822</v>
      </c>
      <c r="CI114">
        <f t="shared" si="400"/>
        <v>12.904317409784499</v>
      </c>
      <c r="CJ114">
        <f t="shared" si="401"/>
        <v>0.64000000000000012</v>
      </c>
      <c r="CK114">
        <f t="shared" si="325"/>
        <v>107050.785</v>
      </c>
      <c r="CL114">
        <f t="shared" si="326"/>
        <v>5.2198952429075279E-3</v>
      </c>
      <c r="CM114">
        <f t="shared" si="402"/>
        <v>4.1412857693497902E-3</v>
      </c>
      <c r="CN114">
        <f t="shared" si="403"/>
        <v>1.2791521123791248E-2</v>
      </c>
      <c r="CO114">
        <f t="shared" si="404"/>
        <v>14.703192913120139</v>
      </c>
      <c r="CP114">
        <f t="shared" si="554"/>
        <v>3.3465880062920855E-6</v>
      </c>
      <c r="CQ114">
        <f t="shared" si="520"/>
        <v>5.0537605384465611E-2</v>
      </c>
      <c r="CR114">
        <f t="shared" si="405"/>
        <v>5410.0903284272708</v>
      </c>
      <c r="CS114">
        <f t="shared" si="521"/>
        <v>2.8931657762829827E-6</v>
      </c>
      <c r="CT114">
        <f t="shared" si="406"/>
        <v>5.1149697640686732E-4</v>
      </c>
      <c r="CU114">
        <f t="shared" si="407"/>
        <v>0.27815773479819206</v>
      </c>
      <c r="CW114">
        <f t="shared" si="408"/>
        <v>14.802011146517513</v>
      </c>
      <c r="CX114">
        <f t="shared" si="409"/>
        <v>0.64000000000000012</v>
      </c>
      <c r="CY114">
        <f t="shared" si="327"/>
        <v>107050.785</v>
      </c>
      <c r="CZ114">
        <f t="shared" si="328"/>
        <v>5.2198952429075279E-3</v>
      </c>
      <c r="DA114">
        <f t="shared" si="410"/>
        <v>4.1412857693497902E-3</v>
      </c>
      <c r="DB114">
        <f t="shared" si="411"/>
        <v>1.2791521123791248E-2</v>
      </c>
      <c r="DC114">
        <f t="shared" si="412"/>
        <v>14.703192913120139</v>
      </c>
      <c r="DD114">
        <f t="shared" si="555"/>
        <v>3.2455906901059848E-6</v>
      </c>
      <c r="DE114">
        <f t="shared" si="522"/>
        <v>4.8088424386422766E-2</v>
      </c>
      <c r="DF114">
        <f t="shared" si="413"/>
        <v>5147.9035799797002</v>
      </c>
      <c r="DG114">
        <f t="shared" si="523"/>
        <v>2.8221900929529107E-6</v>
      </c>
      <c r="DH114">
        <f t="shared" si="414"/>
        <v>4.7763014453065458E-4</v>
      </c>
      <c r="DI114">
        <f t="shared" si="415"/>
        <v>0.26976315959556685</v>
      </c>
      <c r="DK114">
        <f t="shared" si="416"/>
        <v>16.699704883250529</v>
      </c>
      <c r="DL114">
        <f t="shared" si="417"/>
        <v>0.64000000000000012</v>
      </c>
      <c r="DM114">
        <f t="shared" si="329"/>
        <v>107050.785</v>
      </c>
      <c r="DN114">
        <f t="shared" si="330"/>
        <v>5.2198952429075279E-3</v>
      </c>
      <c r="DO114">
        <f t="shared" si="418"/>
        <v>4.1412857693497902E-3</v>
      </c>
      <c r="DP114">
        <f t="shared" si="419"/>
        <v>1.2791521123791248E-2</v>
      </c>
      <c r="DQ114">
        <f t="shared" si="420"/>
        <v>14.703192913120139</v>
      </c>
      <c r="DR114">
        <f t="shared" si="556"/>
        <v>3.149603890508505E-6</v>
      </c>
      <c r="DS114">
        <f t="shared" si="524"/>
        <v>4.5791721241388181E-2</v>
      </c>
      <c r="DT114">
        <f t="shared" si="421"/>
        <v>4902.0397053917795</v>
      </c>
      <c r="DU114">
        <f t="shared" si="525"/>
        <v>2.7539717011676684E-6</v>
      </c>
      <c r="DV114">
        <f t="shared" si="422"/>
        <v>4.4630513288465042E-4</v>
      </c>
      <c r="DW114">
        <f t="shared" si="423"/>
        <v>0.26178504257119334</v>
      </c>
      <c r="DY114">
        <f t="shared" si="424"/>
        <v>18.597398619983544</v>
      </c>
      <c r="DZ114">
        <f t="shared" si="425"/>
        <v>0.64000000000000012</v>
      </c>
      <c r="EA114">
        <f t="shared" si="331"/>
        <v>107050.785</v>
      </c>
      <c r="EB114">
        <f t="shared" si="332"/>
        <v>5.2198952429075279E-3</v>
      </c>
      <c r="EC114">
        <f t="shared" si="426"/>
        <v>4.1412857693497902E-3</v>
      </c>
      <c r="ED114">
        <f t="shared" si="427"/>
        <v>1.2791521123791248E-2</v>
      </c>
      <c r="EE114">
        <f t="shared" si="428"/>
        <v>14.703192913120139</v>
      </c>
      <c r="EF114">
        <f t="shared" si="557"/>
        <v>3.0583094660604737E-6</v>
      </c>
      <c r="EG114">
        <f t="shared" si="526"/>
        <v>4.3636349676155622E-2</v>
      </c>
      <c r="EH114">
        <f t="shared" si="429"/>
        <v>4671.3054873669553</v>
      </c>
      <c r="EI114">
        <f t="shared" si="527"/>
        <v>2.6883771520924825E-6</v>
      </c>
      <c r="EJ114">
        <f t="shared" si="430"/>
        <v>4.1731359326168174E-4</v>
      </c>
      <c r="EK114">
        <f t="shared" si="431"/>
        <v>0.2541969408220614</v>
      </c>
      <c r="EM114">
        <f t="shared" si="432"/>
        <v>20.495092356716558</v>
      </c>
      <c r="EN114">
        <f t="shared" si="433"/>
        <v>0.64000000000000012</v>
      </c>
      <c r="EO114">
        <f t="shared" si="333"/>
        <v>107050.785</v>
      </c>
      <c r="EP114">
        <f t="shared" si="334"/>
        <v>5.2198952429075279E-3</v>
      </c>
      <c r="EQ114">
        <f t="shared" si="434"/>
        <v>4.1412857693497902E-3</v>
      </c>
      <c r="ER114">
        <f t="shared" si="435"/>
        <v>1.2791521123791248E-2</v>
      </c>
      <c r="ES114">
        <f t="shared" si="436"/>
        <v>14.703192913120139</v>
      </c>
      <c r="ET114">
        <f t="shared" si="558"/>
        <v>2.9714128621077175E-6</v>
      </c>
      <c r="EU114">
        <f t="shared" si="528"/>
        <v>4.1612076278326054E-2</v>
      </c>
      <c r="EV114">
        <f t="shared" si="437"/>
        <v>4454.6054310746831</v>
      </c>
      <c r="EW114">
        <f t="shared" si="529"/>
        <v>2.6252803147966705E-6</v>
      </c>
      <c r="EX114">
        <f t="shared" si="438"/>
        <v>3.9046553006907744E-4</v>
      </c>
      <c r="EY114">
        <f t="shared" si="439"/>
        <v>0.24697437190359597</v>
      </c>
      <c r="FA114">
        <f t="shared" si="440"/>
        <v>22.392786093449573</v>
      </c>
      <c r="FB114">
        <f t="shared" si="441"/>
        <v>0.64000000000000012</v>
      </c>
      <c r="FC114">
        <f t="shared" si="335"/>
        <v>107050.785</v>
      </c>
      <c r="FD114">
        <f t="shared" si="336"/>
        <v>5.2198952429075279E-3</v>
      </c>
      <c r="FE114">
        <f t="shared" si="442"/>
        <v>4.1412857693497902E-3</v>
      </c>
      <c r="FF114">
        <f t="shared" si="443"/>
        <v>1.2791521123791248E-2</v>
      </c>
      <c r="FG114">
        <f t="shared" si="444"/>
        <v>14.703192913120139</v>
      </c>
      <c r="FH114">
        <f t="shared" si="559"/>
        <v>2.8886411609444108E-6</v>
      </c>
      <c r="FI114">
        <f t="shared" si="530"/>
        <v>3.9709499175402722E-2</v>
      </c>
      <c r="FJ114">
        <f t="shared" si="445"/>
        <v>4250.9330586837141</v>
      </c>
      <c r="FK114">
        <f t="shared" si="531"/>
        <v>2.5645619473845344E-6</v>
      </c>
      <c r="FL114">
        <f t="shared" si="446"/>
        <v>3.6558758455416783E-4</v>
      </c>
      <c r="FM114">
        <f t="shared" si="447"/>
        <v>0.24009465176544617</v>
      </c>
      <c r="FO114">
        <f t="shared" si="448"/>
        <v>24.290479830182587</v>
      </c>
      <c r="FP114">
        <f t="shared" si="449"/>
        <v>0.64000000000000012</v>
      </c>
      <c r="FQ114">
        <f t="shared" si="337"/>
        <v>107050.785</v>
      </c>
      <c r="FR114">
        <f t="shared" si="338"/>
        <v>5.2198952429075279E-3</v>
      </c>
      <c r="FS114">
        <f t="shared" si="450"/>
        <v>4.1412857693497902E-3</v>
      </c>
      <c r="FT114">
        <f t="shared" si="451"/>
        <v>1.2791521123791248E-2</v>
      </c>
      <c r="FU114">
        <f t="shared" si="452"/>
        <v>14.703192913120139</v>
      </c>
      <c r="FV114">
        <f t="shared" si="560"/>
        <v>2.8097413067135284E-6</v>
      </c>
      <c r="FW114">
        <f t="shared" si="532"/>
        <v>3.7919974430908061E-2</v>
      </c>
      <c r="FX114">
        <f t="shared" si="453"/>
        <v>4059.3630300086365</v>
      </c>
      <c r="FY114">
        <f t="shared" si="533"/>
        <v>2.5061092937039752E-6</v>
      </c>
      <c r="FZ114">
        <f t="shared" si="454"/>
        <v>3.4252148729364053E-4</v>
      </c>
      <c r="GA114">
        <f t="shared" si="455"/>
        <v>0.23353674721086493</v>
      </c>
      <c r="GC114">
        <f t="shared" si="456"/>
        <v>26.188173566915601</v>
      </c>
      <c r="GD114">
        <f t="shared" si="457"/>
        <v>0.64000000000000012</v>
      </c>
      <c r="GE114">
        <f t="shared" si="339"/>
        <v>107050.785</v>
      </c>
      <c r="GF114">
        <f t="shared" si="340"/>
        <v>5.2198952429075279E-3</v>
      </c>
      <c r="GG114">
        <f t="shared" si="458"/>
        <v>4.1412857693497902E-3</v>
      </c>
      <c r="GH114">
        <f t="shared" si="459"/>
        <v>1.2791521123791248E-2</v>
      </c>
      <c r="GI114">
        <f t="shared" si="460"/>
        <v>14.703192913120139</v>
      </c>
      <c r="GJ114">
        <f t="shared" si="561"/>
        <v>2.7344784884000873E-6</v>
      </c>
      <c r="GK114">
        <f t="shared" si="534"/>
        <v>3.6235549389852045E-2</v>
      </c>
      <c r="GL114">
        <f t="shared" si="461"/>
        <v>3879.0440070899326</v>
      </c>
      <c r="GM114">
        <f t="shared" si="535"/>
        <v>2.4498157041632838E-6</v>
      </c>
      <c r="GN114">
        <f t="shared" si="462"/>
        <v>3.2112266182838514E-4</v>
      </c>
      <c r="GO114">
        <f t="shared" si="463"/>
        <v>0.22728114149625833</v>
      </c>
      <c r="GQ114">
        <f t="shared" si="464"/>
        <v>28.085867303648616</v>
      </c>
      <c r="GR114">
        <f t="shared" si="465"/>
        <v>0.64000000000000012</v>
      </c>
      <c r="GS114">
        <f t="shared" si="341"/>
        <v>107050.785</v>
      </c>
      <c r="GT114">
        <f t="shared" si="342"/>
        <v>5.2198952429075279E-3</v>
      </c>
      <c r="GU114">
        <f t="shared" si="466"/>
        <v>4.1412857693497902E-3</v>
      </c>
      <c r="GV114">
        <f t="shared" si="467"/>
        <v>1.2791521123791248E-2</v>
      </c>
      <c r="GW114">
        <f t="shared" si="468"/>
        <v>14.703192913120139</v>
      </c>
      <c r="GX114">
        <f t="shared" si="562"/>
        <v>2.6626346659325642E-6</v>
      </c>
      <c r="GY114">
        <f t="shared" si="536"/>
        <v>3.4648902284887546E-2</v>
      </c>
      <c r="GZ114">
        <f t="shared" si="469"/>
        <v>3709.1921889855057</v>
      </c>
      <c r="HA114">
        <f t="shared" si="537"/>
        <v>2.395580279261389E-6</v>
      </c>
      <c r="HB114">
        <f t="shared" si="470"/>
        <v>3.0125896411332595E-4</v>
      </c>
      <c r="HC114">
        <f t="shared" si="471"/>
        <v>0.22130971182543036</v>
      </c>
      <c r="HE114">
        <f t="shared" si="472"/>
        <v>29.98356104038163</v>
      </c>
      <c r="HF114">
        <f t="shared" si="473"/>
        <v>0.64000000000000012</v>
      </c>
      <c r="HG114">
        <f t="shared" si="343"/>
        <v>107050.785</v>
      </c>
      <c r="HH114">
        <f t="shared" si="344"/>
        <v>5.2198952429075279E-3</v>
      </c>
      <c r="HI114">
        <f t="shared" si="568"/>
        <v>4.1412857693497902E-3</v>
      </c>
      <c r="HJ114">
        <f t="shared" si="474"/>
        <v>1.2791521123791248E-2</v>
      </c>
      <c r="HK114">
        <f t="shared" si="475"/>
        <v>14.703192913120139</v>
      </c>
      <c r="HL114">
        <f t="shared" si="563"/>
        <v>2.5940072258964073E-6</v>
      </c>
      <c r="HM114">
        <f t="shared" si="538"/>
        <v>3.3153287485172475E-2</v>
      </c>
      <c r="HN114">
        <f t="shared" si="476"/>
        <v>3549.0854506183896</v>
      </c>
      <c r="HO114">
        <f t="shared" si="539"/>
        <v>2.3433075345086679E-6</v>
      </c>
      <c r="HP114">
        <f t="shared" si="477"/>
        <v>2.8280954404990037E-4</v>
      </c>
      <c r="HQ114">
        <f t="shared" si="478"/>
        <v>0.21560561761677199</v>
      </c>
      <c r="HS114">
        <f t="shared" si="479"/>
        <v>31.881254777114645</v>
      </c>
      <c r="HT114">
        <f t="shared" si="480"/>
        <v>0.64000000000000012</v>
      </c>
      <c r="HU114">
        <f t="shared" si="345"/>
        <v>107050.785</v>
      </c>
      <c r="HV114">
        <f t="shared" si="346"/>
        <v>5.2198952429075279E-3</v>
      </c>
      <c r="HW114">
        <f t="shared" si="569"/>
        <v>4.1412857693497902E-3</v>
      </c>
      <c r="HX114">
        <f t="shared" si="481"/>
        <v>1.2791521123791248E-2</v>
      </c>
      <c r="HY114">
        <f t="shared" si="482"/>
        <v>14.703192913120139</v>
      </c>
      <c r="HZ114">
        <f t="shared" si="564"/>
        <v>2.5284077546992089E-6</v>
      </c>
      <c r="IA114">
        <f t="shared" si="540"/>
        <v>3.1742485833219064E-2</v>
      </c>
      <c r="IB114">
        <f t="shared" si="483"/>
        <v>3398.05802629748</v>
      </c>
      <c r="IC114">
        <f t="shared" si="541"/>
        <v>2.2929070854847403E-6</v>
      </c>
      <c r="ID114">
        <f t="shared" si="484"/>
        <v>2.6566381679737281E-4</v>
      </c>
      <c r="IE114">
        <f t="shared" si="485"/>
        <v>0.21015319853265862</v>
      </c>
      <c r="IG114">
        <f t="shared" si="486"/>
        <v>33.778948513847659</v>
      </c>
      <c r="IH114">
        <f t="shared" si="487"/>
        <v>0.64000000000000012</v>
      </c>
      <c r="II114">
        <f t="shared" si="347"/>
        <v>107050.785</v>
      </c>
      <c r="IJ114">
        <f t="shared" si="348"/>
        <v>5.2198952429075279E-3</v>
      </c>
      <c r="IK114">
        <f t="shared" si="570"/>
        <v>4.1412857693497902E-3</v>
      </c>
      <c r="IL114">
        <f t="shared" si="488"/>
        <v>1.2791521123791248E-2</v>
      </c>
      <c r="IM114">
        <f t="shared" si="489"/>
        <v>14.703192913120139</v>
      </c>
      <c r="IN114">
        <f t="shared" si="565"/>
        <v>2.4656609182256664E-6</v>
      </c>
      <c r="IO114">
        <f t="shared" si="542"/>
        <v>3.0410759571629108E-2</v>
      </c>
      <c r="IP114">
        <f t="shared" si="490"/>
        <v>3255.4956845891597</v>
      </c>
      <c r="IQ114">
        <f t="shared" si="543"/>
        <v>2.2442933518460893E-6</v>
      </c>
      <c r="IR114">
        <f t="shared" si="491"/>
        <v>2.49720532836308E-4</v>
      </c>
      <c r="IS114">
        <f t="shared" si="492"/>
        <v>0.20493788135993882</v>
      </c>
      <c r="IU114">
        <f t="shared" si="493"/>
        <v>35.67664225058067</v>
      </c>
      <c r="IV114">
        <f t="shared" si="494"/>
        <v>0.64000000000000012</v>
      </c>
      <c r="IW114">
        <f t="shared" si="349"/>
        <v>107050.785</v>
      </c>
      <c r="IX114">
        <f t="shared" si="350"/>
        <v>5.2198952429075279E-3</v>
      </c>
      <c r="IY114">
        <f t="shared" si="571"/>
        <v>4.1412857693497902E-3</v>
      </c>
      <c r="IZ114">
        <f t="shared" si="495"/>
        <v>1.2791521123791248E-2</v>
      </c>
      <c r="JA114">
        <f t="shared" si="496"/>
        <v>14.703192913120139</v>
      </c>
      <c r="JB114">
        <f t="shared" si="566"/>
        <v>2.4056034380965976E-6</v>
      </c>
      <c r="JC114">
        <f t="shared" si="544"/>
        <v>2.915281141230407E-2</v>
      </c>
      <c r="JD114">
        <f t="shared" si="497"/>
        <v>3120.8313466441095</v>
      </c>
      <c r="JE114">
        <f t="shared" si="545"/>
        <v>2.1973852791602141E-6</v>
      </c>
      <c r="JF114">
        <f t="shared" si="498"/>
        <v>2.3488693689946907E-4</v>
      </c>
      <c r="JG114">
        <f t="shared" si="499"/>
        <v>0.19994609491984508</v>
      </c>
      <c r="JI114">
        <f t="shared" si="500"/>
        <v>37.574335987313688</v>
      </c>
      <c r="JJ114">
        <f t="shared" si="501"/>
        <v>0.64000000000000012</v>
      </c>
      <c r="JK114">
        <f t="shared" si="351"/>
        <v>107050.785</v>
      </c>
      <c r="JL114">
        <f t="shared" si="352"/>
        <v>5.2198952429075279E-3</v>
      </c>
      <c r="JM114">
        <f t="shared" si="572"/>
        <v>4.1412857693497902E-3</v>
      </c>
      <c r="JN114">
        <f t="shared" si="502"/>
        <v>1.2791521123791248E-2</v>
      </c>
      <c r="JO114">
        <f t="shared" si="503"/>
        <v>14.703192913120139</v>
      </c>
      <c r="JP114">
        <f t="shared" si="567"/>
        <v>2.3480831556125937E-6</v>
      </c>
      <c r="JQ114">
        <f t="shared" si="546"/>
        <v>2.7963747346105444E-2</v>
      </c>
      <c r="JR114">
        <f t="shared" si="504"/>
        <v>2993.5411049422546</v>
      </c>
      <c r="JS114">
        <f t="shared" si="547"/>
        <v>2.1521060775040922E-6</v>
      </c>
      <c r="JT114">
        <f t="shared" si="505"/>
        <v>2.2107800690658364E-4</v>
      </c>
      <c r="JU114">
        <f t="shared" si="506"/>
        <v>0.1951651922659717</v>
      </c>
    </row>
    <row r="115" spans="2:281">
      <c r="B115">
        <v>0.81</v>
      </c>
      <c r="C115">
        <f t="shared" si="353"/>
        <v>1.5371319267537418</v>
      </c>
      <c r="D115">
        <f t="shared" si="354"/>
        <v>0.64800000000000002</v>
      </c>
      <c r="E115">
        <f t="shared" si="313"/>
        <v>106866.357</v>
      </c>
      <c r="F115">
        <f t="shared" si="314"/>
        <v>5.2228963170118424E-3</v>
      </c>
      <c r="G115">
        <f t="shared" si="355"/>
        <v>4.1400958078261045E-3</v>
      </c>
      <c r="H115">
        <f t="shared" si="356"/>
        <v>1.2813596496472087E-2</v>
      </c>
      <c r="I115">
        <f t="shared" si="357"/>
        <v>14.720104385073935</v>
      </c>
      <c r="J115">
        <f t="shared" si="548"/>
        <v>4.0783668098423869E-6</v>
      </c>
      <c r="K115">
        <f t="shared" si="507"/>
        <v>6.9619680968893607E-2</v>
      </c>
      <c r="L115">
        <f t="shared" si="358"/>
        <v>7440.0016806478907</v>
      </c>
      <c r="M115">
        <f t="shared" si="508"/>
        <v>3.3927946748427845E-6</v>
      </c>
      <c r="N115">
        <f t="shared" si="509"/>
        <v>7.7404791552345721E-4</v>
      </c>
      <c r="O115">
        <f t="shared" si="359"/>
        <v>0.33898085792723537</v>
      </c>
      <c r="Q115">
        <f t="shared" si="360"/>
        <v>3.4348256634867562</v>
      </c>
      <c r="R115">
        <f t="shared" si="361"/>
        <v>0.64800000000000002</v>
      </c>
      <c r="S115">
        <f t="shared" si="315"/>
        <v>106866.357</v>
      </c>
      <c r="T115">
        <f t="shared" si="316"/>
        <v>5.2228963170118424E-3</v>
      </c>
      <c r="U115">
        <f t="shared" si="362"/>
        <v>4.1400958078261045E-3</v>
      </c>
      <c r="V115">
        <f t="shared" si="363"/>
        <v>1.2813596496472087E-2</v>
      </c>
      <c r="W115">
        <f t="shared" si="364"/>
        <v>14.720104385073935</v>
      </c>
      <c r="X115">
        <f t="shared" si="549"/>
        <v>3.93906170470948E-6</v>
      </c>
      <c r="Y115">
        <f t="shared" si="510"/>
        <v>6.5928348438392792E-2</v>
      </c>
      <c r="Z115">
        <f t="shared" si="365"/>
        <v>7045.522420637677</v>
      </c>
      <c r="AA115">
        <f t="shared" si="511"/>
        <v>3.3016243708860367E-6</v>
      </c>
      <c r="AB115">
        <f t="shared" si="366"/>
        <v>7.1970112893102428E-4</v>
      </c>
      <c r="AC115">
        <f t="shared" si="367"/>
        <v>0.32740226133370792</v>
      </c>
      <c r="AE115">
        <f t="shared" si="368"/>
        <v>5.3325194002197707</v>
      </c>
      <c r="AF115">
        <f t="shared" si="369"/>
        <v>0.64800000000000002</v>
      </c>
      <c r="AG115">
        <f t="shared" si="317"/>
        <v>106866.357</v>
      </c>
      <c r="AH115">
        <f t="shared" si="318"/>
        <v>5.2228963170118424E-3</v>
      </c>
      <c r="AI115">
        <f t="shared" si="370"/>
        <v>4.1400958078261045E-3</v>
      </c>
      <c r="AJ115">
        <f t="shared" si="371"/>
        <v>1.2813596496472087E-2</v>
      </c>
      <c r="AK115">
        <f t="shared" si="372"/>
        <v>14.720104385073935</v>
      </c>
      <c r="AL115">
        <f t="shared" si="550"/>
        <v>3.8073032149217721E-6</v>
      </c>
      <c r="AM115">
        <f t="shared" si="512"/>
        <v>6.2483618644283853E-2</v>
      </c>
      <c r="AN115">
        <f t="shared" si="373"/>
        <v>6677.3966966918942</v>
      </c>
      <c r="AO115">
        <f t="shared" si="513"/>
        <v>3.2142129754018284E-6</v>
      </c>
      <c r="AP115">
        <f t="shared" si="374"/>
        <v>6.6963086768103059E-4</v>
      </c>
      <c r="AQ115">
        <f t="shared" si="375"/>
        <v>0.31645091536854197</v>
      </c>
      <c r="AS115">
        <f t="shared" si="376"/>
        <v>7.2302131369527851</v>
      </c>
      <c r="AT115">
        <f t="shared" si="377"/>
        <v>0.64800000000000002</v>
      </c>
      <c r="AU115">
        <f t="shared" si="319"/>
        <v>106866.357</v>
      </c>
      <c r="AV115">
        <f t="shared" si="320"/>
        <v>5.2228963170118424E-3</v>
      </c>
      <c r="AW115">
        <f t="shared" si="378"/>
        <v>4.1400958078261045E-3</v>
      </c>
      <c r="AX115">
        <f t="shared" si="379"/>
        <v>1.2813596496472087E-2</v>
      </c>
      <c r="AY115">
        <f t="shared" si="380"/>
        <v>14.720104385073935</v>
      </c>
      <c r="AZ115">
        <f t="shared" si="551"/>
        <v>3.6825787103496177E-6</v>
      </c>
      <c r="BA115">
        <f t="shared" si="514"/>
        <v>5.9266409719415394E-2</v>
      </c>
      <c r="BB115">
        <f t="shared" si="381"/>
        <v>6333.5852991833153</v>
      </c>
      <c r="BC115">
        <f t="shared" si="515"/>
        <v>3.1303714422470762E-6</v>
      </c>
      <c r="BD115">
        <f t="shared" si="382"/>
        <v>6.2347178800072295E-4</v>
      </c>
      <c r="BE115">
        <f t="shared" si="383"/>
        <v>0.30608421184830314</v>
      </c>
      <c r="BG115">
        <f t="shared" si="384"/>
        <v>9.1279068736858004</v>
      </c>
      <c r="BH115">
        <f t="shared" si="385"/>
        <v>0.64800000000000002</v>
      </c>
      <c r="BI115">
        <f t="shared" si="321"/>
        <v>106866.357</v>
      </c>
      <c r="BJ115">
        <f t="shared" si="322"/>
        <v>5.2228963170118424E-3</v>
      </c>
      <c r="BK115">
        <f t="shared" si="386"/>
        <v>4.1400958078261045E-3</v>
      </c>
      <c r="BL115">
        <f t="shared" si="387"/>
        <v>1.2813596496472087E-2</v>
      </c>
      <c r="BM115">
        <f t="shared" si="388"/>
        <v>14.720104385073935</v>
      </c>
      <c r="BN115">
        <f t="shared" si="552"/>
        <v>3.5644156763793334E-6</v>
      </c>
      <c r="BO115">
        <f t="shared" si="516"/>
        <v>5.6259276157880185E-2</v>
      </c>
      <c r="BP115">
        <f t="shared" si="389"/>
        <v>6012.2238904496126</v>
      </c>
      <c r="BQ115">
        <f t="shared" si="517"/>
        <v>3.0499213035047E-6</v>
      </c>
      <c r="BR115">
        <f t="shared" si="390"/>
        <v>5.8089189531075277E-4</v>
      </c>
      <c r="BS115">
        <f t="shared" si="391"/>
        <v>0.29626287686345903</v>
      </c>
      <c r="BU115">
        <f t="shared" si="392"/>
        <v>11.025600610418815</v>
      </c>
      <c r="BV115">
        <f t="shared" si="393"/>
        <v>0.64800000000000002</v>
      </c>
      <c r="BW115">
        <f t="shared" si="323"/>
        <v>106866.357</v>
      </c>
      <c r="BX115">
        <f t="shared" si="324"/>
        <v>5.2228963170118424E-3</v>
      </c>
      <c r="BY115">
        <f t="shared" si="394"/>
        <v>4.1400958078261045E-3</v>
      </c>
      <c r="BZ115">
        <f t="shared" si="395"/>
        <v>1.2813596496472087E-2</v>
      </c>
      <c r="CA115">
        <f t="shared" si="396"/>
        <v>14.720104385073935</v>
      </c>
      <c r="CB115">
        <f t="shared" si="553"/>
        <v>3.4523782492974072E-6</v>
      </c>
      <c r="CC115">
        <f t="shared" si="518"/>
        <v>5.3446257593176609E-2</v>
      </c>
      <c r="CD115">
        <f t="shared" si="397"/>
        <v>5711.6068442663727</v>
      </c>
      <c r="CE115">
        <f t="shared" si="519"/>
        <v>2.972694048517953E-6</v>
      </c>
      <c r="CF115">
        <f t="shared" si="398"/>
        <v>5.4158933359082248E-4</v>
      </c>
      <c r="CG115">
        <f t="shared" si="399"/>
        <v>0.28695068281055108</v>
      </c>
      <c r="CI115">
        <f t="shared" si="400"/>
        <v>12.923294347151829</v>
      </c>
      <c r="CJ115">
        <f t="shared" si="401"/>
        <v>0.64800000000000002</v>
      </c>
      <c r="CK115">
        <f t="shared" si="325"/>
        <v>106866.357</v>
      </c>
      <c r="CL115">
        <f t="shared" si="326"/>
        <v>5.2228963170118424E-3</v>
      </c>
      <c r="CM115">
        <f t="shared" si="402"/>
        <v>4.1400958078261045E-3</v>
      </c>
      <c r="CN115">
        <f t="shared" si="403"/>
        <v>1.2813596496472087E-2</v>
      </c>
      <c r="CO115">
        <f t="shared" si="404"/>
        <v>14.720104385073935</v>
      </c>
      <c r="CP115">
        <f t="shared" si="554"/>
        <v>3.3460640732501039E-6</v>
      </c>
      <c r="CQ115">
        <f t="shared" si="520"/>
        <v>5.0812742338582788E-2</v>
      </c>
      <c r="CR115">
        <f t="shared" si="405"/>
        <v>5430.1726629040031</v>
      </c>
      <c r="CS115">
        <f t="shared" si="521"/>
        <v>2.8985305392266442E-6</v>
      </c>
      <c r="CT115">
        <f t="shared" si="406"/>
        <v>5.0528949683450314E-4</v>
      </c>
      <c r="CU115">
        <f t="shared" si="407"/>
        <v>0.27811418715268876</v>
      </c>
      <c r="CW115">
        <f t="shared" si="408"/>
        <v>14.820988083884844</v>
      </c>
      <c r="CX115">
        <f t="shared" si="409"/>
        <v>0.64800000000000002</v>
      </c>
      <c r="CY115">
        <f t="shared" si="327"/>
        <v>106866.357</v>
      </c>
      <c r="CZ115">
        <f t="shared" si="328"/>
        <v>5.2228963170118424E-3</v>
      </c>
      <c r="DA115">
        <f t="shared" si="410"/>
        <v>4.1400958078261045E-3</v>
      </c>
      <c r="DB115">
        <f t="shared" si="411"/>
        <v>1.2813596496472087E-2</v>
      </c>
      <c r="DC115">
        <f t="shared" si="412"/>
        <v>14.720104385073935</v>
      </c>
      <c r="DD115">
        <f t="shared" si="555"/>
        <v>3.2451014473027837E-6</v>
      </c>
      <c r="DE115">
        <f t="shared" si="522"/>
        <v>4.8345344190883509E-2</v>
      </c>
      <c r="DF115">
        <f t="shared" si="413"/>
        <v>5166.4908115908338</v>
      </c>
      <c r="DG115">
        <f t="shared" si="523"/>
        <v>2.8272804598183939E-6</v>
      </c>
      <c r="DH115">
        <f t="shared" si="414"/>
        <v>4.7174242929875208E-4</v>
      </c>
      <c r="DI115">
        <f t="shared" si="415"/>
        <v>0.26972249529220804</v>
      </c>
      <c r="DK115">
        <f t="shared" si="416"/>
        <v>16.718681820617856</v>
      </c>
      <c r="DL115">
        <f t="shared" si="417"/>
        <v>0.64800000000000002</v>
      </c>
      <c r="DM115">
        <f t="shared" si="329"/>
        <v>106866.357</v>
      </c>
      <c r="DN115">
        <f t="shared" si="330"/>
        <v>5.2228963170118424E-3</v>
      </c>
      <c r="DO115">
        <f t="shared" si="418"/>
        <v>4.1400958078261045E-3</v>
      </c>
      <c r="DP115">
        <f t="shared" si="419"/>
        <v>1.2813596496472087E-2</v>
      </c>
      <c r="DQ115">
        <f t="shared" si="420"/>
        <v>14.720104385073935</v>
      </c>
      <c r="DR115">
        <f t="shared" si="556"/>
        <v>3.1491467343243827E-6</v>
      </c>
      <c r="DS115">
        <f t="shared" si="524"/>
        <v>4.603179115486318E-2</v>
      </c>
      <c r="DT115">
        <f t="shared" si="421"/>
        <v>4919.2498269050511</v>
      </c>
      <c r="DU115">
        <f t="shared" si="525"/>
        <v>2.7588017988004784E-6</v>
      </c>
      <c r="DV115">
        <f t="shared" si="422"/>
        <v>4.4072048476356406E-4</v>
      </c>
      <c r="DW115">
        <f t="shared" si="423"/>
        <v>0.26174704520540309</v>
      </c>
      <c r="DY115">
        <f t="shared" si="424"/>
        <v>18.616375557350871</v>
      </c>
      <c r="DZ115">
        <f t="shared" si="425"/>
        <v>0.64800000000000002</v>
      </c>
      <c r="EA115">
        <f t="shared" si="331"/>
        <v>106866.357</v>
      </c>
      <c r="EB115">
        <f t="shared" si="332"/>
        <v>5.2228963170118424E-3</v>
      </c>
      <c r="EC115">
        <f t="shared" si="426"/>
        <v>4.1400958078261045E-3</v>
      </c>
      <c r="ED115">
        <f t="shared" si="427"/>
        <v>1.2813596496472087E-2</v>
      </c>
      <c r="EE115">
        <f t="shared" si="428"/>
        <v>14.720104385073935</v>
      </c>
      <c r="EF115">
        <f t="shared" si="557"/>
        <v>3.0578820062895211E-6</v>
      </c>
      <c r="EG115">
        <f t="shared" si="526"/>
        <v>4.3860824885702823E-2</v>
      </c>
      <c r="EH115">
        <f t="shared" si="429"/>
        <v>4687.2465705500026</v>
      </c>
      <c r="EI115">
        <f t="shared" si="527"/>
        <v>2.6929603616871737E-6</v>
      </c>
      <c r="EJ115">
        <f t="shared" si="430"/>
        <v>4.1201621815332783E-4</v>
      </c>
      <c r="EK115">
        <f t="shared" si="431"/>
        <v>0.25416141172753826</v>
      </c>
      <c r="EM115">
        <f t="shared" si="432"/>
        <v>20.514069294083885</v>
      </c>
      <c r="EN115">
        <f t="shared" si="433"/>
        <v>0.64800000000000002</v>
      </c>
      <c r="EO115">
        <f t="shared" si="333"/>
        <v>106866.357</v>
      </c>
      <c r="EP115">
        <f t="shared" si="334"/>
        <v>5.2228963170118424E-3</v>
      </c>
      <c r="EQ115">
        <f t="shared" si="434"/>
        <v>4.1400958078261045E-3</v>
      </c>
      <c r="ER115">
        <f t="shared" si="435"/>
        <v>1.2813596496472087E-2</v>
      </c>
      <c r="ES115">
        <f t="shared" si="436"/>
        <v>14.720104385073935</v>
      </c>
      <c r="ET115">
        <f t="shared" si="558"/>
        <v>2.9710129031589956E-6</v>
      </c>
      <c r="EU115">
        <f t="shared" si="528"/>
        <v>4.1822109771359806E-2</v>
      </c>
      <c r="EV115">
        <f t="shared" si="437"/>
        <v>4469.3765133193256</v>
      </c>
      <c r="EW115">
        <f t="shared" si="529"/>
        <v>2.6296293125839151E-6</v>
      </c>
      <c r="EX115">
        <f t="shared" si="438"/>
        <v>3.8544048567363035E-4</v>
      </c>
      <c r="EY115">
        <f t="shared" si="439"/>
        <v>0.24694112858981504</v>
      </c>
      <c r="FA115">
        <f t="shared" si="440"/>
        <v>22.4117630308169</v>
      </c>
      <c r="FB115">
        <f t="shared" si="441"/>
        <v>0.64800000000000002</v>
      </c>
      <c r="FC115">
        <f t="shared" si="335"/>
        <v>106866.357</v>
      </c>
      <c r="FD115">
        <f t="shared" si="336"/>
        <v>5.2228963170118424E-3</v>
      </c>
      <c r="FE115">
        <f t="shared" si="442"/>
        <v>4.1400958078261045E-3</v>
      </c>
      <c r="FF115">
        <f t="shared" si="443"/>
        <v>1.2813596496472087E-2</v>
      </c>
      <c r="FG115">
        <f t="shared" si="444"/>
        <v>14.720104385073935</v>
      </c>
      <c r="FH115">
        <f t="shared" si="559"/>
        <v>2.8882666848006187E-6</v>
      </c>
      <c r="FI115">
        <f t="shared" si="530"/>
        <v>3.9906150688738866E-2</v>
      </c>
      <c r="FJ115">
        <f t="shared" si="445"/>
        <v>4264.6249459985638</v>
      </c>
      <c r="FK115">
        <f t="shared" si="531"/>
        <v>2.5686887430330766E-6</v>
      </c>
      <c r="FL115">
        <f t="shared" si="446"/>
        <v>3.6082073212118841E-4</v>
      </c>
      <c r="FM115">
        <f t="shared" si="447"/>
        <v>0.24006352650123758</v>
      </c>
      <c r="FO115">
        <f t="shared" si="448"/>
        <v>24.309456767549914</v>
      </c>
      <c r="FP115">
        <f t="shared" si="449"/>
        <v>0.64800000000000002</v>
      </c>
      <c r="FQ115">
        <f t="shared" si="337"/>
        <v>106866.357</v>
      </c>
      <c r="FR115">
        <f t="shared" si="338"/>
        <v>5.2228963170118424E-3</v>
      </c>
      <c r="FS115">
        <f t="shared" si="450"/>
        <v>4.1400958078261045E-3</v>
      </c>
      <c r="FT115">
        <f t="shared" si="451"/>
        <v>1.2813596496472087E-2</v>
      </c>
      <c r="FU115">
        <f t="shared" si="452"/>
        <v>14.720104385073935</v>
      </c>
      <c r="FV115">
        <f t="shared" si="560"/>
        <v>2.8093904574748049E-6</v>
      </c>
      <c r="FW115">
        <f t="shared" si="532"/>
        <v>3.8104218567394758E-2</v>
      </c>
      <c r="FX115">
        <f t="shared" si="453"/>
        <v>4072.0590246292368</v>
      </c>
      <c r="FY115">
        <f t="shared" si="533"/>
        <v>2.5100252665669294E-6</v>
      </c>
      <c r="FZ115">
        <f t="shared" si="454"/>
        <v>3.3799944626200024E-4</v>
      </c>
      <c r="GA115">
        <f t="shared" si="455"/>
        <v>0.23350758573974406</v>
      </c>
      <c r="GC115">
        <f t="shared" si="456"/>
        <v>26.207150504282929</v>
      </c>
      <c r="GD115">
        <f t="shared" si="457"/>
        <v>0.64800000000000002</v>
      </c>
      <c r="GE115">
        <f t="shared" si="339"/>
        <v>106866.357</v>
      </c>
      <c r="GF115">
        <f t="shared" si="340"/>
        <v>5.2228963170118424E-3</v>
      </c>
      <c r="GG115">
        <f t="shared" si="458"/>
        <v>4.1400958078261045E-3</v>
      </c>
      <c r="GH115">
        <f t="shared" si="459"/>
        <v>1.2813596496472087E-2</v>
      </c>
      <c r="GI115">
        <f t="shared" si="460"/>
        <v>14.720104385073935</v>
      </c>
      <c r="GJ115">
        <f t="shared" si="561"/>
        <v>2.7341495582581284E-6</v>
      </c>
      <c r="GK115">
        <f t="shared" si="534"/>
        <v>3.6408282983888318E-2</v>
      </c>
      <c r="GL115">
        <f t="shared" si="461"/>
        <v>3890.8205671132346</v>
      </c>
      <c r="GM115">
        <f t="shared" si="535"/>
        <v>2.453531637491093E-6</v>
      </c>
      <c r="GN115">
        <f t="shared" si="462"/>
        <v>3.1683276717245292E-4</v>
      </c>
      <c r="GO115">
        <f t="shared" si="463"/>
        <v>0.22725380187063904</v>
      </c>
      <c r="GQ115">
        <f t="shared" si="464"/>
        <v>28.104844241015943</v>
      </c>
      <c r="GR115">
        <f t="shared" si="465"/>
        <v>0.64800000000000002</v>
      </c>
      <c r="GS115">
        <f t="shared" si="341"/>
        <v>106866.357</v>
      </c>
      <c r="GT115">
        <f t="shared" si="342"/>
        <v>5.2228963170118424E-3</v>
      </c>
      <c r="GU115">
        <f t="shared" si="466"/>
        <v>4.1400958078261045E-3</v>
      </c>
      <c r="GV115">
        <f t="shared" si="467"/>
        <v>1.2813596496472087E-2</v>
      </c>
      <c r="GW115">
        <f t="shared" si="468"/>
        <v>14.720104385073935</v>
      </c>
      <c r="GX115">
        <f t="shared" si="562"/>
        <v>2.6623260824359406E-6</v>
      </c>
      <c r="GY115">
        <f t="shared" si="536"/>
        <v>3.4810951089885155E-2</v>
      </c>
      <c r="GZ115">
        <f t="shared" si="469"/>
        <v>3720.119526681206</v>
      </c>
      <c r="HA115">
        <f t="shared" si="537"/>
        <v>2.3991063924969813E-6</v>
      </c>
      <c r="HB115">
        <f t="shared" si="470"/>
        <v>2.971892262250425E-4</v>
      </c>
      <c r="HC115">
        <f t="shared" si="471"/>
        <v>0.2212840633481587</v>
      </c>
      <c r="HE115">
        <f t="shared" si="472"/>
        <v>30.002537977748958</v>
      </c>
      <c r="HF115">
        <f t="shared" si="473"/>
        <v>0.64800000000000002</v>
      </c>
      <c r="HG115">
        <f t="shared" si="343"/>
        <v>106866.357</v>
      </c>
      <c r="HH115">
        <f t="shared" si="344"/>
        <v>5.2228963170118424E-3</v>
      </c>
      <c r="HI115">
        <f t="shared" si="568"/>
        <v>4.1400958078261045E-3</v>
      </c>
      <c r="HJ115">
        <f t="shared" si="474"/>
        <v>1.2813596496472087E-2</v>
      </c>
      <c r="HK115">
        <f t="shared" si="475"/>
        <v>14.720104385073935</v>
      </c>
      <c r="HL115">
        <f t="shared" si="563"/>
        <v>2.5937175403820249E-6</v>
      </c>
      <c r="HM115">
        <f t="shared" si="538"/>
        <v>3.3305412248630019E-2</v>
      </c>
      <c r="HN115">
        <f t="shared" si="476"/>
        <v>3559.2280753942687</v>
      </c>
      <c r="HO115">
        <f t="shared" si="539"/>
        <v>2.3466535137739303E-6</v>
      </c>
      <c r="HP115">
        <f t="shared" si="477"/>
        <v>2.7894861099764283E-4</v>
      </c>
      <c r="HQ115">
        <f t="shared" si="478"/>
        <v>0.21558153987958625</v>
      </c>
      <c r="HS115">
        <f t="shared" si="479"/>
        <v>31.900231714481972</v>
      </c>
      <c r="HT115">
        <f t="shared" si="480"/>
        <v>0.64800000000000002</v>
      </c>
      <c r="HU115">
        <f t="shared" si="345"/>
        <v>106866.357</v>
      </c>
      <c r="HV115">
        <f t="shared" si="346"/>
        <v>5.2228963170118424E-3</v>
      </c>
      <c r="HW115">
        <f t="shared" si="569"/>
        <v>4.1400958078261045E-3</v>
      </c>
      <c r="HX115">
        <f t="shared" si="481"/>
        <v>1.2813596496472087E-2</v>
      </c>
      <c r="HY115">
        <f t="shared" si="482"/>
        <v>14.720104385073935</v>
      </c>
      <c r="HZ115">
        <f t="shared" si="564"/>
        <v>2.5281356317774727E-6</v>
      </c>
      <c r="IA115">
        <f t="shared" si="540"/>
        <v>3.1885387818458989E-2</v>
      </c>
      <c r="IB115">
        <f t="shared" si="483"/>
        <v>3407.4752376908896</v>
      </c>
      <c r="IC115">
        <f t="shared" si="541"/>
        <v>2.2960821123613255E-6</v>
      </c>
      <c r="ID115">
        <f t="shared" si="484"/>
        <v>2.6200093881303244E-4</v>
      </c>
      <c r="IE115">
        <f t="shared" si="485"/>
        <v>0.21013058054222941</v>
      </c>
      <c r="IG115">
        <f t="shared" si="486"/>
        <v>33.797925451214986</v>
      </c>
      <c r="IH115">
        <f t="shared" si="487"/>
        <v>0.64800000000000002</v>
      </c>
      <c r="II115">
        <f t="shared" si="347"/>
        <v>106866.357</v>
      </c>
      <c r="IJ115">
        <f t="shared" si="348"/>
        <v>5.2228963170118424E-3</v>
      </c>
      <c r="IK115">
        <f t="shared" si="570"/>
        <v>4.1400958078261045E-3</v>
      </c>
      <c r="IL115">
        <f t="shared" si="488"/>
        <v>1.2813596496472087E-2</v>
      </c>
      <c r="IM115">
        <f t="shared" si="489"/>
        <v>14.720104385073935</v>
      </c>
      <c r="IN115">
        <f t="shared" si="565"/>
        <v>2.465405126218188E-6</v>
      </c>
      <c r="IO115">
        <f t="shared" si="542"/>
        <v>3.0545085579316855E-2</v>
      </c>
      <c r="IP115">
        <f t="shared" si="490"/>
        <v>3264.242020114827</v>
      </c>
      <c r="IQ115">
        <f t="shared" si="543"/>
        <v>2.2473061305477996E-6</v>
      </c>
      <c r="IR115">
        <f t="shared" si="491"/>
        <v>2.4624552889175046E-4</v>
      </c>
      <c r="IS115">
        <f t="shared" si="492"/>
        <v>0.20491662074308192</v>
      </c>
      <c r="IU115">
        <f t="shared" si="493"/>
        <v>35.695619187947997</v>
      </c>
      <c r="IV115">
        <f t="shared" si="494"/>
        <v>0.64800000000000002</v>
      </c>
      <c r="IW115">
        <f t="shared" si="349"/>
        <v>106866.357</v>
      </c>
      <c r="IX115">
        <f t="shared" si="350"/>
        <v>5.2228963170118424E-3</v>
      </c>
      <c r="IY115">
        <f t="shared" si="571"/>
        <v>4.1400958078261045E-3</v>
      </c>
      <c r="IZ115">
        <f t="shared" si="495"/>
        <v>1.2813596496472087E-2</v>
      </c>
      <c r="JA115">
        <f t="shared" si="496"/>
        <v>14.720104385073935</v>
      </c>
      <c r="JB115">
        <f t="shared" si="566"/>
        <v>2.4053628403354223E-6</v>
      </c>
      <c r="JC115">
        <f t="shared" si="544"/>
        <v>2.9279158349551682E-2</v>
      </c>
      <c r="JD115">
        <f t="shared" si="497"/>
        <v>3128.9569888427209</v>
      </c>
      <c r="JE115">
        <f t="shared" si="545"/>
        <v>2.2002440621887423E-6</v>
      </c>
      <c r="JF115">
        <f t="shared" si="498"/>
        <v>2.315901632426297E-4</v>
      </c>
      <c r="JG115">
        <f t="shared" si="499"/>
        <v>0.19992609720034085</v>
      </c>
      <c r="JI115">
        <f t="shared" si="500"/>
        <v>37.593312924681015</v>
      </c>
      <c r="JJ115">
        <f t="shared" si="501"/>
        <v>0.64800000000000002</v>
      </c>
      <c r="JK115">
        <f t="shared" si="351"/>
        <v>106866.357</v>
      </c>
      <c r="JL115">
        <f t="shared" si="352"/>
        <v>5.2228963170118424E-3</v>
      </c>
      <c r="JM115">
        <f t="shared" si="572"/>
        <v>4.1400958078261045E-3</v>
      </c>
      <c r="JN115">
        <f t="shared" si="502"/>
        <v>1.2813596496472087E-2</v>
      </c>
      <c r="JO115">
        <f t="shared" si="503"/>
        <v>14.720104385073935</v>
      </c>
      <c r="JP115">
        <f t="shared" si="567"/>
        <v>2.3478567025189947E-6</v>
      </c>
      <c r="JQ115">
        <f t="shared" si="546"/>
        <v>2.8082666386194114E-2</v>
      </c>
      <c r="JR115">
        <f t="shared" si="504"/>
        <v>3001.0922515389202</v>
      </c>
      <c r="JS115">
        <f t="shared" si="547"/>
        <v>2.1548186898747102E-6</v>
      </c>
      <c r="JT115">
        <f t="shared" si="505"/>
        <v>2.1795032743590997E-4</v>
      </c>
      <c r="JU115">
        <f t="shared" si="506"/>
        <v>0.19514637020617973</v>
      </c>
    </row>
    <row r="116" spans="2:281">
      <c r="B116">
        <v>0.82</v>
      </c>
      <c r="C116">
        <f t="shared" si="353"/>
        <v>1.5561088641210719</v>
      </c>
      <c r="D116">
        <f t="shared" si="354"/>
        <v>0.65600000000000003</v>
      </c>
      <c r="E116">
        <f t="shared" si="313"/>
        <v>106681.929</v>
      </c>
      <c r="F116">
        <f t="shared" si="314"/>
        <v>5.2259043046712552E-3</v>
      </c>
      <c r="G116">
        <f t="shared" si="355"/>
        <v>4.1389041337252155E-3</v>
      </c>
      <c r="H116">
        <f t="shared" si="356"/>
        <v>1.2835748195422443E-2</v>
      </c>
      <c r="I116">
        <f t="shared" si="357"/>
        <v>14.737064569608377</v>
      </c>
      <c r="J116">
        <f t="shared" si="548"/>
        <v>4.0775739424399856E-6</v>
      </c>
      <c r="K116">
        <f t="shared" si="507"/>
        <v>7.0036045474728859E-2</v>
      </c>
      <c r="L116">
        <f t="shared" si="358"/>
        <v>7471.5804307757953</v>
      </c>
      <c r="M116">
        <f t="shared" si="508"/>
        <v>3.3999873323549727E-6</v>
      </c>
      <c r="N116">
        <f t="shared" si="509"/>
        <v>7.6569282183431338E-4</v>
      </c>
      <c r="O116">
        <f t="shared" si="359"/>
        <v>0.33891495731436261</v>
      </c>
      <c r="Q116">
        <f t="shared" si="360"/>
        <v>3.4538026008540861</v>
      </c>
      <c r="R116">
        <f t="shared" si="361"/>
        <v>0.65600000000000003</v>
      </c>
      <c r="S116">
        <f t="shared" si="315"/>
        <v>106681.929</v>
      </c>
      <c r="T116">
        <f t="shared" si="316"/>
        <v>5.2259043046712552E-3</v>
      </c>
      <c r="U116">
        <f t="shared" si="362"/>
        <v>4.1389041337252155E-3</v>
      </c>
      <c r="V116">
        <f t="shared" si="363"/>
        <v>1.2835748195422443E-2</v>
      </c>
      <c r="W116">
        <f t="shared" si="364"/>
        <v>14.737064569608377</v>
      </c>
      <c r="X116">
        <f t="shared" si="549"/>
        <v>3.9383245054313002E-6</v>
      </c>
      <c r="Y116">
        <f t="shared" si="510"/>
        <v>6.6315479517602249E-2</v>
      </c>
      <c r="Z116">
        <f t="shared" si="365"/>
        <v>7074.6632774977979</v>
      </c>
      <c r="AA116">
        <f t="shared" si="511"/>
        <v>3.3084452194566242E-6</v>
      </c>
      <c r="AB116">
        <f t="shared" si="366"/>
        <v>7.1178214078407103E-4</v>
      </c>
      <c r="AC116">
        <f t="shared" si="367"/>
        <v>0.32734098767799413</v>
      </c>
      <c r="AE116">
        <f t="shared" si="368"/>
        <v>5.3514963375871005</v>
      </c>
      <c r="AF116">
        <f t="shared" si="369"/>
        <v>0.65600000000000003</v>
      </c>
      <c r="AG116">
        <f t="shared" si="317"/>
        <v>106681.929</v>
      </c>
      <c r="AH116">
        <f t="shared" si="318"/>
        <v>5.2259043046712552E-3</v>
      </c>
      <c r="AI116">
        <f t="shared" si="370"/>
        <v>4.1389041337252155E-3</v>
      </c>
      <c r="AJ116">
        <f t="shared" si="371"/>
        <v>1.2835748195422443E-2</v>
      </c>
      <c r="AK116">
        <f t="shared" si="372"/>
        <v>14.737064569608377</v>
      </c>
      <c r="AL116">
        <f t="shared" si="550"/>
        <v>3.8066173032669792E-6</v>
      </c>
      <c r="AM116">
        <f t="shared" si="512"/>
        <v>6.2843816662678478E-2</v>
      </c>
      <c r="AN116">
        <f t="shared" si="373"/>
        <v>6704.2995872968822</v>
      </c>
      <c r="AO116">
        <f t="shared" si="513"/>
        <v>3.2206814167391399E-6</v>
      </c>
      <c r="AP116">
        <f t="shared" si="374"/>
        <v>6.6212480543734794E-4</v>
      </c>
      <c r="AQ116">
        <f t="shared" si="375"/>
        <v>0.31639390457671157</v>
      </c>
      <c r="AS116">
        <f t="shared" si="376"/>
        <v>7.249190074320115</v>
      </c>
      <c r="AT116">
        <f t="shared" si="377"/>
        <v>0.65600000000000003</v>
      </c>
      <c r="AU116">
        <f t="shared" si="319"/>
        <v>106681.929</v>
      </c>
      <c r="AV116">
        <f t="shared" si="320"/>
        <v>5.2259043046712552E-3</v>
      </c>
      <c r="AW116">
        <f t="shared" si="378"/>
        <v>4.1389041337252155E-3</v>
      </c>
      <c r="AX116">
        <f t="shared" si="379"/>
        <v>1.2835748195422443E-2</v>
      </c>
      <c r="AY116">
        <f t="shared" si="380"/>
        <v>14.737064569608377</v>
      </c>
      <c r="AZ116">
        <f t="shared" si="551"/>
        <v>3.6819400800437818E-6</v>
      </c>
      <c r="BA116">
        <f t="shared" si="514"/>
        <v>5.9601778522440439E-2</v>
      </c>
      <c r="BB116">
        <f t="shared" si="381"/>
        <v>6358.4327046047165</v>
      </c>
      <c r="BC116">
        <f t="shared" si="515"/>
        <v>3.1365058406433516E-6</v>
      </c>
      <c r="BD116">
        <f t="shared" si="382"/>
        <v>6.1635675155854931E-4</v>
      </c>
      <c r="BE116">
        <f t="shared" si="383"/>
        <v>0.30603113093158713</v>
      </c>
      <c r="BG116">
        <f t="shared" si="384"/>
        <v>9.1468838110531294</v>
      </c>
      <c r="BH116">
        <f t="shared" si="385"/>
        <v>0.65600000000000003</v>
      </c>
      <c r="BI116">
        <f t="shared" si="321"/>
        <v>106681.929</v>
      </c>
      <c r="BJ116">
        <f t="shared" si="322"/>
        <v>5.2259043046712552E-3</v>
      </c>
      <c r="BK116">
        <f t="shared" si="386"/>
        <v>4.1389041337252155E-3</v>
      </c>
      <c r="BL116">
        <f t="shared" si="387"/>
        <v>1.2835748195422443E-2</v>
      </c>
      <c r="BM116">
        <f t="shared" si="388"/>
        <v>14.737064569608377</v>
      </c>
      <c r="BN116">
        <f t="shared" si="552"/>
        <v>3.5638206612144136E-6</v>
      </c>
      <c r="BO116">
        <f t="shared" si="516"/>
        <v>5.6571741009324404E-2</v>
      </c>
      <c r="BP116">
        <f t="shared" si="389"/>
        <v>6035.1824577631351</v>
      </c>
      <c r="BQ116">
        <f t="shared" si="517"/>
        <v>3.0557390429115694E-6</v>
      </c>
      <c r="BR116">
        <f t="shared" si="390"/>
        <v>5.7414718982070712E-4</v>
      </c>
      <c r="BS116">
        <f t="shared" si="391"/>
        <v>0.29621342109832349</v>
      </c>
      <c r="BU116">
        <f t="shared" si="392"/>
        <v>11.044577547786144</v>
      </c>
      <c r="BV116">
        <f t="shared" si="393"/>
        <v>0.65600000000000003</v>
      </c>
      <c r="BW116">
        <f t="shared" si="323"/>
        <v>106681.929</v>
      </c>
      <c r="BX116">
        <f t="shared" si="324"/>
        <v>5.2259043046712552E-3</v>
      </c>
      <c r="BY116">
        <f t="shared" si="394"/>
        <v>4.1389041337252155E-3</v>
      </c>
      <c r="BZ116">
        <f t="shared" si="395"/>
        <v>1.2835748195422443E-2</v>
      </c>
      <c r="CA116">
        <f t="shared" si="396"/>
        <v>14.737064569608377</v>
      </c>
      <c r="CB116">
        <f t="shared" si="553"/>
        <v>3.4518234922604324E-6</v>
      </c>
      <c r="CC116">
        <f t="shared" si="518"/>
        <v>5.3737581386864075E-2</v>
      </c>
      <c r="CD116">
        <f t="shared" si="397"/>
        <v>5732.8288421451552</v>
      </c>
      <c r="CE116">
        <f t="shared" si="519"/>
        <v>2.9782115864196879E-6</v>
      </c>
      <c r="CF116">
        <f t="shared" si="398"/>
        <v>5.3519539973204057E-4</v>
      </c>
      <c r="CG116">
        <f t="shared" si="399"/>
        <v>0.28690457317277129</v>
      </c>
      <c r="CI116">
        <f t="shared" si="400"/>
        <v>12.942271284519158</v>
      </c>
      <c r="CJ116">
        <f t="shared" si="401"/>
        <v>0.65600000000000003</v>
      </c>
      <c r="CK116">
        <f t="shared" si="325"/>
        <v>106681.929</v>
      </c>
      <c r="CL116">
        <f t="shared" si="326"/>
        <v>5.2259043046712552E-3</v>
      </c>
      <c r="CM116">
        <f t="shared" si="402"/>
        <v>4.1389041337252155E-3</v>
      </c>
      <c r="CN116">
        <f t="shared" si="403"/>
        <v>1.2835748195422443E-2</v>
      </c>
      <c r="CO116">
        <f t="shared" si="404"/>
        <v>14.737064569608377</v>
      </c>
      <c r="CP116">
        <f t="shared" si="554"/>
        <v>3.3455464986106259E-6</v>
      </c>
      <c r="CQ116">
        <f t="shared" si="520"/>
        <v>5.1084540256300777E-2</v>
      </c>
      <c r="CR116">
        <f t="shared" si="405"/>
        <v>5449.7972966203215</v>
      </c>
      <c r="CS116">
        <f t="shared" si="521"/>
        <v>2.9037634574902224E-6</v>
      </c>
      <c r="CT116">
        <f t="shared" si="406"/>
        <v>4.9922784535483299E-4</v>
      </c>
      <c r="CU116">
        <f t="shared" si="407"/>
        <v>0.27807116799734743</v>
      </c>
      <c r="CW116">
        <f t="shared" si="408"/>
        <v>14.839965021252173</v>
      </c>
      <c r="CX116">
        <f t="shared" si="409"/>
        <v>0.65600000000000003</v>
      </c>
      <c r="CY116">
        <f t="shared" si="327"/>
        <v>106681.929</v>
      </c>
      <c r="CZ116">
        <f t="shared" si="328"/>
        <v>5.2259043046712552E-3</v>
      </c>
      <c r="DA116">
        <f t="shared" si="410"/>
        <v>4.1389041337252155E-3</v>
      </c>
      <c r="DB116">
        <f t="shared" si="411"/>
        <v>1.2835748195422443E-2</v>
      </c>
      <c r="DC116">
        <f t="shared" si="412"/>
        <v>14.737064569608377</v>
      </c>
      <c r="DD116">
        <f t="shared" si="555"/>
        <v>3.2446182353632907E-6</v>
      </c>
      <c r="DE116">
        <f t="shared" si="522"/>
        <v>4.8599096961890784E-2</v>
      </c>
      <c r="DF116">
        <f t="shared" si="413"/>
        <v>5184.6454115525485</v>
      </c>
      <c r="DG116">
        <f t="shared" si="523"/>
        <v>2.8322435126897779E-6</v>
      </c>
      <c r="DH116">
        <f t="shared" si="414"/>
        <v>4.6599557954282597E-4</v>
      </c>
      <c r="DI116">
        <f t="shared" si="415"/>
        <v>0.26968233225502986</v>
      </c>
      <c r="DK116">
        <f t="shared" si="416"/>
        <v>16.737658757985187</v>
      </c>
      <c r="DL116">
        <f t="shared" si="417"/>
        <v>0.65600000000000003</v>
      </c>
      <c r="DM116">
        <f t="shared" si="329"/>
        <v>106681.929</v>
      </c>
      <c r="DN116">
        <f t="shared" si="330"/>
        <v>5.2259043046712552E-3</v>
      </c>
      <c r="DO116">
        <f t="shared" si="418"/>
        <v>4.1389041337252155E-3</v>
      </c>
      <c r="DP116">
        <f t="shared" si="419"/>
        <v>1.2835748195422443E-2</v>
      </c>
      <c r="DQ116">
        <f t="shared" si="420"/>
        <v>14.737064569608377</v>
      </c>
      <c r="DR116">
        <f t="shared" si="556"/>
        <v>3.1486952985683635E-6</v>
      </c>
      <c r="DS116">
        <f t="shared" si="524"/>
        <v>4.626885705630155E-2</v>
      </c>
      <c r="DT116">
        <f t="shared" si="421"/>
        <v>4936.0509233915109</v>
      </c>
      <c r="DU116">
        <f t="shared" si="525"/>
        <v>2.7635089582073337E-6</v>
      </c>
      <c r="DV116">
        <f t="shared" si="422"/>
        <v>4.3527190693166945E-4</v>
      </c>
      <c r="DW116">
        <f t="shared" si="423"/>
        <v>0.26170952330337477</v>
      </c>
      <c r="DY116">
        <f t="shared" si="424"/>
        <v>18.635352494718202</v>
      </c>
      <c r="DZ116">
        <f t="shared" si="425"/>
        <v>0.65600000000000003</v>
      </c>
      <c r="EA116">
        <f t="shared" si="331"/>
        <v>106681.929</v>
      </c>
      <c r="EB116">
        <f t="shared" si="332"/>
        <v>5.2259043046712552E-3</v>
      </c>
      <c r="EC116">
        <f t="shared" si="426"/>
        <v>4.1389041337252155E-3</v>
      </c>
      <c r="ED116">
        <f t="shared" si="427"/>
        <v>1.2835748195422443E-2</v>
      </c>
      <c r="EE116">
        <f t="shared" si="428"/>
        <v>14.737064569608377</v>
      </c>
      <c r="EF116">
        <f t="shared" si="557"/>
        <v>3.0574599726891676E-6</v>
      </c>
      <c r="EG116">
        <f t="shared" si="526"/>
        <v>4.4082450608900481E-2</v>
      </c>
      <c r="EH116">
        <f t="shared" si="429"/>
        <v>4702.8008660047281</v>
      </c>
      <c r="EI116">
        <f t="shared" si="527"/>
        <v>2.697424859999547E-6</v>
      </c>
      <c r="EJ116">
        <f t="shared" si="430"/>
        <v>4.0685027905165228E-4</v>
      </c>
      <c r="EK116">
        <f t="shared" si="431"/>
        <v>0.2541263336390307</v>
      </c>
      <c r="EM116">
        <f t="shared" si="432"/>
        <v>20.533046231451216</v>
      </c>
      <c r="EN116">
        <f t="shared" si="433"/>
        <v>0.65600000000000003</v>
      </c>
      <c r="EO116">
        <f t="shared" si="333"/>
        <v>106681.929</v>
      </c>
      <c r="EP116">
        <f t="shared" si="334"/>
        <v>5.2259043046712552E-3</v>
      </c>
      <c r="EQ116">
        <f t="shared" si="434"/>
        <v>4.1389041337252155E-3</v>
      </c>
      <c r="ER116">
        <f t="shared" si="435"/>
        <v>1.2835748195422443E-2</v>
      </c>
      <c r="ES116">
        <f t="shared" si="436"/>
        <v>14.737064569608377</v>
      </c>
      <c r="ET116">
        <f t="shared" si="558"/>
        <v>2.9706180914289625E-6</v>
      </c>
      <c r="EU116">
        <f t="shared" si="528"/>
        <v>4.2029440266188246E-2</v>
      </c>
      <c r="EV116">
        <f t="shared" si="437"/>
        <v>4483.7817623872361</v>
      </c>
      <c r="EW116">
        <f t="shared" si="529"/>
        <v>2.6338636829761446E-6</v>
      </c>
      <c r="EX116">
        <f t="shared" si="438"/>
        <v>3.8054239773278897E-4</v>
      </c>
      <c r="EY116">
        <f t="shared" si="439"/>
        <v>0.24690831309645545</v>
      </c>
      <c r="FA116">
        <f t="shared" si="440"/>
        <v>22.430739968184231</v>
      </c>
      <c r="FB116">
        <f t="shared" si="441"/>
        <v>0.65600000000000003</v>
      </c>
      <c r="FC116">
        <f t="shared" si="335"/>
        <v>106681.929</v>
      </c>
      <c r="FD116">
        <f t="shared" si="336"/>
        <v>5.2259043046712552E-3</v>
      </c>
      <c r="FE116">
        <f t="shared" si="442"/>
        <v>4.1389041337252155E-3</v>
      </c>
      <c r="FF116">
        <f t="shared" si="443"/>
        <v>1.2835748195422443E-2</v>
      </c>
      <c r="FG116">
        <f t="shared" si="444"/>
        <v>14.737064569608377</v>
      </c>
      <c r="FH116">
        <f t="shared" si="559"/>
        <v>2.8878970914061117E-6</v>
      </c>
      <c r="FI116">
        <f t="shared" si="530"/>
        <v>4.0100238086704612E-2</v>
      </c>
      <c r="FJ116">
        <f t="shared" si="445"/>
        <v>4277.9707524489177</v>
      </c>
      <c r="FK116">
        <f t="shared" si="531"/>
        <v>2.5727048575823577E-6</v>
      </c>
      <c r="FL116">
        <f t="shared" si="446"/>
        <v>3.561765054750585E-4</v>
      </c>
      <c r="FM116">
        <f t="shared" si="447"/>
        <v>0.24003280707559596</v>
      </c>
      <c r="FO116">
        <f t="shared" si="448"/>
        <v>24.328433704917245</v>
      </c>
      <c r="FP116">
        <f t="shared" si="449"/>
        <v>0.65600000000000003</v>
      </c>
      <c r="FQ116">
        <f t="shared" si="337"/>
        <v>106681.929</v>
      </c>
      <c r="FR116">
        <f t="shared" si="338"/>
        <v>5.2259043046712552E-3</v>
      </c>
      <c r="FS116">
        <f t="shared" si="450"/>
        <v>4.1389041337252155E-3</v>
      </c>
      <c r="FT116">
        <f t="shared" si="451"/>
        <v>1.2835748195422443E-2</v>
      </c>
      <c r="FU116">
        <f t="shared" si="452"/>
        <v>14.737064569608377</v>
      </c>
      <c r="FV116">
        <f t="shared" si="560"/>
        <v>2.8090442402218465E-6</v>
      </c>
      <c r="FW116">
        <f t="shared" si="532"/>
        <v>3.8286030273870703E-2</v>
      </c>
      <c r="FX116">
        <f t="shared" si="453"/>
        <v>4084.4275633689249</v>
      </c>
      <c r="FY116">
        <f t="shared" si="533"/>
        <v>2.5138343722165208E-6</v>
      </c>
      <c r="FZ116">
        <f t="shared" si="454"/>
        <v>3.3359584369291632E-4</v>
      </c>
      <c r="GA116">
        <f t="shared" si="455"/>
        <v>0.23347880926452513</v>
      </c>
      <c r="GC116">
        <f t="shared" si="456"/>
        <v>26.226127441650259</v>
      </c>
      <c r="GD116">
        <f t="shared" si="457"/>
        <v>0.65600000000000003</v>
      </c>
      <c r="GE116">
        <f t="shared" si="339"/>
        <v>106681.929</v>
      </c>
      <c r="GF116">
        <f t="shared" si="340"/>
        <v>5.2259043046712552E-3</v>
      </c>
      <c r="GG116">
        <f t="shared" si="458"/>
        <v>4.1389041337252155E-3</v>
      </c>
      <c r="GH116">
        <f t="shared" si="459"/>
        <v>1.2835748195422443E-2</v>
      </c>
      <c r="GI116">
        <f t="shared" si="460"/>
        <v>14.737064569608377</v>
      </c>
      <c r="GJ116">
        <f t="shared" si="561"/>
        <v>2.7338250223113663E-6</v>
      </c>
      <c r="GK116">
        <f t="shared" si="534"/>
        <v>3.6578709020688591E-2</v>
      </c>
      <c r="GL116">
        <f t="shared" si="461"/>
        <v>3902.2872386567601</v>
      </c>
      <c r="GM116">
        <f t="shared" si="535"/>
        <v>2.4571443899990988E-6</v>
      </c>
      <c r="GN116">
        <f t="shared" si="462"/>
        <v>3.1265726174179017E-4</v>
      </c>
      <c r="GO116">
        <f t="shared" si="463"/>
        <v>0.22722682747652712</v>
      </c>
      <c r="GQ116">
        <f t="shared" si="464"/>
        <v>28.123821178383274</v>
      </c>
      <c r="GR116">
        <f t="shared" si="465"/>
        <v>0.65600000000000003</v>
      </c>
      <c r="GS116">
        <f t="shared" si="341"/>
        <v>106681.929</v>
      </c>
      <c r="GT116">
        <f t="shared" si="342"/>
        <v>5.2259043046712552E-3</v>
      </c>
      <c r="GU116">
        <f t="shared" si="466"/>
        <v>4.1389041337252155E-3</v>
      </c>
      <c r="GV116">
        <f t="shared" si="467"/>
        <v>1.2835748195422443E-2</v>
      </c>
      <c r="GW116">
        <f t="shared" si="468"/>
        <v>14.737064569608377</v>
      </c>
      <c r="GX116">
        <f t="shared" si="562"/>
        <v>2.6620216676250574E-6</v>
      </c>
      <c r="GY116">
        <f t="shared" si="536"/>
        <v>3.4970810761147331E-2</v>
      </c>
      <c r="GZ116">
        <f t="shared" si="469"/>
        <v>3730.7535506931558</v>
      </c>
      <c r="HA116">
        <f t="shared" si="537"/>
        <v>2.4025328884849375E-6</v>
      </c>
      <c r="HB116">
        <f t="shared" si="470"/>
        <v>2.9322996142029867E-4</v>
      </c>
      <c r="HC116">
        <f t="shared" si="471"/>
        <v>0.22125876135876679</v>
      </c>
      <c r="HE116">
        <f t="shared" si="472"/>
        <v>30.021514915116288</v>
      </c>
      <c r="HF116">
        <f t="shared" si="473"/>
        <v>0.65600000000000003</v>
      </c>
      <c r="HG116">
        <f t="shared" si="343"/>
        <v>106681.929</v>
      </c>
      <c r="HH116">
        <f t="shared" si="344"/>
        <v>5.2259043046712552E-3</v>
      </c>
      <c r="HI116">
        <f t="shared" si="568"/>
        <v>4.1389041337252155E-3</v>
      </c>
      <c r="HJ116">
        <f t="shared" si="474"/>
        <v>1.2835748195422443E-2</v>
      </c>
      <c r="HK116">
        <f t="shared" si="475"/>
        <v>14.737064569608377</v>
      </c>
      <c r="HL116">
        <f t="shared" si="563"/>
        <v>2.593431809671859E-6</v>
      </c>
      <c r="HM116">
        <f t="shared" si="538"/>
        <v>3.3455460195588087E-2</v>
      </c>
      <c r="HN116">
        <f t="shared" si="476"/>
        <v>3569.0930292480543</v>
      </c>
      <c r="HO116">
        <f t="shared" si="539"/>
        <v>2.3499033209830863E-6</v>
      </c>
      <c r="HP116">
        <f t="shared" si="477"/>
        <v>2.7519436323831284E-4</v>
      </c>
      <c r="HQ116">
        <f t="shared" si="478"/>
        <v>0.21555779085312929</v>
      </c>
      <c r="HS116">
        <f t="shared" si="479"/>
        <v>31.919208651849303</v>
      </c>
      <c r="HT116">
        <f t="shared" si="480"/>
        <v>0.65600000000000003</v>
      </c>
      <c r="HU116">
        <f t="shared" si="345"/>
        <v>106681.929</v>
      </c>
      <c r="HV116">
        <f t="shared" si="346"/>
        <v>5.2259043046712552E-3</v>
      </c>
      <c r="HW116">
        <f t="shared" si="569"/>
        <v>4.1389041337252155E-3</v>
      </c>
      <c r="HX116">
        <f t="shared" si="481"/>
        <v>1.2835748195422443E-2</v>
      </c>
      <c r="HY116">
        <f t="shared" si="482"/>
        <v>14.737064569608377</v>
      </c>
      <c r="HZ116">
        <f t="shared" si="564"/>
        <v>2.5278672607895565E-6</v>
      </c>
      <c r="IA116">
        <f t="shared" si="540"/>
        <v>3.202631952207774E-2</v>
      </c>
      <c r="IB116">
        <f t="shared" si="483"/>
        <v>3416.6295453856114</v>
      </c>
      <c r="IC116">
        <f t="shared" si="541"/>
        <v>2.2991642982184924E-6</v>
      </c>
      <c r="ID116">
        <f t="shared" si="484"/>
        <v>2.5844108216798231E-4</v>
      </c>
      <c r="IE116">
        <f t="shared" si="485"/>
        <v>0.21010827440058782</v>
      </c>
      <c r="IG116">
        <f t="shared" si="486"/>
        <v>33.816902388582321</v>
      </c>
      <c r="IH116">
        <f t="shared" si="487"/>
        <v>0.65600000000000003</v>
      </c>
      <c r="II116">
        <f t="shared" si="347"/>
        <v>106681.929</v>
      </c>
      <c r="IJ116">
        <f t="shared" si="348"/>
        <v>5.2259043046712552E-3</v>
      </c>
      <c r="IK116">
        <f t="shared" si="570"/>
        <v>4.1389041337252155E-3</v>
      </c>
      <c r="IL116">
        <f t="shared" si="488"/>
        <v>1.2835748195422443E-2</v>
      </c>
      <c r="IM116">
        <f t="shared" si="489"/>
        <v>14.737064569608377</v>
      </c>
      <c r="IN116">
        <f t="shared" si="565"/>
        <v>2.4651528937026941E-6</v>
      </c>
      <c r="IO116">
        <f t="shared" si="542"/>
        <v>3.0677542363832369E-2</v>
      </c>
      <c r="IP116">
        <f t="shared" si="490"/>
        <v>3272.7393963528571</v>
      </c>
      <c r="IQ116">
        <f t="shared" si="543"/>
        <v>2.2502292891369304E-6</v>
      </c>
      <c r="IR116">
        <f t="shared" si="491"/>
        <v>2.4287000187048362E-4</v>
      </c>
      <c r="IS116">
        <f t="shared" si="492"/>
        <v>0.20489565597986031</v>
      </c>
      <c r="IU116">
        <f t="shared" si="493"/>
        <v>35.714596125315332</v>
      </c>
      <c r="IV116">
        <f t="shared" si="494"/>
        <v>0.65600000000000003</v>
      </c>
      <c r="IW116">
        <f t="shared" si="349"/>
        <v>106681.929</v>
      </c>
      <c r="IX116">
        <f t="shared" si="350"/>
        <v>5.2259043046712552E-3</v>
      </c>
      <c r="IY116">
        <f t="shared" si="571"/>
        <v>4.1389041337252155E-3</v>
      </c>
      <c r="IZ116">
        <f t="shared" si="495"/>
        <v>1.2835748195422443E-2</v>
      </c>
      <c r="JA116">
        <f t="shared" si="496"/>
        <v>14.737064569608377</v>
      </c>
      <c r="JB116">
        <f t="shared" si="566"/>
        <v>2.4051256195026166E-6</v>
      </c>
      <c r="JC116">
        <f t="shared" si="544"/>
        <v>2.9403731934650266E-2</v>
      </c>
      <c r="JD116">
        <f t="shared" si="497"/>
        <v>3136.8468425873925</v>
      </c>
      <c r="JE116">
        <f t="shared" si="545"/>
        <v>2.2030163397190069E-6</v>
      </c>
      <c r="JF116">
        <f t="shared" si="498"/>
        <v>2.283894375318261E-4</v>
      </c>
      <c r="JG116">
        <f t="shared" si="499"/>
        <v>0.19990638016036577</v>
      </c>
      <c r="JI116">
        <f t="shared" si="500"/>
        <v>37.61228986204835</v>
      </c>
      <c r="JJ116">
        <f t="shared" si="501"/>
        <v>0.65600000000000003</v>
      </c>
      <c r="JK116">
        <f t="shared" si="351"/>
        <v>106681.929</v>
      </c>
      <c r="JL116">
        <f t="shared" si="352"/>
        <v>5.2259043046712552E-3</v>
      </c>
      <c r="JM116">
        <f t="shared" si="572"/>
        <v>4.1389041337252155E-3</v>
      </c>
      <c r="JN116">
        <f t="shared" si="502"/>
        <v>1.2835748195422443E-2</v>
      </c>
      <c r="JO116">
        <f t="shared" si="503"/>
        <v>14.737064569608377</v>
      </c>
      <c r="JP116">
        <f t="shared" si="567"/>
        <v>2.3476334531483797E-6</v>
      </c>
      <c r="JQ116">
        <f t="shared" si="546"/>
        <v>2.8199903030799164E-2</v>
      </c>
      <c r="JR116">
        <f t="shared" si="504"/>
        <v>3008.4200529386012</v>
      </c>
      <c r="JS116">
        <f t="shared" si="547"/>
        <v>2.1574478087307189E-6</v>
      </c>
      <c r="JT116">
        <f t="shared" si="505"/>
        <v>2.1491537846101398E-4</v>
      </c>
      <c r="JU116">
        <f t="shared" si="506"/>
        <v>0.19512781442963698</v>
      </c>
    </row>
    <row r="117" spans="2:281">
      <c r="B117">
        <v>0.83</v>
      </c>
      <c r="C117">
        <f t="shared" si="353"/>
        <v>1.5750858014884019</v>
      </c>
      <c r="D117">
        <f t="shared" si="354"/>
        <v>0.66400000000000003</v>
      </c>
      <c r="E117">
        <f t="shared" si="313"/>
        <v>106497.501</v>
      </c>
      <c r="F117">
        <f t="shared" si="314"/>
        <v>5.2289192338057545E-3</v>
      </c>
      <c r="G117">
        <f t="shared" si="355"/>
        <v>4.1377107416153604E-3</v>
      </c>
      <c r="H117">
        <f t="shared" si="356"/>
        <v>1.2857976617178418E-2</v>
      </c>
      <c r="I117">
        <f t="shared" si="357"/>
        <v>14.754073691614495</v>
      </c>
      <c r="J117">
        <f t="shared" si="548"/>
        <v>4.0767896332693129E-6</v>
      </c>
      <c r="K117">
        <f t="shared" si="507"/>
        <v>7.0447915731066985E-2</v>
      </c>
      <c r="L117">
        <f t="shared" si="358"/>
        <v>7502.5269760172223</v>
      </c>
      <c r="M117">
        <f t="shared" si="508"/>
        <v>3.4070212616110399E-6</v>
      </c>
      <c r="N117">
        <f t="shared" si="509"/>
        <v>7.5751304650344532E-4</v>
      </c>
      <c r="O117">
        <f t="shared" si="359"/>
        <v>0.33884976803444955</v>
      </c>
      <c r="Q117">
        <f t="shared" si="360"/>
        <v>3.4727795382214164</v>
      </c>
      <c r="R117">
        <f t="shared" si="361"/>
        <v>0.66400000000000003</v>
      </c>
      <c r="S117">
        <f t="shared" si="315"/>
        <v>106497.501</v>
      </c>
      <c r="T117">
        <f t="shared" si="316"/>
        <v>5.2289192338057545E-3</v>
      </c>
      <c r="U117">
        <f t="shared" si="362"/>
        <v>4.1377107416153604E-3</v>
      </c>
      <c r="V117">
        <f t="shared" si="363"/>
        <v>1.2857976617178418E-2</v>
      </c>
      <c r="W117">
        <f t="shared" si="364"/>
        <v>14.754073691614495</v>
      </c>
      <c r="X117">
        <f t="shared" si="549"/>
        <v>3.9375954176762389E-6</v>
      </c>
      <c r="Y117">
        <f t="shared" si="510"/>
        <v>6.6698350930813791E-2</v>
      </c>
      <c r="Z117">
        <f t="shared" si="365"/>
        <v>7103.2076949526927</v>
      </c>
      <c r="AA117">
        <f t="shared" si="511"/>
        <v>3.3151128566046001E-6</v>
      </c>
      <c r="AB117">
        <f t="shared" si="366"/>
        <v>7.0403244044678619E-4</v>
      </c>
      <c r="AC117">
        <f t="shared" si="367"/>
        <v>0.32728038822624339</v>
      </c>
      <c r="AE117">
        <f t="shared" si="368"/>
        <v>5.3704732749544313</v>
      </c>
      <c r="AF117">
        <f t="shared" si="369"/>
        <v>0.66400000000000003</v>
      </c>
      <c r="AG117">
        <f t="shared" si="317"/>
        <v>106497.501</v>
      </c>
      <c r="AH117">
        <f t="shared" si="318"/>
        <v>5.2289192338057545E-3</v>
      </c>
      <c r="AI117">
        <f t="shared" si="370"/>
        <v>4.1377107416153604E-3</v>
      </c>
      <c r="AJ117">
        <f t="shared" si="371"/>
        <v>1.2857976617178418E-2</v>
      </c>
      <c r="AK117">
        <f t="shared" si="372"/>
        <v>14.754073691614495</v>
      </c>
      <c r="AL117">
        <f t="shared" si="550"/>
        <v>3.8059390801699018E-6</v>
      </c>
      <c r="AM117">
        <f t="shared" si="512"/>
        <v>6.3199977130122861E-2</v>
      </c>
      <c r="AN117">
        <f t="shared" si="373"/>
        <v>6730.6396276152363</v>
      </c>
      <c r="AO117">
        <f t="shared" si="513"/>
        <v>3.2270019664922285E-6</v>
      </c>
      <c r="AP117">
        <f t="shared" si="374"/>
        <v>6.5478221318525105E-4</v>
      </c>
      <c r="AQ117">
        <f t="shared" si="375"/>
        <v>0.31633753283330718</v>
      </c>
      <c r="AS117">
        <f t="shared" si="376"/>
        <v>7.2681670116874457</v>
      </c>
      <c r="AT117">
        <f t="shared" si="377"/>
        <v>0.66400000000000003</v>
      </c>
      <c r="AU117">
        <f t="shared" si="319"/>
        <v>106497.501</v>
      </c>
      <c r="AV117">
        <f t="shared" si="320"/>
        <v>5.2289192338057545E-3</v>
      </c>
      <c r="AW117">
        <f t="shared" si="378"/>
        <v>4.1377107416153604E-3</v>
      </c>
      <c r="AX117">
        <f t="shared" si="379"/>
        <v>1.2857976617178418E-2</v>
      </c>
      <c r="AY117">
        <f t="shared" si="380"/>
        <v>14.754073691614495</v>
      </c>
      <c r="AZ117">
        <f t="shared" si="551"/>
        <v>3.6813087377628197E-6</v>
      </c>
      <c r="BA117">
        <f t="shared" si="514"/>
        <v>5.9933320109381287E-2</v>
      </c>
      <c r="BB117">
        <f t="shared" si="381"/>
        <v>6382.7488182821544</v>
      </c>
      <c r="BC117">
        <f t="shared" si="515"/>
        <v>3.1424974787519013E-6</v>
      </c>
      <c r="BD117">
        <f t="shared" si="382"/>
        <v>6.0939957091907292E-4</v>
      </c>
      <c r="BE117">
        <f t="shared" si="383"/>
        <v>0.30597865577228323</v>
      </c>
      <c r="BG117">
        <f t="shared" si="384"/>
        <v>9.1658607484204602</v>
      </c>
      <c r="BH117">
        <f t="shared" si="385"/>
        <v>0.66400000000000003</v>
      </c>
      <c r="BI117">
        <f t="shared" si="321"/>
        <v>106497.501</v>
      </c>
      <c r="BJ117">
        <f t="shared" si="322"/>
        <v>5.2289192338057545E-3</v>
      </c>
      <c r="BK117">
        <f t="shared" si="386"/>
        <v>4.1377107416153604E-3</v>
      </c>
      <c r="BL117">
        <f t="shared" si="387"/>
        <v>1.2857976617178418E-2</v>
      </c>
      <c r="BM117">
        <f t="shared" si="388"/>
        <v>14.754073691614495</v>
      </c>
      <c r="BN117">
        <f t="shared" si="552"/>
        <v>3.5632325547395307E-6</v>
      </c>
      <c r="BO117">
        <f t="shared" si="516"/>
        <v>5.6880577847680511E-2</v>
      </c>
      <c r="BP117">
        <f t="shared" si="389"/>
        <v>6057.6393962139337</v>
      </c>
      <c r="BQ117">
        <f t="shared" si="517"/>
        <v>3.0614189727553762E-6</v>
      </c>
      <c r="BR117">
        <f t="shared" si="390"/>
        <v>5.675549210012147E-4</v>
      </c>
      <c r="BS117">
        <f t="shared" si="391"/>
        <v>0.29616453956149669</v>
      </c>
      <c r="BU117">
        <f t="shared" si="392"/>
        <v>11.063554485153475</v>
      </c>
      <c r="BV117">
        <f t="shared" si="393"/>
        <v>0.66400000000000003</v>
      </c>
      <c r="BW117">
        <f t="shared" si="323"/>
        <v>106497.501</v>
      </c>
      <c r="BX117">
        <f t="shared" si="324"/>
        <v>5.2289192338057545E-3</v>
      </c>
      <c r="BY117">
        <f t="shared" si="394"/>
        <v>4.1377107416153604E-3</v>
      </c>
      <c r="BZ117">
        <f t="shared" si="395"/>
        <v>1.2857976617178418E-2</v>
      </c>
      <c r="CA117">
        <f t="shared" si="396"/>
        <v>14.754073691614495</v>
      </c>
      <c r="CB117">
        <f t="shared" si="553"/>
        <v>3.451275284613525E-6</v>
      </c>
      <c r="CC117">
        <f t="shared" si="518"/>
        <v>5.4025465849396395E-2</v>
      </c>
      <c r="CD117">
        <f t="shared" si="397"/>
        <v>5753.5771033215588</v>
      </c>
      <c r="CE117">
        <f t="shared" si="519"/>
        <v>2.9835960924302075E-6</v>
      </c>
      <c r="CF117">
        <f t="shared" si="398"/>
        <v>5.2894867038871048E-4</v>
      </c>
      <c r="CG117">
        <f t="shared" si="399"/>
        <v>0.28685900789943142</v>
      </c>
      <c r="CI117">
        <f t="shared" si="400"/>
        <v>12.961248221886489</v>
      </c>
      <c r="CJ117">
        <f t="shared" si="401"/>
        <v>0.66400000000000003</v>
      </c>
      <c r="CK117">
        <f t="shared" si="325"/>
        <v>106497.501</v>
      </c>
      <c r="CL117">
        <f t="shared" si="326"/>
        <v>5.2289192338057545E-3</v>
      </c>
      <c r="CM117">
        <f t="shared" si="402"/>
        <v>4.1377107416153604E-3</v>
      </c>
      <c r="CN117">
        <f t="shared" si="403"/>
        <v>1.2857976617178418E-2</v>
      </c>
      <c r="CO117">
        <f t="shared" si="404"/>
        <v>14.754073691614495</v>
      </c>
      <c r="CP117">
        <f t="shared" si="554"/>
        <v>3.3450351330000292E-6</v>
      </c>
      <c r="CQ117">
        <f t="shared" si="520"/>
        <v>5.1353077579329158E-2</v>
      </c>
      <c r="CR117">
        <f t="shared" si="405"/>
        <v>5468.9744308576846</v>
      </c>
      <c r="CS117">
        <f t="shared" si="521"/>
        <v>2.9088679555797057E-6</v>
      </c>
      <c r="CT117">
        <f t="shared" si="406"/>
        <v>4.933083455918322E-4</v>
      </c>
      <c r="CU117">
        <f t="shared" si="407"/>
        <v>0.27802866491670836</v>
      </c>
      <c r="CW117">
        <f t="shared" si="408"/>
        <v>14.858941958619504</v>
      </c>
      <c r="CX117">
        <f t="shared" si="409"/>
        <v>0.66400000000000003</v>
      </c>
      <c r="CY117">
        <f t="shared" si="327"/>
        <v>106497.501</v>
      </c>
      <c r="CZ117">
        <f t="shared" si="328"/>
        <v>5.2289192338057545E-3</v>
      </c>
      <c r="DA117">
        <f t="shared" si="410"/>
        <v>4.1377107416153604E-3</v>
      </c>
      <c r="DB117">
        <f t="shared" si="411"/>
        <v>1.2857976617178418E-2</v>
      </c>
      <c r="DC117">
        <f t="shared" si="412"/>
        <v>14.754073691614495</v>
      </c>
      <c r="DD117">
        <f t="shared" si="555"/>
        <v>3.2441409099971569E-6</v>
      </c>
      <c r="DE117">
        <f t="shared" si="522"/>
        <v>4.8849758471736143E-2</v>
      </c>
      <c r="DF117">
        <f t="shared" si="413"/>
        <v>5202.3772016934781</v>
      </c>
      <c r="DG117">
        <f t="shared" si="523"/>
        <v>2.837082597854778E-6</v>
      </c>
      <c r="DH117">
        <f t="shared" si="414"/>
        <v>4.6038600086784954E-4</v>
      </c>
      <c r="DI117">
        <f t="shared" si="415"/>
        <v>0.26964265849107805</v>
      </c>
      <c r="DK117">
        <f t="shared" si="416"/>
        <v>16.756635695352518</v>
      </c>
      <c r="DL117">
        <f t="shared" si="417"/>
        <v>0.66400000000000003</v>
      </c>
      <c r="DM117">
        <f t="shared" si="329"/>
        <v>106497.501</v>
      </c>
      <c r="DN117">
        <f t="shared" si="330"/>
        <v>5.2289192338057545E-3</v>
      </c>
      <c r="DO117">
        <f t="shared" si="418"/>
        <v>4.1377107416153604E-3</v>
      </c>
      <c r="DP117">
        <f t="shared" si="419"/>
        <v>1.2857976617178418E-2</v>
      </c>
      <c r="DQ117">
        <f t="shared" si="420"/>
        <v>14.754073691614495</v>
      </c>
      <c r="DR117">
        <f t="shared" si="556"/>
        <v>3.1482494438618705E-6</v>
      </c>
      <c r="DS117">
        <f t="shared" si="524"/>
        <v>4.650299213863817E-2</v>
      </c>
      <c r="DT117">
        <f t="shared" si="421"/>
        <v>4952.4524517876107</v>
      </c>
      <c r="DU117">
        <f t="shared" si="525"/>
        <v>2.7680964494649867E-6</v>
      </c>
      <c r="DV117">
        <f t="shared" si="422"/>
        <v>4.2995588491287874E-4</v>
      </c>
      <c r="DW117">
        <f t="shared" si="423"/>
        <v>0.26167246528040511</v>
      </c>
      <c r="DY117">
        <f t="shared" si="424"/>
        <v>18.654329432085532</v>
      </c>
      <c r="DZ117">
        <f t="shared" si="425"/>
        <v>0.66400000000000003</v>
      </c>
      <c r="EA117">
        <f t="shared" si="331"/>
        <v>106497.501</v>
      </c>
      <c r="EB117">
        <f t="shared" si="332"/>
        <v>5.2289192338057545E-3</v>
      </c>
      <c r="EC117">
        <f t="shared" si="426"/>
        <v>4.1377107416153604E-3</v>
      </c>
      <c r="ED117">
        <f t="shared" si="427"/>
        <v>1.2857976617178418E-2</v>
      </c>
      <c r="EE117">
        <f t="shared" si="428"/>
        <v>14.754073691614495</v>
      </c>
      <c r="EF117">
        <f t="shared" si="557"/>
        <v>3.0570432306277933E-6</v>
      </c>
      <c r="EG117">
        <f t="shared" si="526"/>
        <v>4.4301297545878179E-2</v>
      </c>
      <c r="EH117">
        <f t="shared" si="429"/>
        <v>4717.9774796934589</v>
      </c>
      <c r="EI117">
        <f t="shared" si="527"/>
        <v>2.7017738428064185E-6</v>
      </c>
      <c r="EJ117">
        <f t="shared" si="430"/>
        <v>4.0181233943858703E-4</v>
      </c>
      <c r="EK117">
        <f t="shared" si="431"/>
        <v>0.25409169536638732</v>
      </c>
      <c r="EM117">
        <f t="shared" si="432"/>
        <v>20.552023168818547</v>
      </c>
      <c r="EN117">
        <f t="shared" si="433"/>
        <v>0.66400000000000003</v>
      </c>
      <c r="EO117">
        <f t="shared" si="333"/>
        <v>106497.501</v>
      </c>
      <c r="EP117">
        <f t="shared" si="334"/>
        <v>5.2289192338057545E-3</v>
      </c>
      <c r="EQ117">
        <f t="shared" si="434"/>
        <v>4.1377107416153604E-3</v>
      </c>
      <c r="ER117">
        <f t="shared" si="435"/>
        <v>1.2857976617178418E-2</v>
      </c>
      <c r="ES117">
        <f t="shared" si="436"/>
        <v>14.754073691614495</v>
      </c>
      <c r="ET117">
        <f t="shared" si="558"/>
        <v>2.9702282968744617E-6</v>
      </c>
      <c r="EU117">
        <f t="shared" si="528"/>
        <v>4.2234136053366005E-2</v>
      </c>
      <c r="EV117">
        <f t="shared" si="437"/>
        <v>4497.8299465774826</v>
      </c>
      <c r="EW117">
        <f t="shared" si="529"/>
        <v>2.6379865492712684E-6</v>
      </c>
      <c r="EX117">
        <f t="shared" si="438"/>
        <v>3.7576790582003432E-4</v>
      </c>
      <c r="EY117">
        <f t="shared" si="439"/>
        <v>0.24687591461474429</v>
      </c>
      <c r="FA117">
        <f t="shared" si="440"/>
        <v>22.449716905551561</v>
      </c>
      <c r="FB117">
        <f t="shared" si="441"/>
        <v>0.66400000000000003</v>
      </c>
      <c r="FC117">
        <f t="shared" si="335"/>
        <v>106497.501</v>
      </c>
      <c r="FD117">
        <f t="shared" si="336"/>
        <v>5.2289192338057545E-3</v>
      </c>
      <c r="FE117">
        <f t="shared" si="442"/>
        <v>4.1377107416153604E-3</v>
      </c>
      <c r="FF117">
        <f t="shared" si="443"/>
        <v>1.2857976617178418E-2</v>
      </c>
      <c r="FG117">
        <f t="shared" si="444"/>
        <v>14.754073691614495</v>
      </c>
      <c r="FH117">
        <f t="shared" si="559"/>
        <v>2.8875322551536925E-6</v>
      </c>
      <c r="FI117">
        <f t="shared" si="530"/>
        <v>4.0291827330365279E-2</v>
      </c>
      <c r="FJ117">
        <f t="shared" si="445"/>
        <v>4290.9789214074035</v>
      </c>
      <c r="FK117">
        <f t="shared" si="531"/>
        <v>2.5766133435883485E-6</v>
      </c>
      <c r="FL117">
        <f t="shared" si="446"/>
        <v>3.5165161850247523E-4</v>
      </c>
      <c r="FM117">
        <f t="shared" si="447"/>
        <v>0.24000248304845118</v>
      </c>
      <c r="FO117">
        <f t="shared" si="448"/>
        <v>24.347410642284576</v>
      </c>
      <c r="FP117">
        <f t="shared" si="449"/>
        <v>0.66400000000000003</v>
      </c>
      <c r="FQ117">
        <f t="shared" si="337"/>
        <v>106497.501</v>
      </c>
      <c r="FR117">
        <f t="shared" si="338"/>
        <v>5.2289192338057545E-3</v>
      </c>
      <c r="FS117">
        <f t="shared" si="450"/>
        <v>4.1377107416153604E-3</v>
      </c>
      <c r="FT117">
        <f t="shared" si="451"/>
        <v>1.2857976617178418E-2</v>
      </c>
      <c r="FU117">
        <f t="shared" si="452"/>
        <v>14.754073691614495</v>
      </c>
      <c r="FV117">
        <f t="shared" si="560"/>
        <v>2.8087025336365873E-6</v>
      </c>
      <c r="FW117">
        <f t="shared" si="532"/>
        <v>3.8465473259017127E-2</v>
      </c>
      <c r="FX117">
        <f t="shared" si="453"/>
        <v>4096.4767768676502</v>
      </c>
      <c r="FY117">
        <f t="shared" si="533"/>
        <v>2.5175395941252921E-6</v>
      </c>
      <c r="FZ117">
        <f t="shared" si="454"/>
        <v>3.293074660901318E-4</v>
      </c>
      <c r="GA117">
        <f t="shared" si="455"/>
        <v>0.23345040770163702</v>
      </c>
      <c r="GC117">
        <f t="shared" si="456"/>
        <v>26.24510437901759</v>
      </c>
      <c r="GD117">
        <f t="shared" si="457"/>
        <v>0.66400000000000003</v>
      </c>
      <c r="GE117">
        <f t="shared" si="339"/>
        <v>106497.501</v>
      </c>
      <c r="GF117">
        <f t="shared" si="340"/>
        <v>5.2289192338057545E-3</v>
      </c>
      <c r="GG117">
        <f t="shared" si="458"/>
        <v>4.1377107416153604E-3</v>
      </c>
      <c r="GH117">
        <f t="shared" si="459"/>
        <v>1.2857976617178418E-2</v>
      </c>
      <c r="GI117">
        <f t="shared" si="460"/>
        <v>14.754073691614495</v>
      </c>
      <c r="GJ117">
        <f t="shared" si="561"/>
        <v>2.7335047633894215E-6</v>
      </c>
      <c r="GK117">
        <f t="shared" si="534"/>
        <v>3.6746889030827748E-2</v>
      </c>
      <c r="GL117">
        <f t="shared" si="461"/>
        <v>3913.4518513074672</v>
      </c>
      <c r="GM117">
        <f t="shared" si="535"/>
        <v>2.460656877661743E-6</v>
      </c>
      <c r="GN117">
        <f t="shared" si="462"/>
        <v>3.0859300303755194E-4</v>
      </c>
      <c r="GO117">
        <f t="shared" si="463"/>
        <v>0.22720020857509388</v>
      </c>
      <c r="GQ117">
        <f t="shared" si="464"/>
        <v>28.142798115750605</v>
      </c>
      <c r="GR117">
        <f t="shared" si="465"/>
        <v>0.66400000000000003</v>
      </c>
      <c r="GS117">
        <f t="shared" si="341"/>
        <v>106497.501</v>
      </c>
      <c r="GT117">
        <f t="shared" si="342"/>
        <v>5.2289192338057545E-3</v>
      </c>
      <c r="GU117">
        <f t="shared" si="466"/>
        <v>4.1377107416153604E-3</v>
      </c>
      <c r="GV117">
        <f t="shared" si="467"/>
        <v>1.2857976617178418E-2</v>
      </c>
      <c r="GW117">
        <f t="shared" si="468"/>
        <v>14.754073691614495</v>
      </c>
      <c r="GX117">
        <f t="shared" si="562"/>
        <v>2.6617213083408906E-6</v>
      </c>
      <c r="GY117">
        <f t="shared" si="536"/>
        <v>3.512854072273542E-2</v>
      </c>
      <c r="GZ117">
        <f t="shared" si="469"/>
        <v>3741.1018007480561</v>
      </c>
      <c r="HA117">
        <f t="shared" si="537"/>
        <v>2.4058626172187153E-6</v>
      </c>
      <c r="HB117">
        <f t="shared" si="470"/>
        <v>2.8937809664925676E-4</v>
      </c>
      <c r="HC117">
        <f t="shared" si="471"/>
        <v>0.22123379645183699</v>
      </c>
      <c r="HE117">
        <f t="shared" si="472"/>
        <v>30.040491852483619</v>
      </c>
      <c r="HF117">
        <f t="shared" si="473"/>
        <v>0.66400000000000003</v>
      </c>
      <c r="HG117">
        <f t="shared" si="343"/>
        <v>106497.501</v>
      </c>
      <c r="HH117">
        <f t="shared" si="344"/>
        <v>5.2289192338057545E-3</v>
      </c>
      <c r="HI117">
        <f t="shared" si="568"/>
        <v>4.1377107416153604E-3</v>
      </c>
      <c r="HJ117">
        <f t="shared" si="474"/>
        <v>1.2857976617178418E-2</v>
      </c>
      <c r="HK117">
        <f t="shared" si="475"/>
        <v>14.754073691614495</v>
      </c>
      <c r="HL117">
        <f t="shared" si="563"/>
        <v>2.5931499244867687E-6</v>
      </c>
      <c r="HM117">
        <f t="shared" si="538"/>
        <v>3.3603488712635229E-2</v>
      </c>
      <c r="HN117">
        <f t="shared" si="476"/>
        <v>3578.687572777359</v>
      </c>
      <c r="HO117">
        <f t="shared" si="539"/>
        <v>2.3530597416021984E-6</v>
      </c>
      <c r="HP117">
        <f t="shared" si="477"/>
        <v>2.715437956888983E-4</v>
      </c>
      <c r="HQ117">
        <f t="shared" si="478"/>
        <v>0.21553436145446697</v>
      </c>
      <c r="HS117">
        <f t="shared" si="479"/>
        <v>31.93818558921663</v>
      </c>
      <c r="HT117">
        <f t="shared" si="480"/>
        <v>0.66400000000000003</v>
      </c>
      <c r="HU117">
        <f t="shared" si="345"/>
        <v>106497.501</v>
      </c>
      <c r="HV117">
        <f t="shared" si="346"/>
        <v>5.2289192338057545E-3</v>
      </c>
      <c r="HW117">
        <f t="shared" si="569"/>
        <v>4.1377107416153604E-3</v>
      </c>
      <c r="HX117">
        <f t="shared" si="481"/>
        <v>1.2857976617178418E-2</v>
      </c>
      <c r="HY117">
        <f t="shared" si="482"/>
        <v>14.754073691614495</v>
      </c>
      <c r="HZ117">
        <f t="shared" si="564"/>
        <v>2.5276025362093557E-6</v>
      </c>
      <c r="IA117">
        <f t="shared" si="540"/>
        <v>3.216533635980362E-2</v>
      </c>
      <c r="IB117">
        <f t="shared" si="483"/>
        <v>3425.5279411435226</v>
      </c>
      <c r="IC117">
        <f t="shared" si="541"/>
        <v>2.3021563653893685E-6</v>
      </c>
      <c r="ID117">
        <f t="shared" si="484"/>
        <v>2.5498130832537824E-4</v>
      </c>
      <c r="IE117">
        <f t="shared" si="485"/>
        <v>0.21008627133674024</v>
      </c>
      <c r="IG117">
        <f t="shared" si="486"/>
        <v>33.835879325949641</v>
      </c>
      <c r="IH117">
        <f t="shared" si="487"/>
        <v>0.66400000000000003</v>
      </c>
      <c r="II117">
        <f t="shared" si="347"/>
        <v>106497.501</v>
      </c>
      <c r="IJ117">
        <f t="shared" si="348"/>
        <v>5.2289192338057545E-3</v>
      </c>
      <c r="IK117">
        <f t="shared" si="570"/>
        <v>4.1377107416153604E-3</v>
      </c>
      <c r="IL117">
        <f t="shared" si="488"/>
        <v>1.2857976617178418E-2</v>
      </c>
      <c r="IM117">
        <f t="shared" si="489"/>
        <v>14.754073691614495</v>
      </c>
      <c r="IN117">
        <f t="shared" si="565"/>
        <v>2.4649041187836713E-6</v>
      </c>
      <c r="IO117">
        <f t="shared" si="542"/>
        <v>3.0808183434343581E-2</v>
      </c>
      <c r="IP117">
        <f t="shared" si="490"/>
        <v>3280.9945461071893</v>
      </c>
      <c r="IQ117">
        <f t="shared" si="543"/>
        <v>2.2530654881531404E-6</v>
      </c>
      <c r="IR117">
        <f t="shared" si="491"/>
        <v>2.3959107841826585E-4</v>
      </c>
      <c r="IS117">
        <f t="shared" si="492"/>
        <v>0.20487497860104348</v>
      </c>
      <c r="IU117">
        <f t="shared" si="493"/>
        <v>35.733573062682659</v>
      </c>
      <c r="IV117">
        <f t="shared" si="494"/>
        <v>0.66400000000000003</v>
      </c>
      <c r="IW117">
        <f t="shared" si="349"/>
        <v>106497.501</v>
      </c>
      <c r="IX117">
        <f t="shared" si="350"/>
        <v>5.2289192338057545E-3</v>
      </c>
      <c r="IY117">
        <f t="shared" si="571"/>
        <v>4.1377107416153604E-3</v>
      </c>
      <c r="IZ117">
        <f t="shared" si="495"/>
        <v>1.2857976617178418E-2</v>
      </c>
      <c r="JA117">
        <f t="shared" si="496"/>
        <v>14.754073691614495</v>
      </c>
      <c r="JB117">
        <f t="shared" si="566"/>
        <v>2.4048916772150141E-6</v>
      </c>
      <c r="JC117">
        <f t="shared" si="544"/>
        <v>2.9526583832302632E-2</v>
      </c>
      <c r="JD117">
        <f t="shared" si="497"/>
        <v>3144.5073912072335</v>
      </c>
      <c r="JE117">
        <f t="shared" si="545"/>
        <v>2.2057047117855605E-6</v>
      </c>
      <c r="JF117">
        <f t="shared" si="498"/>
        <v>2.2528195028478698E-4</v>
      </c>
      <c r="JG117">
        <f t="shared" si="499"/>
        <v>0.19988693562262444</v>
      </c>
      <c r="JI117">
        <f t="shared" si="500"/>
        <v>37.63126679941567</v>
      </c>
      <c r="JJ117">
        <f t="shared" si="501"/>
        <v>0.66400000000000003</v>
      </c>
      <c r="JK117">
        <f t="shared" si="351"/>
        <v>106497.501</v>
      </c>
      <c r="JL117">
        <f t="shared" si="352"/>
        <v>5.2289192338057545E-3</v>
      </c>
      <c r="JM117">
        <f t="shared" si="572"/>
        <v>4.1377107416153604E-3</v>
      </c>
      <c r="JN117">
        <f t="shared" si="502"/>
        <v>1.2857976617178418E-2</v>
      </c>
      <c r="JO117">
        <f t="shared" si="503"/>
        <v>14.754073691614495</v>
      </c>
      <c r="JP117">
        <f t="shared" si="567"/>
        <v>2.3474133125156891E-6</v>
      </c>
      <c r="JQ117">
        <f t="shared" si="546"/>
        <v>2.8315507160149158E-2</v>
      </c>
      <c r="JR117">
        <f t="shared" si="504"/>
        <v>3015.5307521034924</v>
      </c>
      <c r="JS117">
        <f t="shared" si="547"/>
        <v>2.1599959748424544E-6</v>
      </c>
      <c r="JT117">
        <f t="shared" si="505"/>
        <v>2.1197041311000122E-4</v>
      </c>
      <c r="JU117">
        <f t="shared" si="506"/>
        <v>0.19510951704148788</v>
      </c>
    </row>
    <row r="118" spans="2:281">
      <c r="B118">
        <v>0.84</v>
      </c>
      <c r="C118">
        <f t="shared" si="353"/>
        <v>1.594062738855732</v>
      </c>
      <c r="D118">
        <f t="shared" si="354"/>
        <v>0.67199999999999993</v>
      </c>
      <c r="E118">
        <f t="shared" si="313"/>
        <v>106313.073</v>
      </c>
      <c r="F118">
        <f t="shared" si="314"/>
        <v>5.2319411324966902E-3</v>
      </c>
      <c r="G118">
        <f t="shared" si="355"/>
        <v>4.1365156260381036E-3</v>
      </c>
      <c r="H118">
        <f t="shared" si="356"/>
        <v>1.2880282161027696E-2</v>
      </c>
      <c r="I118">
        <f t="shared" si="357"/>
        <v>14.771131977413368</v>
      </c>
      <c r="J118">
        <f t="shared" si="548"/>
        <v>4.0760137027494822E-6</v>
      </c>
      <c r="K118">
        <f t="shared" si="507"/>
        <v>7.08553860425888E-2</v>
      </c>
      <c r="L118">
        <f t="shared" si="358"/>
        <v>7532.8538287889241</v>
      </c>
      <c r="M118">
        <f t="shared" si="508"/>
        <v>3.4139002790570387E-6</v>
      </c>
      <c r="N118">
        <f t="shared" si="509"/>
        <v>7.4950450477866669E-4</v>
      </c>
      <c r="O118">
        <f t="shared" si="359"/>
        <v>0.33878527516130502</v>
      </c>
      <c r="Q118">
        <f t="shared" si="360"/>
        <v>3.4917564755887462</v>
      </c>
      <c r="R118">
        <f t="shared" si="361"/>
        <v>0.67199999999999993</v>
      </c>
      <c r="S118">
        <f t="shared" si="315"/>
        <v>106313.073</v>
      </c>
      <c r="T118">
        <f t="shared" si="316"/>
        <v>5.2319411324966902E-3</v>
      </c>
      <c r="U118">
        <f t="shared" si="362"/>
        <v>4.1365156260381036E-3</v>
      </c>
      <c r="V118">
        <f t="shared" si="363"/>
        <v>1.2880282161027696E-2</v>
      </c>
      <c r="W118">
        <f t="shared" si="364"/>
        <v>14.771131977413368</v>
      </c>
      <c r="X118">
        <f t="shared" si="549"/>
        <v>3.9368742680405786E-6</v>
      </c>
      <c r="Y118">
        <f t="shared" si="510"/>
        <v>6.7077053738843928E-2</v>
      </c>
      <c r="Z118">
        <f t="shared" si="365"/>
        <v>7131.1677107626374</v>
      </c>
      <c r="AA118">
        <f t="shared" si="511"/>
        <v>3.3216310085114181E-6</v>
      </c>
      <c r="AB118">
        <f t="shared" si="366"/>
        <v>6.9644803752840574E-4</v>
      </c>
      <c r="AC118">
        <f t="shared" si="367"/>
        <v>0.32722044856569099</v>
      </c>
      <c r="AE118">
        <f t="shared" si="368"/>
        <v>5.3894502123217611</v>
      </c>
      <c r="AF118">
        <f t="shared" si="369"/>
        <v>0.67199999999999993</v>
      </c>
      <c r="AG118">
        <f t="shared" si="317"/>
        <v>106313.073</v>
      </c>
      <c r="AH118">
        <f t="shared" si="318"/>
        <v>5.2319411324966902E-3</v>
      </c>
      <c r="AI118">
        <f t="shared" si="370"/>
        <v>4.1365156260381036E-3</v>
      </c>
      <c r="AJ118">
        <f t="shared" si="371"/>
        <v>1.2880282161027696E-2</v>
      </c>
      <c r="AK118">
        <f t="shared" si="372"/>
        <v>14.771131977413368</v>
      </c>
      <c r="AL118">
        <f t="shared" si="550"/>
        <v>3.8052683781860907E-6</v>
      </c>
      <c r="AM118">
        <f t="shared" si="512"/>
        <v>6.3552187977998109E-2</v>
      </c>
      <c r="AN118">
        <f t="shared" si="373"/>
        <v>6756.4283998146357</v>
      </c>
      <c r="AO118">
        <f t="shared" si="513"/>
        <v>3.233178263232648E-6</v>
      </c>
      <c r="AP118">
        <f t="shared" si="374"/>
        <v>6.4759919215310127E-4</v>
      </c>
      <c r="AQ118">
        <f t="shared" si="375"/>
        <v>0.3162817862208796</v>
      </c>
      <c r="AS118">
        <f t="shared" si="376"/>
        <v>7.2871439490547756</v>
      </c>
      <c r="AT118">
        <f t="shared" si="377"/>
        <v>0.67199999999999993</v>
      </c>
      <c r="AU118">
        <f t="shared" si="319"/>
        <v>106313.073</v>
      </c>
      <c r="AV118">
        <f t="shared" si="320"/>
        <v>5.2319411324966902E-3</v>
      </c>
      <c r="AW118">
        <f t="shared" si="378"/>
        <v>4.1365156260381036E-3</v>
      </c>
      <c r="AX118">
        <f t="shared" si="379"/>
        <v>1.2880282161027696E-2</v>
      </c>
      <c r="AY118">
        <f t="shared" si="380"/>
        <v>14.771131977413368</v>
      </c>
      <c r="AZ118">
        <f t="shared" si="551"/>
        <v>3.6806845218129685E-6</v>
      </c>
      <c r="BA118">
        <f t="shared" si="514"/>
        <v>6.0261119391716848E-2</v>
      </c>
      <c r="BB118">
        <f t="shared" si="381"/>
        <v>6406.5447849533093</v>
      </c>
      <c r="BC118">
        <f t="shared" si="515"/>
        <v>3.1483499100510858E-6</v>
      </c>
      <c r="BD118">
        <f t="shared" si="382"/>
        <v>6.0259643633273638E-4</v>
      </c>
      <c r="BE118">
        <f t="shared" si="383"/>
        <v>0.30592677293092091</v>
      </c>
      <c r="BG118">
        <f t="shared" si="384"/>
        <v>9.1848376857877891</v>
      </c>
      <c r="BH118">
        <f t="shared" si="385"/>
        <v>0.67199999999999993</v>
      </c>
      <c r="BI118">
        <f t="shared" si="321"/>
        <v>106313.073</v>
      </c>
      <c r="BJ118">
        <f t="shared" si="322"/>
        <v>5.2319411324966902E-3</v>
      </c>
      <c r="BK118">
        <f t="shared" si="386"/>
        <v>4.1365156260381036E-3</v>
      </c>
      <c r="BL118">
        <f t="shared" si="387"/>
        <v>1.2880282161027696E-2</v>
      </c>
      <c r="BM118">
        <f t="shared" si="388"/>
        <v>14.771131977413368</v>
      </c>
      <c r="BN118">
        <f t="shared" si="552"/>
        <v>3.5626512008118093E-6</v>
      </c>
      <c r="BO118">
        <f t="shared" si="516"/>
        <v>5.718586866944729E-2</v>
      </c>
      <c r="BP118">
        <f t="shared" si="389"/>
        <v>6079.605430423363</v>
      </c>
      <c r="BQ118">
        <f t="shared" si="517"/>
        <v>3.0669645638086119E-6</v>
      </c>
      <c r="BR118">
        <f t="shared" si="390"/>
        <v>5.6111136566392523E-4</v>
      </c>
      <c r="BS118">
        <f t="shared" si="391"/>
        <v>0.2961162192748803</v>
      </c>
      <c r="BU118">
        <f t="shared" si="392"/>
        <v>11.082531422520804</v>
      </c>
      <c r="BV118">
        <f t="shared" si="393"/>
        <v>0.67199999999999993</v>
      </c>
      <c r="BW118">
        <f t="shared" si="323"/>
        <v>106313.073</v>
      </c>
      <c r="BX118">
        <f t="shared" si="324"/>
        <v>5.2319411324966902E-3</v>
      </c>
      <c r="BY118">
        <f t="shared" si="394"/>
        <v>4.1365156260381036E-3</v>
      </c>
      <c r="BZ118">
        <f t="shared" si="395"/>
        <v>1.2880282161027696E-2</v>
      </c>
      <c r="CA118">
        <f t="shared" si="396"/>
        <v>14.771131977413368</v>
      </c>
      <c r="CB118">
        <f t="shared" si="553"/>
        <v>3.4507334755731752E-6</v>
      </c>
      <c r="CC118">
        <f t="shared" si="518"/>
        <v>5.4309990162868201E-2</v>
      </c>
      <c r="CD118">
        <f t="shared" si="397"/>
        <v>5773.8619488142895</v>
      </c>
      <c r="CE118">
        <f t="shared" si="519"/>
        <v>2.988850956882227E-6</v>
      </c>
      <c r="CF118">
        <f t="shared" si="398"/>
        <v>5.2284550660037187E-4</v>
      </c>
      <c r="CG118">
        <f t="shared" si="399"/>
        <v>0.28681397445788631</v>
      </c>
      <c r="CI118">
        <f t="shared" si="400"/>
        <v>12.980225159253818</v>
      </c>
      <c r="CJ118">
        <f t="shared" si="401"/>
        <v>0.67199999999999993</v>
      </c>
      <c r="CK118">
        <f t="shared" si="325"/>
        <v>106313.073</v>
      </c>
      <c r="CL118">
        <f t="shared" si="326"/>
        <v>5.2319411324966902E-3</v>
      </c>
      <c r="CM118">
        <f t="shared" si="402"/>
        <v>4.1365156260381036E-3</v>
      </c>
      <c r="CN118">
        <f t="shared" si="403"/>
        <v>1.2880282161027696E-2</v>
      </c>
      <c r="CO118">
        <f t="shared" si="404"/>
        <v>14.771131977413368</v>
      </c>
      <c r="CP118">
        <f t="shared" si="554"/>
        <v>3.3445298308104512E-6</v>
      </c>
      <c r="CQ118">
        <f t="shared" si="520"/>
        <v>5.1618430771835117E-2</v>
      </c>
      <c r="CR118">
        <f t="shared" si="405"/>
        <v>5487.7139987915534</v>
      </c>
      <c r="CS118">
        <f t="shared" si="521"/>
        <v>2.9138473455405723E-6</v>
      </c>
      <c r="CT118">
        <f t="shared" si="406"/>
        <v>4.8752744059904187E-4</v>
      </c>
      <c r="CU118">
        <f t="shared" si="407"/>
        <v>0.27798666580830977</v>
      </c>
      <c r="CW118">
        <f t="shared" si="408"/>
        <v>14.877918895986832</v>
      </c>
      <c r="CX118">
        <f t="shared" si="409"/>
        <v>0.67199999999999993</v>
      </c>
      <c r="CY118">
        <f t="shared" si="327"/>
        <v>106313.073</v>
      </c>
      <c r="CZ118">
        <f t="shared" si="328"/>
        <v>5.2319411324966902E-3</v>
      </c>
      <c r="DA118">
        <f t="shared" si="410"/>
        <v>4.1365156260381036E-3</v>
      </c>
      <c r="DB118">
        <f t="shared" si="411"/>
        <v>1.2880282161027696E-2</v>
      </c>
      <c r="DC118">
        <f t="shared" si="412"/>
        <v>14.771131977413368</v>
      </c>
      <c r="DD118">
        <f t="shared" si="555"/>
        <v>3.2436693305958185E-6</v>
      </c>
      <c r="DE118">
        <f t="shared" si="522"/>
        <v>4.9097402559266777E-2</v>
      </c>
      <c r="DF118">
        <f t="shared" si="413"/>
        <v>5219.6957423937156</v>
      </c>
      <c r="DG118">
        <f t="shared" si="523"/>
        <v>2.8418009511179E-6</v>
      </c>
      <c r="DH118">
        <f t="shared" si="414"/>
        <v>4.5491021623919402E-4</v>
      </c>
      <c r="DI118">
        <f t="shared" si="415"/>
        <v>0.26960346231341675</v>
      </c>
      <c r="DK118">
        <f t="shared" si="416"/>
        <v>16.775612632719849</v>
      </c>
      <c r="DL118">
        <f t="shared" si="417"/>
        <v>0.67199999999999993</v>
      </c>
      <c r="DM118">
        <f t="shared" si="329"/>
        <v>106313.073</v>
      </c>
      <c r="DN118">
        <f t="shared" si="330"/>
        <v>5.2319411324966902E-3</v>
      </c>
      <c r="DO118">
        <f t="shared" si="418"/>
        <v>4.1365156260381036E-3</v>
      </c>
      <c r="DP118">
        <f t="shared" si="419"/>
        <v>1.2880282161027696E-2</v>
      </c>
      <c r="DQ118">
        <f t="shared" si="420"/>
        <v>14.771131977413368</v>
      </c>
      <c r="DR118">
        <f t="shared" si="556"/>
        <v>3.1478090344262512E-6</v>
      </c>
      <c r="DS118">
        <f t="shared" si="524"/>
        <v>4.6734267704352538E-2</v>
      </c>
      <c r="DT118">
        <f t="shared" si="421"/>
        <v>4968.4636140543744</v>
      </c>
      <c r="DU118">
        <f t="shared" si="525"/>
        <v>2.7725674340838306E-6</v>
      </c>
      <c r="DV118">
        <f t="shared" si="422"/>
        <v>4.2476901958665134E-4</v>
      </c>
      <c r="DW118">
        <f t="shared" si="423"/>
        <v>0.26163585985100496</v>
      </c>
      <c r="DY118">
        <f t="shared" si="424"/>
        <v>18.673306369452863</v>
      </c>
      <c r="DZ118">
        <f t="shared" si="425"/>
        <v>0.67199999999999993</v>
      </c>
      <c r="EA118">
        <f t="shared" si="331"/>
        <v>106313.073</v>
      </c>
      <c r="EB118">
        <f t="shared" si="332"/>
        <v>5.2319411324966902E-3</v>
      </c>
      <c r="EC118">
        <f t="shared" si="426"/>
        <v>4.1365156260381036E-3</v>
      </c>
      <c r="ED118">
        <f t="shared" si="427"/>
        <v>1.2880282161027696E-2</v>
      </c>
      <c r="EE118">
        <f t="shared" si="428"/>
        <v>14.771131977413368</v>
      </c>
      <c r="EF118">
        <f t="shared" si="557"/>
        <v>3.0566316489938476E-6</v>
      </c>
      <c r="EG118">
        <f t="shared" si="526"/>
        <v>4.4517434548244132E-2</v>
      </c>
      <c r="EH118">
        <f t="shared" si="429"/>
        <v>4732.7852689002002</v>
      </c>
      <c r="EI118">
        <f t="shared" si="527"/>
        <v>2.7060103991780054E-6</v>
      </c>
      <c r="EJ118">
        <f t="shared" si="430"/>
        <v>3.9689907620747597E-4</v>
      </c>
      <c r="EK118">
        <f t="shared" si="431"/>
        <v>0.25405748601203365</v>
      </c>
      <c r="EM118">
        <f t="shared" si="432"/>
        <v>20.571000106185878</v>
      </c>
      <c r="EN118">
        <f t="shared" si="433"/>
        <v>0.67199999999999993</v>
      </c>
      <c r="EO118">
        <f t="shared" si="333"/>
        <v>106313.073</v>
      </c>
      <c r="EP118">
        <f t="shared" si="334"/>
        <v>5.2319411324966902E-3</v>
      </c>
      <c r="EQ118">
        <f t="shared" si="434"/>
        <v>4.1365156260381036E-3</v>
      </c>
      <c r="ER118">
        <f t="shared" si="435"/>
        <v>1.2880282161027696E-2</v>
      </c>
      <c r="ES118">
        <f t="shared" si="436"/>
        <v>14.771131977413368</v>
      </c>
      <c r="ET118">
        <f t="shared" si="558"/>
        <v>2.9698433928944649E-6</v>
      </c>
      <c r="EU118">
        <f t="shared" si="528"/>
        <v>4.2436263615856375E-2</v>
      </c>
      <c r="EV118">
        <f t="shared" si="437"/>
        <v>4511.5295916397827</v>
      </c>
      <c r="EW118">
        <f t="shared" si="529"/>
        <v>2.6420009298664674E-6</v>
      </c>
      <c r="EX118">
        <f t="shared" si="438"/>
        <v>3.7111376103342075E-4</v>
      </c>
      <c r="EY118">
        <f t="shared" si="439"/>
        <v>0.24684392262200738</v>
      </c>
      <c r="FA118">
        <f t="shared" si="440"/>
        <v>22.468693842918892</v>
      </c>
      <c r="FB118">
        <f t="shared" si="441"/>
        <v>0.67199999999999993</v>
      </c>
      <c r="FC118">
        <f t="shared" si="335"/>
        <v>106313.073</v>
      </c>
      <c r="FD118">
        <f t="shared" si="336"/>
        <v>5.2319411324966902E-3</v>
      </c>
      <c r="FE118">
        <f t="shared" si="442"/>
        <v>4.1365156260381036E-3</v>
      </c>
      <c r="FF118">
        <f t="shared" si="443"/>
        <v>1.2880282161027696E-2</v>
      </c>
      <c r="FG118">
        <f t="shared" si="444"/>
        <v>14.771131977413368</v>
      </c>
      <c r="FH118">
        <f t="shared" si="559"/>
        <v>2.8871720538021735E-6</v>
      </c>
      <c r="FI118">
        <f t="shared" si="530"/>
        <v>4.0480982613168334E-2</v>
      </c>
      <c r="FJ118">
        <f t="shared" si="445"/>
        <v>4303.6576596654959</v>
      </c>
      <c r="FK118">
        <f t="shared" si="531"/>
        <v>2.580417150461315E-6</v>
      </c>
      <c r="FL118">
        <f t="shared" si="446"/>
        <v>3.4724289478189874E-4</v>
      </c>
      <c r="FM118">
        <f t="shared" si="447"/>
        <v>0.23997254425950512</v>
      </c>
      <c r="FO118">
        <f t="shared" si="448"/>
        <v>24.366387579651906</v>
      </c>
      <c r="FP118">
        <f t="shared" si="449"/>
        <v>0.67199999999999993</v>
      </c>
      <c r="FQ118">
        <f t="shared" si="337"/>
        <v>106313.073</v>
      </c>
      <c r="FR118">
        <f t="shared" si="338"/>
        <v>5.2319411324966902E-3</v>
      </c>
      <c r="FS118">
        <f t="shared" si="450"/>
        <v>4.1365156260381036E-3</v>
      </c>
      <c r="FT118">
        <f t="shared" si="451"/>
        <v>1.2880282161027696E-2</v>
      </c>
      <c r="FU118">
        <f t="shared" si="452"/>
        <v>14.771131977413368</v>
      </c>
      <c r="FV118">
        <f t="shared" si="560"/>
        <v>2.8083652196925873E-6</v>
      </c>
      <c r="FW118">
        <f t="shared" si="532"/>
        <v>3.864260950295851E-2</v>
      </c>
      <c r="FX118">
        <f t="shared" si="453"/>
        <v>4108.2145649985223</v>
      </c>
      <c r="FY118">
        <f t="shared" si="533"/>
        <v>2.5211438143271396E-6</v>
      </c>
      <c r="FZ118">
        <f t="shared" si="454"/>
        <v>3.2513120786727736E-4</v>
      </c>
      <c r="GA118">
        <f t="shared" si="455"/>
        <v>0.23342237124109796</v>
      </c>
      <c r="GC118">
        <f t="shared" si="456"/>
        <v>26.264081316384921</v>
      </c>
      <c r="GD118">
        <f t="shared" si="457"/>
        <v>0.67199999999999993</v>
      </c>
      <c r="GE118">
        <f t="shared" si="339"/>
        <v>106313.073</v>
      </c>
      <c r="GF118">
        <f t="shared" si="340"/>
        <v>5.2319411324966902E-3</v>
      </c>
      <c r="GG118">
        <f t="shared" si="458"/>
        <v>4.1365156260381036E-3</v>
      </c>
      <c r="GH118">
        <f t="shared" si="459"/>
        <v>1.2880282161027696E-2</v>
      </c>
      <c r="GI118">
        <f t="shared" si="460"/>
        <v>14.771131977413368</v>
      </c>
      <c r="GJ118">
        <f t="shared" si="561"/>
        <v>2.7331886675408174E-6</v>
      </c>
      <c r="GK118">
        <f t="shared" si="534"/>
        <v>3.6912882854513787E-2</v>
      </c>
      <c r="GL118">
        <f t="shared" si="461"/>
        <v>3924.3220095523729</v>
      </c>
      <c r="GM118">
        <f t="shared" si="535"/>
        <v>2.4640719166766595E-6</v>
      </c>
      <c r="GN118">
        <f t="shared" si="462"/>
        <v>3.0463695473689344E-4</v>
      </c>
      <c r="GO118">
        <f t="shared" si="463"/>
        <v>0.22717393569505562</v>
      </c>
      <c r="GQ118">
        <f t="shared" si="464"/>
        <v>28.161775053117935</v>
      </c>
      <c r="GR118">
        <f t="shared" si="465"/>
        <v>0.67199999999999993</v>
      </c>
      <c r="GS118">
        <f t="shared" si="341"/>
        <v>106313.073</v>
      </c>
      <c r="GT118">
        <f t="shared" si="342"/>
        <v>5.2319411324966902E-3</v>
      </c>
      <c r="GU118">
        <f t="shared" si="466"/>
        <v>4.1365156260381036E-3</v>
      </c>
      <c r="GV118">
        <f t="shared" si="467"/>
        <v>1.2880282161027696E-2</v>
      </c>
      <c r="GW118">
        <f t="shared" si="468"/>
        <v>14.771131977413368</v>
      </c>
      <c r="GX118">
        <f t="shared" si="562"/>
        <v>2.6614248945721809E-6</v>
      </c>
      <c r="GY118">
        <f t="shared" si="536"/>
        <v>3.5284198745700879E-2</v>
      </c>
      <c r="GZ118">
        <f t="shared" si="469"/>
        <v>3751.171596998206</v>
      </c>
      <c r="HA118">
        <f t="shared" si="537"/>
        <v>2.4090983305341856E-6</v>
      </c>
      <c r="HB118">
        <f t="shared" si="470"/>
        <v>2.8563066334937759E-4</v>
      </c>
      <c r="HC118">
        <f t="shared" si="471"/>
        <v>0.22120915948358388</v>
      </c>
      <c r="HE118">
        <f t="shared" si="472"/>
        <v>30.05946878985095</v>
      </c>
      <c r="HF118">
        <f t="shared" si="473"/>
        <v>0.67199999999999993</v>
      </c>
      <c r="HG118">
        <f t="shared" si="343"/>
        <v>106313.073</v>
      </c>
      <c r="HH118">
        <f t="shared" si="344"/>
        <v>5.2319411324966902E-3</v>
      </c>
      <c r="HI118">
        <f t="shared" si="568"/>
        <v>4.1365156260381036E-3</v>
      </c>
      <c r="HJ118">
        <f t="shared" si="474"/>
        <v>1.2880282161027696E-2</v>
      </c>
      <c r="HK118">
        <f t="shared" si="475"/>
        <v>14.771131977413368</v>
      </c>
      <c r="HL118">
        <f t="shared" si="563"/>
        <v>2.5928717786257592E-6</v>
      </c>
      <c r="HM118">
        <f t="shared" si="538"/>
        <v>3.3749553569909836E-2</v>
      </c>
      <c r="HN118">
        <f t="shared" si="476"/>
        <v>3588.018752395235</v>
      </c>
      <c r="HO118">
        <f t="shared" si="539"/>
        <v>2.356125464518813E-6</v>
      </c>
      <c r="HP118">
        <f t="shared" si="477"/>
        <v>2.6799400610751653E-4</v>
      </c>
      <c r="HQ118">
        <f t="shared" si="478"/>
        <v>0.21551124285651097</v>
      </c>
      <c r="HS118">
        <f t="shared" si="479"/>
        <v>31.957162526583964</v>
      </c>
      <c r="HT118">
        <f t="shared" si="480"/>
        <v>0.67199999999999993</v>
      </c>
      <c r="HU118">
        <f t="shared" si="345"/>
        <v>106313.073</v>
      </c>
      <c r="HV118">
        <f t="shared" si="346"/>
        <v>5.2319411324966902E-3</v>
      </c>
      <c r="HW118">
        <f t="shared" si="569"/>
        <v>4.1365156260381036E-3</v>
      </c>
      <c r="HX118">
        <f t="shared" si="481"/>
        <v>1.2880282161027696E-2</v>
      </c>
      <c r="HY118">
        <f t="shared" si="482"/>
        <v>14.771131977413368</v>
      </c>
      <c r="HZ118">
        <f t="shared" si="564"/>
        <v>2.5273413555207467E-6</v>
      </c>
      <c r="IA118">
        <f t="shared" si="540"/>
        <v>3.2302492166710418E-2</v>
      </c>
      <c r="IB118">
        <f t="shared" si="483"/>
        <v>3434.1772078014128</v>
      </c>
      <c r="IC118">
        <f t="shared" si="541"/>
        <v>2.3050609411698316E-6</v>
      </c>
      <c r="ID118">
        <f t="shared" si="484"/>
        <v>2.5161877998333161E-4</v>
      </c>
      <c r="IE118">
        <f t="shared" si="485"/>
        <v>0.21006456282987296</v>
      </c>
      <c r="IG118">
        <f t="shared" si="486"/>
        <v>33.854856263316975</v>
      </c>
      <c r="IH118">
        <f t="shared" si="487"/>
        <v>0.67199999999999993</v>
      </c>
      <c r="II118">
        <f t="shared" si="347"/>
        <v>106313.073</v>
      </c>
      <c r="IJ118">
        <f t="shared" si="348"/>
        <v>5.2319411324966902E-3</v>
      </c>
      <c r="IK118">
        <f t="shared" si="570"/>
        <v>4.1365156260381036E-3</v>
      </c>
      <c r="IL118">
        <f t="shared" si="488"/>
        <v>1.2880282161027696E-2</v>
      </c>
      <c r="IM118">
        <f t="shared" si="489"/>
        <v>14.771131977413368</v>
      </c>
      <c r="IN118">
        <f t="shared" si="565"/>
        <v>2.4646587025088201E-6</v>
      </c>
      <c r="IO118">
        <f t="shared" si="542"/>
        <v>3.093706075442617E-2</v>
      </c>
      <c r="IP118">
        <f t="shared" si="490"/>
        <v>3289.0139983907447</v>
      </c>
      <c r="IQ118">
        <f t="shared" si="543"/>
        <v>2.2558172946045201E-6</v>
      </c>
      <c r="IR118">
        <f t="shared" si="491"/>
        <v>2.3640598484724282E-4</v>
      </c>
      <c r="IS118">
        <f t="shared" si="492"/>
        <v>0.2048545803820315</v>
      </c>
      <c r="IU118">
        <f t="shared" si="493"/>
        <v>35.752550000049993</v>
      </c>
      <c r="IV118">
        <f t="shared" si="494"/>
        <v>0.67199999999999993</v>
      </c>
      <c r="IW118">
        <f t="shared" si="349"/>
        <v>106313.073</v>
      </c>
      <c r="IX118">
        <f t="shared" si="350"/>
        <v>5.2319411324966902E-3</v>
      </c>
      <c r="IY118">
        <f t="shared" si="571"/>
        <v>4.1365156260381036E-3</v>
      </c>
      <c r="IZ118">
        <f t="shared" si="495"/>
        <v>1.2880282161027696E-2</v>
      </c>
      <c r="JA118">
        <f t="shared" si="496"/>
        <v>14.771131977413368</v>
      </c>
      <c r="JB118">
        <f t="shared" si="566"/>
        <v>2.4046609179672363E-6</v>
      </c>
      <c r="JC118">
        <f t="shared" si="544"/>
        <v>2.964776419597626E-2</v>
      </c>
      <c r="JD118">
        <f t="shared" si="497"/>
        <v>3151.9449192536104</v>
      </c>
      <c r="JE118">
        <f t="shared" si="545"/>
        <v>2.2083116863635715E-6</v>
      </c>
      <c r="JF118">
        <f t="shared" si="498"/>
        <v>2.2226499015240558E-4</v>
      </c>
      <c r="JG118">
        <f t="shared" si="499"/>
        <v>0.19986775564901405</v>
      </c>
      <c r="JI118">
        <f t="shared" si="500"/>
        <v>37.650243736783004</v>
      </c>
      <c r="JJ118">
        <f t="shared" si="501"/>
        <v>0.67199999999999993</v>
      </c>
      <c r="JK118">
        <f t="shared" si="351"/>
        <v>106313.073</v>
      </c>
      <c r="JL118">
        <f t="shared" si="352"/>
        <v>5.2319411324966902E-3</v>
      </c>
      <c r="JM118">
        <f t="shared" si="572"/>
        <v>4.1365156260381036E-3</v>
      </c>
      <c r="JN118">
        <f t="shared" si="502"/>
        <v>1.2880282161027696E-2</v>
      </c>
      <c r="JO118">
        <f t="shared" si="503"/>
        <v>14.771131977413368</v>
      </c>
      <c r="JP118">
        <f t="shared" si="567"/>
        <v>2.3471961884495194E-6</v>
      </c>
      <c r="JQ118">
        <f t="shared" si="546"/>
        <v>2.8429527176915916E-2</v>
      </c>
      <c r="JR118">
        <f t="shared" si="504"/>
        <v>3022.4303981149455</v>
      </c>
      <c r="JS118">
        <f t="shared" si="547"/>
        <v>2.1624656383615642E-6</v>
      </c>
      <c r="JT118">
        <f t="shared" si="505"/>
        <v>2.0911278114409224E-4</v>
      </c>
      <c r="JU118">
        <f t="shared" si="506"/>
        <v>0.19509147038073896</v>
      </c>
    </row>
    <row r="119" spans="2:281">
      <c r="B119">
        <v>0.85</v>
      </c>
      <c r="C119">
        <f t="shared" si="353"/>
        <v>1.6130396762230623</v>
      </c>
      <c r="D119">
        <f t="shared" si="354"/>
        <v>0.68</v>
      </c>
      <c r="E119">
        <f t="shared" si="313"/>
        <v>106128.645</v>
      </c>
      <c r="F119">
        <f t="shared" si="314"/>
        <v>5.2349700289879755E-3</v>
      </c>
      <c r="G119">
        <f t="shared" si="355"/>
        <v>4.1353187815081618E-3</v>
      </c>
      <c r="H119">
        <f t="shared" si="356"/>
        <v>1.2902665229033456E-2</v>
      </c>
      <c r="I119">
        <f t="shared" si="357"/>
        <v>14.788239654767766</v>
      </c>
      <c r="J119">
        <f t="shared" si="548"/>
        <v>4.075245975483671E-6</v>
      </c>
      <c r="K119">
        <f t="shared" si="507"/>
        <v>7.1258548516765122E-2</v>
      </c>
      <c r="L119">
        <f t="shared" si="358"/>
        <v>7562.5731987510426</v>
      </c>
      <c r="M119">
        <f t="shared" si="508"/>
        <v>3.4206280805723437E-6</v>
      </c>
      <c r="N119">
        <f t="shared" si="509"/>
        <v>7.4166323978946068E-4</v>
      </c>
      <c r="O119">
        <f t="shared" si="359"/>
        <v>0.33872146411650378</v>
      </c>
      <c r="Q119">
        <f t="shared" si="360"/>
        <v>3.510733412956077</v>
      </c>
      <c r="R119">
        <f t="shared" si="361"/>
        <v>0.68</v>
      </c>
      <c r="S119">
        <f t="shared" si="315"/>
        <v>106128.645</v>
      </c>
      <c r="T119">
        <f t="shared" si="316"/>
        <v>5.2349700289879755E-3</v>
      </c>
      <c r="U119">
        <f t="shared" si="362"/>
        <v>4.1353187815081618E-3</v>
      </c>
      <c r="V119">
        <f t="shared" si="363"/>
        <v>1.2902665229033456E-2</v>
      </c>
      <c r="W119">
        <f t="shared" si="364"/>
        <v>14.788239654767766</v>
      </c>
      <c r="X119">
        <f t="shared" si="549"/>
        <v>3.9361608872080124E-6</v>
      </c>
      <c r="Y119">
        <f t="shared" si="510"/>
        <v>6.74516768560567E-2</v>
      </c>
      <c r="Z119">
        <f t="shared" si="365"/>
        <v>7158.5550677111578</v>
      </c>
      <c r="AA119">
        <f t="shared" si="511"/>
        <v>3.3280032831169383E-6</v>
      </c>
      <c r="AB119">
        <f t="shared" si="366"/>
        <v>6.8902506707959742E-4</v>
      </c>
      <c r="AC119">
        <f t="shared" si="367"/>
        <v>0.32716115462330492</v>
      </c>
      <c r="AE119">
        <f t="shared" si="368"/>
        <v>5.408427149689091</v>
      </c>
      <c r="AF119">
        <f t="shared" si="369"/>
        <v>0.68</v>
      </c>
      <c r="AG119">
        <f t="shared" si="317"/>
        <v>106128.645</v>
      </c>
      <c r="AH119">
        <f t="shared" si="318"/>
        <v>5.2349700289879755E-3</v>
      </c>
      <c r="AI119">
        <f t="shared" si="370"/>
        <v>4.1353187815081618E-3</v>
      </c>
      <c r="AJ119">
        <f t="shared" si="371"/>
        <v>1.2902665229033456E-2</v>
      </c>
      <c r="AK119">
        <f t="shared" si="372"/>
        <v>14.788239654767766</v>
      </c>
      <c r="AL119">
        <f t="shared" si="550"/>
        <v>3.8046050338646579E-6</v>
      </c>
      <c r="AM119">
        <f t="shared" si="512"/>
        <v>6.3900535040515266E-2</v>
      </c>
      <c r="AN119">
        <f t="shared" si="373"/>
        <v>6781.6771986249059</v>
      </c>
      <c r="AO119">
        <f t="shared" si="513"/>
        <v>3.2392138295343371E-6</v>
      </c>
      <c r="AP119">
        <f t="shared" si="374"/>
        <v>6.4057196665681106E-4</v>
      </c>
      <c r="AQ119">
        <f t="shared" si="375"/>
        <v>0.31622665115391169</v>
      </c>
      <c r="AS119">
        <f t="shared" si="376"/>
        <v>7.3061208864221054</v>
      </c>
      <c r="AT119">
        <f t="shared" si="377"/>
        <v>0.68</v>
      </c>
      <c r="AU119">
        <f t="shared" si="319"/>
        <v>106128.645</v>
      </c>
      <c r="AV119">
        <f t="shared" si="320"/>
        <v>5.2349700289879755E-3</v>
      </c>
      <c r="AW119">
        <f t="shared" si="378"/>
        <v>4.1353187815081618E-3</v>
      </c>
      <c r="AX119">
        <f t="shared" si="379"/>
        <v>1.2902665229033456E-2</v>
      </c>
      <c r="AY119">
        <f t="shared" si="380"/>
        <v>14.788239654767766</v>
      </c>
      <c r="AZ119">
        <f t="shared" si="551"/>
        <v>3.680067274402841E-6</v>
      </c>
      <c r="BA119">
        <f t="shared" si="514"/>
        <v>6.0585259231641465E-2</v>
      </c>
      <c r="BB119">
        <f t="shared" si="381"/>
        <v>6429.83146922785</v>
      </c>
      <c r="BC119">
        <f t="shared" si="515"/>
        <v>3.1540665741889494E-6</v>
      </c>
      <c r="BD119">
        <f>$G$24*AW119*AY119*(AZ119-BC119)</f>
        <v>5.9594365886530437E-4</v>
      </c>
      <c r="BE119">
        <f t="shared" si="383"/>
        <v>0.30587546929238268</v>
      </c>
      <c r="BG119">
        <f t="shared" si="384"/>
        <v>9.2038146231551199</v>
      </c>
      <c r="BH119">
        <f t="shared" si="385"/>
        <v>0.68</v>
      </c>
      <c r="BI119">
        <f t="shared" si="321"/>
        <v>106128.645</v>
      </c>
      <c r="BJ119">
        <f t="shared" si="322"/>
        <v>5.2349700289879755E-3</v>
      </c>
      <c r="BK119">
        <f t="shared" si="386"/>
        <v>4.1353187815081618E-3</v>
      </c>
      <c r="BL119">
        <f t="shared" si="387"/>
        <v>1.2902665229033456E-2</v>
      </c>
      <c r="BM119">
        <f t="shared" si="388"/>
        <v>14.788239654767766</v>
      </c>
      <c r="BN119">
        <f t="shared" si="552"/>
        <v>3.5620764471020848E-6</v>
      </c>
      <c r="BO119">
        <f t="shared" si="516"/>
        <v>5.7487693468400741E-2</v>
      </c>
      <c r="BP119">
        <f t="shared" si="389"/>
        <v>6101.0910119767213</v>
      </c>
      <c r="BQ119">
        <f t="shared" si="517"/>
        <v>3.0723791751082732E-6</v>
      </c>
      <c r="BR119">
        <f t="shared" si="390"/>
        <v>5.5481291924075449E-4</v>
      </c>
      <c r="BS119">
        <f t="shared" si="391"/>
        <v>0.29606844757735939</v>
      </c>
      <c r="BU119">
        <f t="shared" si="392"/>
        <v>11.101508359888134</v>
      </c>
      <c r="BV119">
        <f t="shared" si="393"/>
        <v>0.68</v>
      </c>
      <c r="BW119">
        <f t="shared" si="323"/>
        <v>106128.645</v>
      </c>
      <c r="BX119">
        <f t="shared" si="324"/>
        <v>5.2349700289879755E-3</v>
      </c>
      <c r="BY119">
        <f t="shared" si="394"/>
        <v>4.1353187815081618E-3</v>
      </c>
      <c r="BZ119">
        <f t="shared" si="395"/>
        <v>1.2902665229033456E-2</v>
      </c>
      <c r="CA119">
        <f t="shared" si="396"/>
        <v>14.788239654767766</v>
      </c>
      <c r="CB119">
        <f t="shared" si="553"/>
        <v>3.4501979180833073E-6</v>
      </c>
      <c r="CC119">
        <f t="shared" si="518"/>
        <v>5.4591231551957962E-2</v>
      </c>
      <c r="CD119">
        <f t="shared" si="397"/>
        <v>5793.6934334905454</v>
      </c>
      <c r="CE119">
        <f t="shared" si="519"/>
        <v>2.9939794603992736E-6</v>
      </c>
      <c r="CF119">
        <f t="shared" si="398"/>
        <v>5.1688238590471875E-4</v>
      </c>
      <c r="CG119">
        <f t="shared" si="399"/>
        <v>0.28676946062530345</v>
      </c>
      <c r="CI119">
        <f t="shared" si="400"/>
        <v>12.999202096621149</v>
      </c>
      <c r="CJ119">
        <f t="shared" si="401"/>
        <v>0.68</v>
      </c>
      <c r="CK119">
        <f t="shared" si="325"/>
        <v>106128.645</v>
      </c>
      <c r="CL119">
        <f t="shared" si="326"/>
        <v>5.2349700289879755E-3</v>
      </c>
      <c r="CM119">
        <f t="shared" si="402"/>
        <v>4.1353187815081618E-3</v>
      </c>
      <c r="CN119">
        <f t="shared" si="403"/>
        <v>1.2902665229033456E-2</v>
      </c>
      <c r="CO119">
        <f t="shared" si="404"/>
        <v>14.788239654767766</v>
      </c>
      <c r="CP119">
        <f t="shared" si="554"/>
        <v>3.3440304500774567E-6</v>
      </c>
      <c r="CQ119">
        <f t="shared" si="520"/>
        <v>5.1880674384685459E-2</v>
      </c>
      <c r="CR119">
        <f t="shared" si="405"/>
        <v>5506.0256741328767</v>
      </c>
      <c r="CS119">
        <f t="shared" si="521"/>
        <v>2.9187048316707022E-6</v>
      </c>
      <c r="CT119">
        <f t="shared" si="406"/>
        <v>4.8188168787493825E-4</v>
      </c>
      <c r="CU119">
        <f t="shared" si="407"/>
        <v>0.27794515887252014</v>
      </c>
      <c r="CW119">
        <f t="shared" si="408"/>
        <v>14.896895833354163</v>
      </c>
      <c r="CX119">
        <f t="shared" si="409"/>
        <v>0.68</v>
      </c>
      <c r="CY119">
        <f t="shared" si="327"/>
        <v>106128.645</v>
      </c>
      <c r="CZ119">
        <f t="shared" si="328"/>
        <v>5.2349700289879755E-3</v>
      </c>
      <c r="DA119">
        <f t="shared" si="410"/>
        <v>4.1353187815081618E-3</v>
      </c>
      <c r="DB119">
        <f t="shared" si="411"/>
        <v>1.2902665229033456E-2</v>
      </c>
      <c r="DC119">
        <f t="shared" si="412"/>
        <v>14.788239654767766</v>
      </c>
      <c r="DD119">
        <f t="shared" si="555"/>
        <v>3.243203360112284E-6</v>
      </c>
      <c r="DE119">
        <f t="shared" si="522"/>
        <v>4.9342101193014472E-2</v>
      </c>
      <c r="DF119">
        <f t="shared" si="413"/>
        <v>5236.6103410675096</v>
      </c>
      <c r="DG119">
        <f t="shared" si="523"/>
        <v>2.8464017024365125E-6</v>
      </c>
      <c r="DH119">
        <f t="shared" si="414"/>
        <v>4.4956486107900439E-4</v>
      </c>
      <c r="DI119">
        <f t="shared" si="415"/>
        <v>0.26956473233113659</v>
      </c>
      <c r="DK119">
        <f t="shared" si="416"/>
        <v>16.794589570087176</v>
      </c>
      <c r="DL119">
        <f t="shared" si="417"/>
        <v>0.68</v>
      </c>
      <c r="DM119">
        <f t="shared" si="329"/>
        <v>106128.645</v>
      </c>
      <c r="DN119">
        <f t="shared" si="330"/>
        <v>5.2349700289879755E-3</v>
      </c>
      <c r="DO119">
        <f t="shared" si="418"/>
        <v>4.1353187815081618E-3</v>
      </c>
      <c r="DP119">
        <f t="shared" si="419"/>
        <v>1.2902665229033456E-2</v>
      </c>
      <c r="DQ119">
        <f t="shared" si="420"/>
        <v>14.788239654767766</v>
      </c>
      <c r="DR119">
        <f t="shared" si="556"/>
        <v>3.1473739379646163E-6</v>
      </c>
      <c r="DS119">
        <f t="shared" si="524"/>
        <v>4.6962753227519007E-2</v>
      </c>
      <c r="DT119">
        <f t="shared" si="421"/>
        <v>4984.0933655059689</v>
      </c>
      <c r="DU119">
        <f t="shared" si="525"/>
        <v>2.7769249695698587E-6</v>
      </c>
      <c r="DV119">
        <f t="shared" si="422"/>
        <v>4.1970802236247464E-4</v>
      </c>
      <c r="DW119">
        <f t="shared" si="423"/>
        <v>0.2615996960190784</v>
      </c>
      <c r="DY119">
        <f t="shared" si="424"/>
        <v>18.69228330682019</v>
      </c>
      <c r="DZ119">
        <f t="shared" si="425"/>
        <v>0.68</v>
      </c>
      <c r="EA119">
        <f t="shared" si="331"/>
        <v>106128.645</v>
      </c>
      <c r="EB119">
        <f t="shared" si="332"/>
        <v>5.2349700289879755E-3</v>
      </c>
      <c r="EC119">
        <f t="shared" si="426"/>
        <v>4.1353187815081618E-3</v>
      </c>
      <c r="ED119">
        <f t="shared" si="427"/>
        <v>1.2902665229033456E-2</v>
      </c>
      <c r="EE119">
        <f t="shared" si="428"/>
        <v>14.788239654767766</v>
      </c>
      <c r="EF119">
        <f t="shared" si="557"/>
        <v>3.0562251000796821E-6</v>
      </c>
      <c r="EG119">
        <f t="shared" si="526"/>
        <v>4.4730928680089717E-2</v>
      </c>
      <c r="EH119">
        <f t="shared" si="429"/>
        <v>4747.2328504095603</v>
      </c>
      <c r="EI119">
        <f t="shared" si="527"/>
        <v>2.710137515968386E-6</v>
      </c>
      <c r="EJ119">
        <f t="shared" si="430"/>
        <v>3.9210727491288721E-4</v>
      </c>
      <c r="EK119">
        <f t="shared" si="431"/>
        <v>0.25402369496131683</v>
      </c>
      <c r="EM119">
        <f t="shared" si="432"/>
        <v>20.589977043553205</v>
      </c>
      <c r="EN119">
        <f t="shared" si="433"/>
        <v>0.68</v>
      </c>
      <c r="EO119">
        <f t="shared" si="333"/>
        <v>106128.645</v>
      </c>
      <c r="EP119">
        <f t="shared" si="334"/>
        <v>5.2349700289879755E-3</v>
      </c>
      <c r="EQ119">
        <f t="shared" si="434"/>
        <v>4.1353187815081618E-3</v>
      </c>
      <c r="ER119">
        <f t="shared" si="435"/>
        <v>1.2902665229033456E-2</v>
      </c>
      <c r="ES119">
        <f t="shared" si="436"/>
        <v>14.788239654767766</v>
      </c>
      <c r="ET119">
        <f t="shared" si="558"/>
        <v>2.9694632562158369E-6</v>
      </c>
      <c r="EU119">
        <f t="shared" si="528"/>
        <v>4.2635887689020914E-2</v>
      </c>
      <c r="EV119">
        <f t="shared" si="437"/>
        <v>4524.8889888079711</v>
      </c>
      <c r="EW119">
        <f t="shared" si="529"/>
        <v>2.6459097426796414E-6</v>
      </c>
      <c r="EX119">
        <f t="shared" si="438"/>
        <v>3.6657682131806561E-4</v>
      </c>
      <c r="EY119">
        <f t="shared" si="439"/>
        <v>0.24681232687217439</v>
      </c>
      <c r="FA119">
        <f t="shared" si="440"/>
        <v>22.487670780286219</v>
      </c>
      <c r="FB119">
        <f t="shared" si="441"/>
        <v>0.68</v>
      </c>
      <c r="FC119">
        <f t="shared" si="335"/>
        <v>106128.645</v>
      </c>
      <c r="FD119">
        <f t="shared" si="336"/>
        <v>5.2349700289879755E-3</v>
      </c>
      <c r="FE119">
        <f t="shared" si="442"/>
        <v>4.1353187815081618E-3</v>
      </c>
      <c r="FF119">
        <f t="shared" si="443"/>
        <v>1.2902665229033456E-2</v>
      </c>
      <c r="FG119">
        <f t="shared" si="444"/>
        <v>14.788239654767766</v>
      </c>
      <c r="FH119">
        <f t="shared" si="559"/>
        <v>2.8868163683640159E-6</v>
      </c>
      <c r="FI119">
        <f t="shared" si="530"/>
        <v>4.0667766419947106E-2</v>
      </c>
      <c r="FJ119">
        <f t="shared" si="445"/>
        <v>4316.0149453254871</v>
      </c>
      <c r="FK119">
        <f t="shared" si="531"/>
        <v>2.5841191288206139E-6</v>
      </c>
      <c r="FL119">
        <f t="shared" si="446"/>
        <v>3.4294726297620697E-4</v>
      </c>
      <c r="FM119">
        <f t="shared" si="447"/>
        <v>0.23994298081889259</v>
      </c>
      <c r="FO119">
        <f t="shared" si="448"/>
        <v>24.385364517019234</v>
      </c>
      <c r="FP119">
        <f t="shared" si="449"/>
        <v>0.68</v>
      </c>
      <c r="FQ119">
        <f t="shared" si="337"/>
        <v>106128.645</v>
      </c>
      <c r="FR119">
        <f t="shared" si="338"/>
        <v>5.2349700289879755E-3</v>
      </c>
      <c r="FS119">
        <f t="shared" si="450"/>
        <v>4.1353187815081618E-3</v>
      </c>
      <c r="FT119">
        <f t="shared" si="451"/>
        <v>1.2902665229033456E-2</v>
      </c>
      <c r="FU119">
        <f t="shared" si="452"/>
        <v>14.788239654767766</v>
      </c>
      <c r="FV119">
        <f t="shared" si="560"/>
        <v>2.8080321835444995E-6</v>
      </c>
      <c r="FW119">
        <f t="shared" si="532"/>
        <v>3.8817499315307799E-2</v>
      </c>
      <c r="FX119">
        <f t="shared" si="453"/>
        <v>4119.6486046220443</v>
      </c>
      <c r="FY119">
        <f t="shared" si="533"/>
        <v>2.524649817707719E-6</v>
      </c>
      <c r="FZ119">
        <f t="shared" si="454"/>
        <v>3.2106406680828419E-4</v>
      </c>
      <c r="GA119">
        <f t="shared" si="455"/>
        <v>0.23339469033732857</v>
      </c>
      <c r="GC119">
        <f t="shared" si="456"/>
        <v>26.283058253752248</v>
      </c>
      <c r="GD119">
        <f t="shared" si="457"/>
        <v>0.68</v>
      </c>
      <c r="GE119">
        <f t="shared" si="339"/>
        <v>106128.645</v>
      </c>
      <c r="GF119">
        <f t="shared" si="340"/>
        <v>5.2349700289879755E-3</v>
      </c>
      <c r="GG119">
        <f t="shared" si="458"/>
        <v>4.1353187815081618E-3</v>
      </c>
      <c r="GH119">
        <f t="shared" si="459"/>
        <v>1.2902665229033456E-2</v>
      </c>
      <c r="GI119">
        <f t="shared" si="460"/>
        <v>14.788239654767766</v>
      </c>
      <c r="GJ119">
        <f t="shared" si="561"/>
        <v>2.7328766239242228E-6</v>
      </c>
      <c r="GK119">
        <f t="shared" si="534"/>
        <v>3.707674869870043E-2</v>
      </c>
      <c r="GL119">
        <f t="shared" si="461"/>
        <v>3934.9051003985901</v>
      </c>
      <c r="GM119">
        <f t="shared" si="535"/>
        <v>2.4673922276928358E-6</v>
      </c>
      <c r="GN119">
        <f t="shared" si="462"/>
        <v>3.0078618221885122E-4</v>
      </c>
      <c r="GO119">
        <f t="shared" si="463"/>
        <v>0.22714799962363391</v>
      </c>
      <c r="GQ119">
        <f t="shared" si="464"/>
        <v>28.180751990485263</v>
      </c>
      <c r="GR119">
        <f t="shared" si="465"/>
        <v>0.68</v>
      </c>
      <c r="GS119">
        <f t="shared" si="341"/>
        <v>106128.645</v>
      </c>
      <c r="GT119">
        <f t="shared" si="342"/>
        <v>5.2349700289879755E-3</v>
      </c>
      <c r="GU119">
        <f t="shared" si="466"/>
        <v>4.1353187815081618E-3</v>
      </c>
      <c r="GV119">
        <f t="shared" si="467"/>
        <v>1.2902665229033456E-2</v>
      </c>
      <c r="GW119">
        <f t="shared" si="468"/>
        <v>14.788239654767766</v>
      </c>
      <c r="GX119">
        <f t="shared" si="562"/>
        <v>2.6611323193484069E-6</v>
      </c>
      <c r="GY119">
        <f t="shared" si="536"/>
        <v>3.5437841004289504E-2</v>
      </c>
      <c r="GZ119">
        <f t="shared" si="469"/>
        <v>3760.9700475106843</v>
      </c>
      <c r="HA119">
        <f t="shared" si="537"/>
        <v>2.4122426862775918E-6</v>
      </c>
      <c r="HB119">
        <f t="shared" si="470"/>
        <v>2.8198479303459187E-4</v>
      </c>
      <c r="HC119">
        <f t="shared" si="471"/>
        <v>0.22118484156295845</v>
      </c>
      <c r="HE119">
        <f t="shared" si="472"/>
        <v>30.078445727218277</v>
      </c>
      <c r="HF119">
        <f t="shared" si="473"/>
        <v>0.68</v>
      </c>
      <c r="HG119">
        <f t="shared" si="343"/>
        <v>106128.645</v>
      </c>
      <c r="HH119">
        <f t="shared" si="344"/>
        <v>5.2349700289879755E-3</v>
      </c>
      <c r="HI119">
        <f t="shared" si="568"/>
        <v>4.1353187815081618E-3</v>
      </c>
      <c r="HJ119">
        <f t="shared" si="474"/>
        <v>1.2902665229033456E-2</v>
      </c>
      <c r="HK119">
        <f t="shared" si="475"/>
        <v>14.788239654767766</v>
      </c>
      <c r="HL119">
        <f t="shared" si="563"/>
        <v>2.5925972688606399E-6</v>
      </c>
      <c r="HM119">
        <f t="shared" si="538"/>
        <v>3.3893708976418857E-2</v>
      </c>
      <c r="HN119">
        <f t="shared" si="476"/>
        <v>3597.0934076916706</v>
      </c>
      <c r="HO119">
        <f t="shared" si="539"/>
        <v>2.359103086151665E-6</v>
      </c>
      <c r="HP119">
        <f t="shared" si="477"/>
        <v>2.6454219074378989E-4</v>
      </c>
      <c r="HQ119">
        <f t="shared" si="478"/>
        <v>0.21548842647926286</v>
      </c>
      <c r="HS119">
        <f t="shared" si="479"/>
        <v>31.976139463951295</v>
      </c>
      <c r="HT119">
        <f t="shared" si="480"/>
        <v>0.68</v>
      </c>
      <c r="HU119">
        <f t="shared" si="345"/>
        <v>106128.645</v>
      </c>
      <c r="HV119">
        <f t="shared" si="346"/>
        <v>5.2349700289879755E-3</v>
      </c>
      <c r="HW119">
        <f t="shared" si="569"/>
        <v>4.1353187815081618E-3</v>
      </c>
      <c r="HX119">
        <f t="shared" si="481"/>
        <v>1.2902665229033456E-2</v>
      </c>
      <c r="HY119">
        <f t="shared" si="482"/>
        <v>14.788239654767766</v>
      </c>
      <c r="HZ119">
        <f t="shared" si="564"/>
        <v>2.5270836191138915E-6</v>
      </c>
      <c r="IA119">
        <f t="shared" si="540"/>
        <v>3.2437839251671922E-2</v>
      </c>
      <c r="IB119">
        <f t="shared" si="483"/>
        <v>3442.5839265077552</v>
      </c>
      <c r="IC119">
        <f t="shared" si="541"/>
        <v>2.3078805618718015E-6</v>
      </c>
      <c r="ID119">
        <f t="shared" si="484"/>
        <v>2.4835075678452843E-4</v>
      </c>
      <c r="IE119">
        <f t="shared" si="485"/>
        <v>0.21004314060073359</v>
      </c>
      <c r="IG119">
        <f t="shared" si="486"/>
        <v>33.873833200684309</v>
      </c>
      <c r="IH119">
        <f t="shared" si="487"/>
        <v>0.68</v>
      </c>
      <c r="II119">
        <f t="shared" si="347"/>
        <v>106128.645</v>
      </c>
      <c r="IJ119">
        <f t="shared" si="348"/>
        <v>5.2349700289879755E-3</v>
      </c>
      <c r="IK119">
        <f t="shared" si="570"/>
        <v>4.1353187815081618E-3</v>
      </c>
      <c r="IL119">
        <f t="shared" si="488"/>
        <v>1.2902665229033456E-2</v>
      </c>
      <c r="IM119">
        <f t="shared" si="489"/>
        <v>14.788239654767766</v>
      </c>
      <c r="IN119">
        <f t="shared" si="565"/>
        <v>2.4644165487669667E-6</v>
      </c>
      <c r="IO119">
        <f t="shared" si="542"/>
        <v>3.1064224795674021E-2</v>
      </c>
      <c r="IP119">
        <f t="shared" si="490"/>
        <v>3296.804085540286</v>
      </c>
      <c r="IQ119">
        <f t="shared" si="543"/>
        <v>2.2584871859662296E-6</v>
      </c>
      <c r="IR119">
        <f t="shared" si="491"/>
        <v>2.3331204290292479E-4</v>
      </c>
      <c r="IS119">
        <f t="shared" si="492"/>
        <v>0.20483445333436975</v>
      </c>
      <c r="IU119">
        <f t="shared" si="493"/>
        <v>35.771526937417327</v>
      </c>
      <c r="IV119">
        <f t="shared" si="494"/>
        <v>0.68</v>
      </c>
      <c r="IW119">
        <f t="shared" si="349"/>
        <v>106128.645</v>
      </c>
      <c r="IX119">
        <f t="shared" si="350"/>
        <v>5.2349700289879755E-3</v>
      </c>
      <c r="IY119">
        <f t="shared" si="571"/>
        <v>4.1353187815081618E-3</v>
      </c>
      <c r="IZ119">
        <f t="shared" si="495"/>
        <v>1.2902665229033456E-2</v>
      </c>
      <c r="JA119">
        <f t="shared" si="496"/>
        <v>14.788239654767766</v>
      </c>
      <c r="JB119">
        <f t="shared" si="566"/>
        <v>2.4044332490311759E-6</v>
      </c>
      <c r="JC119">
        <f t="shared" si="544"/>
        <v>2.9767321720689337E-2</v>
      </c>
      <c r="JD119">
        <f t="shared" si="497"/>
        <v>3159.165519495828</v>
      </c>
      <c r="JE119">
        <f t="shared" si="545"/>
        <v>2.2108396833145098E-6</v>
      </c>
      <c r="JF119">
        <f t="shared" si="498"/>
        <v>2.1933593974125245E-4</v>
      </c>
      <c r="JG119">
        <f t="shared" si="499"/>
        <v>0.19984883253226965</v>
      </c>
      <c r="JI119">
        <f t="shared" si="500"/>
        <v>37.669220674150338</v>
      </c>
      <c r="JJ119">
        <f t="shared" si="501"/>
        <v>0.68</v>
      </c>
      <c r="JK119">
        <f t="shared" si="351"/>
        <v>106128.645</v>
      </c>
      <c r="JL119">
        <f t="shared" si="352"/>
        <v>5.2349700289879755E-3</v>
      </c>
      <c r="JM119">
        <f t="shared" si="572"/>
        <v>4.1353187815081618E-3</v>
      </c>
      <c r="JN119">
        <f t="shared" si="502"/>
        <v>1.2902665229033456E-2</v>
      </c>
      <c r="JO119">
        <f t="shared" si="503"/>
        <v>14.788239654767766</v>
      </c>
      <c r="JP119">
        <f t="shared" si="567"/>
        <v>2.3469819914931432E-6</v>
      </c>
      <c r="JQ119">
        <f t="shared" si="546"/>
        <v>2.8542010058193405E-2</v>
      </c>
      <c r="JR119">
        <f t="shared" si="504"/>
        <v>3029.1248530524372</v>
      </c>
      <c r="JS119">
        <f t="shared" si="547"/>
        <v>2.1648591627153182E-6</v>
      </c>
      <c r="JT119">
        <f t="shared" si="505"/>
        <v>2.0633992483398212E-4</v>
      </c>
      <c r="JU119">
        <f t="shared" si="506"/>
        <v>0.19507366701203202</v>
      </c>
    </row>
    <row r="120" spans="2:281">
      <c r="B120">
        <v>0.86</v>
      </c>
      <c r="C120">
        <f t="shared" si="353"/>
        <v>1.6320166135903924</v>
      </c>
      <c r="D120">
        <f t="shared" si="354"/>
        <v>0.68800000000000006</v>
      </c>
      <c r="E120">
        <f t="shared" si="313"/>
        <v>105944.217</v>
      </c>
      <c r="F120">
        <f t="shared" si="314"/>
        <v>5.2380059516873214E-3</v>
      </c>
      <c r="G120">
        <f t="shared" si="355"/>
        <v>4.1341202025132239E-3</v>
      </c>
      <c r="H120">
        <f t="shared" si="356"/>
        <v>1.2925126226058525E-2</v>
      </c>
      <c r="I120">
        <f t="shared" si="357"/>
        <v>14.805396952893815</v>
      </c>
      <c r="J120">
        <f t="shared" si="548"/>
        <v>4.0744862801281314E-6</v>
      </c>
      <c r="K120">
        <f t="shared" si="507"/>
        <v>7.1657493132644967E-2</v>
      </c>
      <c r="L120">
        <f t="shared" si="358"/>
        <v>7591.6970021209481</v>
      </c>
      <c r="M120">
        <f t="shared" si="508"/>
        <v>3.4272082464332548E-6</v>
      </c>
      <c r="N120">
        <f t="shared" si="509"/>
        <v>7.3398541729849506E-4</v>
      </c>
      <c r="O120">
        <f t="shared" si="359"/>
        <v>0.33865832065849927</v>
      </c>
      <c r="Q120">
        <f t="shared" si="360"/>
        <v>3.5297103503234069</v>
      </c>
      <c r="R120">
        <f t="shared" si="361"/>
        <v>0.68800000000000006</v>
      </c>
      <c r="S120">
        <f t="shared" si="315"/>
        <v>105944.217</v>
      </c>
      <c r="T120">
        <f t="shared" si="316"/>
        <v>5.2380059516873214E-3</v>
      </c>
      <c r="U120">
        <f t="shared" si="362"/>
        <v>4.1341202025132239E-3</v>
      </c>
      <c r="V120">
        <f t="shared" si="363"/>
        <v>1.2925126226058525E-2</v>
      </c>
      <c r="W120">
        <f t="shared" si="364"/>
        <v>14.805396952893815</v>
      </c>
      <c r="X120">
        <f t="shared" si="549"/>
        <v>3.9354551098211497E-6</v>
      </c>
      <c r="Y120">
        <f t="shared" si="510"/>
        <v>6.7822307117839237E-2</v>
      </c>
      <c r="Z120">
        <f t="shared" si="365"/>
        <v>7185.3812227330045</v>
      </c>
      <c r="AA120">
        <f t="shared" si="511"/>
        <v>3.3342331749917041E-6</v>
      </c>
      <c r="AB120">
        <f t="shared" si="366"/>
        <v>6.817597844403601E-4</v>
      </c>
      <c r="AC120">
        <f t="shared" si="367"/>
        <v>0.32710249265510555</v>
      </c>
      <c r="AE120">
        <f t="shared" si="368"/>
        <v>5.4274040870564209</v>
      </c>
      <c r="AF120">
        <f t="shared" si="369"/>
        <v>0.68800000000000006</v>
      </c>
      <c r="AG120">
        <f t="shared" si="317"/>
        <v>105944.217</v>
      </c>
      <c r="AH120">
        <f t="shared" si="318"/>
        <v>5.2380059516873214E-3</v>
      </c>
      <c r="AI120">
        <f t="shared" si="370"/>
        <v>4.1341202025132239E-3</v>
      </c>
      <c r="AJ120">
        <f t="shared" si="371"/>
        <v>1.2925126226058525E-2</v>
      </c>
      <c r="AK120">
        <f t="shared" si="372"/>
        <v>14.805396952893815</v>
      </c>
      <c r="AL120">
        <f t="shared" si="550"/>
        <v>3.8039488876221988E-6</v>
      </c>
      <c r="AM120">
        <f t="shared" si="512"/>
        <v>6.4245102120924755E-2</v>
      </c>
      <c r="AN120">
        <f t="shared" si="373"/>
        <v>6806.3970402864124</v>
      </c>
      <c r="AO120">
        <f t="shared" si="513"/>
        <v>3.245112076758052E-6</v>
      </c>
      <c r="AP120">
        <f t="shared" si="374"/>
        <v>6.3369687904044753E-4</v>
      </c>
      <c r="AQ120">
        <f t="shared" si="375"/>
        <v>0.31617211436833914</v>
      </c>
      <c r="AS120">
        <f t="shared" si="376"/>
        <v>7.3250978237894353</v>
      </c>
      <c r="AT120">
        <f t="shared" si="377"/>
        <v>0.68800000000000006</v>
      </c>
      <c r="AU120">
        <f t="shared" si="319"/>
        <v>105944.217</v>
      </c>
      <c r="AV120">
        <f t="shared" si="320"/>
        <v>5.2380059516873214E-3</v>
      </c>
      <c r="AW120">
        <f t="shared" si="378"/>
        <v>4.1341202025132239E-3</v>
      </c>
      <c r="AX120">
        <f t="shared" si="379"/>
        <v>1.2925126226058525E-2</v>
      </c>
      <c r="AY120">
        <f t="shared" si="380"/>
        <v>14.805396952893815</v>
      </c>
      <c r="AZ120">
        <f t="shared" si="551"/>
        <v>3.6794568415196747E-6</v>
      </c>
      <c r="BA120">
        <f t="shared" si="514"/>
        <v>6.0905820507052039E-2</v>
      </c>
      <c r="BB120">
        <f t="shared" si="381"/>
        <v>6452.6194643621711</v>
      </c>
      <c r="BC120">
        <f t="shared" si="515"/>
        <v>3.1596508016831191E-6</v>
      </c>
      <c r="BD120">
        <f t="shared" si="382"/>
        <v>5.8943766542765715E-4</v>
      </c>
      <c r="BE120">
        <f t="shared" si="383"/>
        <v>0.30582473205561839</v>
      </c>
      <c r="BG120">
        <f t="shared" si="384"/>
        <v>9.2227915605224506</v>
      </c>
      <c r="BH120">
        <f t="shared" si="385"/>
        <v>0.68800000000000006</v>
      </c>
      <c r="BI120">
        <f t="shared" si="321"/>
        <v>105944.217</v>
      </c>
      <c r="BJ120">
        <f t="shared" si="322"/>
        <v>5.2380059516873214E-3</v>
      </c>
      <c r="BK120">
        <f t="shared" si="386"/>
        <v>4.1341202025132239E-3</v>
      </c>
      <c r="BL120">
        <f t="shared" si="387"/>
        <v>1.2925126226058525E-2</v>
      </c>
      <c r="BM120">
        <f t="shared" si="388"/>
        <v>14.805396952893815</v>
      </c>
      <c r="BN120">
        <f t="shared" si="552"/>
        <v>3.5615081449733988E-6</v>
      </c>
      <c r="BO120">
        <f t="shared" si="516"/>
        <v>5.7786130299400378E-2</v>
      </c>
      <c r="BP120">
        <f t="shared" si="389"/>
        <v>6122.1063280299486</v>
      </c>
      <c r="BQ120">
        <f t="shared" si="517"/>
        <v>3.0776660585743638E-6</v>
      </c>
      <c r="BR120">
        <f t="shared" si="390"/>
        <v>5.4865609089953769E-4</v>
      </c>
      <c r="BS120">
        <f t="shared" si="391"/>
        <v>0.29602121211470334</v>
      </c>
      <c r="BU120">
        <f t="shared" si="392"/>
        <v>11.120485297255465</v>
      </c>
      <c r="BV120">
        <f t="shared" si="393"/>
        <v>0.68800000000000006</v>
      </c>
      <c r="BW120">
        <f t="shared" si="323"/>
        <v>105944.217</v>
      </c>
      <c r="BX120">
        <f t="shared" si="324"/>
        <v>5.2380059516873214E-3</v>
      </c>
      <c r="BY120">
        <f t="shared" si="394"/>
        <v>4.1341202025132239E-3</v>
      </c>
      <c r="BZ120">
        <f t="shared" si="395"/>
        <v>1.2925126226058525E-2</v>
      </c>
      <c r="CA120">
        <f t="shared" si="396"/>
        <v>14.805396952893815</v>
      </c>
      <c r="CB120">
        <f t="shared" si="553"/>
        <v>3.44966846869595E-6</v>
      </c>
      <c r="CC120">
        <f t="shared" si="518"/>
        <v>5.4869265346592797E-2</v>
      </c>
      <c r="CD120">
        <f t="shared" si="397"/>
        <v>5813.0813545100073</v>
      </c>
      <c r="CE120">
        <f t="shared" si="519"/>
        <v>2.9989847784358176E-6</v>
      </c>
      <c r="CF120">
        <f t="shared" si="398"/>
        <v>5.11055897535902E-4</v>
      </c>
      <c r="CG120">
        <f t="shared" si="399"/>
        <v>0.28672545447874442</v>
      </c>
      <c r="CI120">
        <f t="shared" si="400"/>
        <v>13.01817903398848</v>
      </c>
      <c r="CJ120">
        <f t="shared" si="401"/>
        <v>0.68800000000000006</v>
      </c>
      <c r="CK120">
        <f t="shared" si="325"/>
        <v>105944.217</v>
      </c>
      <c r="CL120">
        <f t="shared" si="326"/>
        <v>5.2380059516873214E-3</v>
      </c>
      <c r="CM120">
        <f t="shared" si="402"/>
        <v>4.1341202025132239E-3</v>
      </c>
      <c r="CN120">
        <f t="shared" si="403"/>
        <v>1.2925126226058525E-2</v>
      </c>
      <c r="CO120">
        <f t="shared" si="404"/>
        <v>14.805396952893815</v>
      </c>
      <c r="CP120">
        <f t="shared" si="554"/>
        <v>3.3435368523628093E-6</v>
      </c>
      <c r="CQ120">
        <f t="shared" si="520"/>
        <v>5.2139881117006966E-2</v>
      </c>
      <c r="CR120">
        <f t="shared" si="405"/>
        <v>5523.9188794143884</v>
      </c>
      <c r="CS120">
        <f t="shared" si="521"/>
        <v>2.9234435149849895E-6</v>
      </c>
      <c r="CT120">
        <f t="shared" si="406"/>
        <v>4.7636775464085572E-4</v>
      </c>
      <c r="CU120">
        <f t="shared" si="407"/>
        <v>0.27790413260279412</v>
      </c>
      <c r="CW120">
        <f t="shared" si="408"/>
        <v>14.915872770721494</v>
      </c>
      <c r="CX120">
        <f t="shared" si="409"/>
        <v>0.68800000000000006</v>
      </c>
      <c r="CY120">
        <f t="shared" si="327"/>
        <v>105944.217</v>
      </c>
      <c r="CZ120">
        <f t="shared" si="328"/>
        <v>5.2380059516873214E-3</v>
      </c>
      <c r="DA120">
        <f t="shared" si="410"/>
        <v>4.1341202025132239E-3</v>
      </c>
      <c r="DB120">
        <f t="shared" si="411"/>
        <v>1.2925126226058525E-2</v>
      </c>
      <c r="DC120">
        <f t="shared" si="412"/>
        <v>14.805396952893815</v>
      </c>
      <c r="DD120">
        <f t="shared" si="555"/>
        <v>3.2427428649459435E-6</v>
      </c>
      <c r="DE120">
        <f t="shared" si="522"/>
        <v>4.9583924531686564E-2</v>
      </c>
      <c r="DF120">
        <f t="shared" si="413"/>
        <v>5253.1300602966248</v>
      </c>
      <c r="DG120">
        <f t="shared" si="523"/>
        <v>2.8508878803126582E-6</v>
      </c>
      <c r="DH120">
        <f t="shared" si="414"/>
        <v>4.4434667862085643E-4</v>
      </c>
      <c r="DI120">
        <f t="shared" si="415"/>
        <v>0.26952645743978038</v>
      </c>
      <c r="DK120">
        <f t="shared" si="416"/>
        <v>16.813566507454507</v>
      </c>
      <c r="DL120">
        <f t="shared" si="417"/>
        <v>0.68800000000000006</v>
      </c>
      <c r="DM120">
        <f t="shared" si="329"/>
        <v>105944.217</v>
      </c>
      <c r="DN120">
        <f t="shared" si="330"/>
        <v>5.2380059516873214E-3</v>
      </c>
      <c r="DO120">
        <f t="shared" si="418"/>
        <v>4.1341202025132239E-3</v>
      </c>
      <c r="DP120">
        <f t="shared" si="419"/>
        <v>1.2925126226058525E-2</v>
      </c>
      <c r="DQ120">
        <f t="shared" si="420"/>
        <v>14.805396952893815</v>
      </c>
      <c r="DR120">
        <f t="shared" si="556"/>
        <v>3.1469440255486226E-6</v>
      </c>
      <c r="DS120">
        <f t="shared" si="524"/>
        <v>4.7188516413261675E-2</v>
      </c>
      <c r="DT120">
        <f t="shared" si="421"/>
        <v>4999.3504227946569</v>
      </c>
      <c r="DU120">
        <f t="shared" si="525"/>
        <v>2.7811720137462781E-6</v>
      </c>
      <c r="DV120">
        <f t="shared" si="422"/>
        <v>4.1476971060848612E-4</v>
      </c>
      <c r="DW120">
        <f t="shared" si="423"/>
        <v>0.26156396306851215</v>
      </c>
      <c r="DY120">
        <f t="shared" si="424"/>
        <v>18.711260244187521</v>
      </c>
      <c r="DZ120">
        <f t="shared" si="425"/>
        <v>0.68800000000000006</v>
      </c>
      <c r="EA120">
        <f t="shared" si="331"/>
        <v>105944.217</v>
      </c>
      <c r="EB120">
        <f t="shared" si="332"/>
        <v>5.2380059516873214E-3</v>
      </c>
      <c r="EC120">
        <f t="shared" si="426"/>
        <v>4.1341202025132239E-3</v>
      </c>
      <c r="ED120">
        <f t="shared" si="427"/>
        <v>1.2925126226058525E-2</v>
      </c>
      <c r="EE120">
        <f t="shared" si="428"/>
        <v>14.805396952893815</v>
      </c>
      <c r="EF120">
        <f t="shared" si="557"/>
        <v>3.055823459470247E-6</v>
      </c>
      <c r="EG120">
        <f t="shared" si="526"/>
        <v>4.4941845276439067E-2</v>
      </c>
      <c r="EH120">
        <f t="shared" si="429"/>
        <v>4761.3286083474859</v>
      </c>
      <c r="EI120">
        <f t="shared" si="527"/>
        <v>2.7141580820693745E-6</v>
      </c>
      <c r="EJ120">
        <f t="shared" si="430"/>
        <v>3.8743382527058274E-4</v>
      </c>
      <c r="EK120">
        <f t="shared" si="431"/>
        <v>0.25399031187325422</v>
      </c>
      <c r="EM120">
        <f t="shared" si="432"/>
        <v>20.608953980920536</v>
      </c>
      <c r="EN120">
        <f t="shared" si="433"/>
        <v>0.68800000000000006</v>
      </c>
      <c r="EO120">
        <f t="shared" si="333"/>
        <v>105944.217</v>
      </c>
      <c r="EP120">
        <f t="shared" si="334"/>
        <v>5.2380059516873214E-3</v>
      </c>
      <c r="EQ120">
        <f t="shared" si="434"/>
        <v>4.1341202025132239E-3</v>
      </c>
      <c r="ER120">
        <f t="shared" si="435"/>
        <v>1.2925126226058525E-2</v>
      </c>
      <c r="ES120">
        <f t="shared" si="436"/>
        <v>14.805396952893815</v>
      </c>
      <c r="ET120">
        <f t="shared" si="558"/>
        <v>2.9690877667838908E-6</v>
      </c>
      <c r="EU120">
        <f t="shared" si="528"/>
        <v>4.2833071318093205E-2</v>
      </c>
      <c r="EV120">
        <f t="shared" si="437"/>
        <v>4537.9162025005426</v>
      </c>
      <c r="EW120">
        <f t="shared" si="529"/>
        <v>2.6497158093378974E-6</v>
      </c>
      <c r="EX120">
        <f t="shared" si="438"/>
        <v>3.6215404703496609E-4</v>
      </c>
      <c r="EY120">
        <f t="shared" si="439"/>
        <v>0.24678111738668218</v>
      </c>
      <c r="FA120">
        <f t="shared" si="440"/>
        <v>22.50664771765355</v>
      </c>
      <c r="FB120">
        <f t="shared" si="441"/>
        <v>0.68800000000000006</v>
      </c>
      <c r="FC120">
        <f t="shared" si="335"/>
        <v>105944.217</v>
      </c>
      <c r="FD120">
        <f t="shared" si="336"/>
        <v>5.2380059516873214E-3</v>
      </c>
      <c r="FE120">
        <f t="shared" si="442"/>
        <v>4.1341202025132239E-3</v>
      </c>
      <c r="FF120">
        <f t="shared" si="443"/>
        <v>1.2925126226058525E-2</v>
      </c>
      <c r="FG120">
        <f t="shared" si="444"/>
        <v>14.805396952893815</v>
      </c>
      <c r="FH120">
        <f t="shared" si="559"/>
        <v>2.8864650829976926E-6</v>
      </c>
      <c r="FI120">
        <f t="shared" si="530"/>
        <v>4.0852239583446394E-2</v>
      </c>
      <c r="FJ120">
        <f t="shared" si="445"/>
        <v>4328.0585353646347</v>
      </c>
      <c r="FK120">
        <f t="shared" si="531"/>
        <v>2.587722034620045E-6</v>
      </c>
      <c r="FL120">
        <f t="shared" si="446"/>
        <v>3.387617524679608E-4</v>
      </c>
      <c r="FM120">
        <f t="shared" si="447"/>
        <v>0.23991378309823486</v>
      </c>
      <c r="FO120">
        <f t="shared" si="448"/>
        <v>24.404341454386564</v>
      </c>
      <c r="FP120">
        <f t="shared" si="449"/>
        <v>0.68800000000000006</v>
      </c>
      <c r="FQ120">
        <f t="shared" si="337"/>
        <v>105944.217</v>
      </c>
      <c r="FR120">
        <f t="shared" si="338"/>
        <v>5.2380059516873214E-3</v>
      </c>
      <c r="FS120">
        <f t="shared" si="450"/>
        <v>4.1341202025132239E-3</v>
      </c>
      <c r="FT120">
        <f t="shared" si="451"/>
        <v>1.2925126226058525E-2</v>
      </c>
      <c r="FU120">
        <f t="shared" si="452"/>
        <v>14.805396952893815</v>
      </c>
      <c r="FV120">
        <f t="shared" si="560"/>
        <v>2.8077033134221861E-6</v>
      </c>
      <c r="FW120">
        <f t="shared" si="532"/>
        <v>3.8990201390769995E-2</v>
      </c>
      <c r="FX120">
        <f t="shared" si="453"/>
        <v>4130.7863570174386</v>
      </c>
      <c r="FY120">
        <f t="shared" si="533"/>
        <v>2.528060296068785E-6</v>
      </c>
      <c r="FZ120">
        <f t="shared" si="454"/>
        <v>3.1710313976683163E-4</v>
      </c>
      <c r="GA120">
        <f t="shared" si="455"/>
        <v>0.233367355700351</v>
      </c>
      <c r="GC120">
        <f t="shared" si="456"/>
        <v>26.302035191119579</v>
      </c>
      <c r="GD120">
        <f t="shared" si="457"/>
        <v>0.68800000000000006</v>
      </c>
      <c r="GE120">
        <f t="shared" si="339"/>
        <v>105944.217</v>
      </c>
      <c r="GF120">
        <f t="shared" si="340"/>
        <v>5.2380059516873214E-3</v>
      </c>
      <c r="GG120">
        <f t="shared" si="458"/>
        <v>4.1341202025132239E-3</v>
      </c>
      <c r="GH120">
        <f t="shared" si="459"/>
        <v>1.2925126226058525E-2</v>
      </c>
      <c r="GI120">
        <f t="shared" si="460"/>
        <v>14.805396952893815</v>
      </c>
      <c r="GJ120">
        <f t="shared" si="561"/>
        <v>2.7325685247042762E-6</v>
      </c>
      <c r="GK120">
        <f t="shared" si="534"/>
        <v>3.7238543191793191E-2</v>
      </c>
      <c r="GL120">
        <f t="shared" si="461"/>
        <v>3945.2083006752105</v>
      </c>
      <c r="GM120">
        <f t="shared" si="535"/>
        <v>2.4706204398159721E-6</v>
      </c>
      <c r="GN120">
        <f t="shared" si="462"/>
        <v>2.9703784832580418E-4</v>
      </c>
      <c r="GO120">
        <f t="shared" si="463"/>
        <v>0.22712239139789706</v>
      </c>
      <c r="GQ120">
        <f t="shared" si="464"/>
        <v>28.199728927852593</v>
      </c>
      <c r="GR120">
        <f t="shared" si="465"/>
        <v>0.68800000000000006</v>
      </c>
      <c r="GS120">
        <f t="shared" si="341"/>
        <v>105944.217</v>
      </c>
      <c r="GT120">
        <f t="shared" si="342"/>
        <v>5.2380059516873214E-3</v>
      </c>
      <c r="GU120">
        <f t="shared" si="466"/>
        <v>4.1341202025132239E-3</v>
      </c>
      <c r="GV120">
        <f t="shared" si="467"/>
        <v>1.2925126226058525E-2</v>
      </c>
      <c r="GW120">
        <f t="shared" si="468"/>
        <v>14.805396952893815</v>
      </c>
      <c r="GX120">
        <f t="shared" si="562"/>
        <v>2.6608434786372749E-6</v>
      </c>
      <c r="GY120">
        <f t="shared" si="536"/>
        <v>3.5589522129773198E-2</v>
      </c>
      <c r="GZ120">
        <f t="shared" si="469"/>
        <v>3770.5040554429938</v>
      </c>
      <c r="HA120">
        <f t="shared" si="537"/>
        <v>2.4152982522538638E-6</v>
      </c>
      <c r="HB120">
        <f t="shared" si="470"/>
        <v>2.7843771311670884E-4</v>
      </c>
      <c r="HC120">
        <f t="shared" si="471"/>
        <v>0.22116083404312784</v>
      </c>
      <c r="HE120">
        <f t="shared" si="472"/>
        <v>30.097422664585608</v>
      </c>
      <c r="HF120">
        <f t="shared" si="473"/>
        <v>0.68800000000000006</v>
      </c>
      <c r="HG120">
        <f t="shared" si="343"/>
        <v>105944.217</v>
      </c>
      <c r="HH120">
        <f t="shared" si="344"/>
        <v>5.2380059516873214E-3</v>
      </c>
      <c r="HI120">
        <f t="shared" si="568"/>
        <v>4.1341202025132239E-3</v>
      </c>
      <c r="HJ120">
        <f t="shared" si="474"/>
        <v>1.2925126226058525E-2</v>
      </c>
      <c r="HK120">
        <f t="shared" si="475"/>
        <v>14.805396952893815</v>
      </c>
      <c r="HL120">
        <f t="shared" si="563"/>
        <v>2.5923262948351381E-6</v>
      </c>
      <c r="HM120">
        <f t="shared" si="538"/>
        <v>3.4036007633017042E-2</v>
      </c>
      <c r="HN120">
        <f t="shared" si="476"/>
        <v>3605.9181784860139</v>
      </c>
      <c r="HO120">
        <f t="shared" si="539"/>
        <v>2.3619951143437851E-6</v>
      </c>
      <c r="HP120">
        <f t="shared" si="477"/>
        <v>2.6118564021824131E-4</v>
      </c>
      <c r="HQ120">
        <f t="shared" si="478"/>
        <v>0.21546590398142892</v>
      </c>
      <c r="HS120">
        <f t="shared" si="479"/>
        <v>31.995116401318622</v>
      </c>
      <c r="HT120">
        <f t="shared" si="480"/>
        <v>0.68800000000000006</v>
      </c>
      <c r="HU120">
        <f t="shared" si="345"/>
        <v>105944.217</v>
      </c>
      <c r="HV120">
        <f t="shared" si="346"/>
        <v>5.2380059516873214E-3</v>
      </c>
      <c r="HW120">
        <f t="shared" si="569"/>
        <v>4.1341202025132239E-3</v>
      </c>
      <c r="HX120">
        <f t="shared" si="481"/>
        <v>1.2925126226058525E-2</v>
      </c>
      <c r="HY120">
        <f t="shared" si="482"/>
        <v>14.805396952893815</v>
      </c>
      <c r="HZ120">
        <f t="shared" si="564"/>
        <v>2.5268292301859361E-6</v>
      </c>
      <c r="IA120">
        <f t="shared" si="540"/>
        <v>3.2571428449509186E-2</v>
      </c>
      <c r="IB120">
        <f t="shared" si="483"/>
        <v>3450.754483654775</v>
      </c>
      <c r="IC120">
        <f t="shared" si="541"/>
        <v>2.3106176766629034E-6</v>
      </c>
      <c r="ID120">
        <f t="shared" si="484"/>
        <v>2.45174591251721E-4</v>
      </c>
      <c r="IE120">
        <f t="shared" si="485"/>
        <v>0.21002199660337725</v>
      </c>
      <c r="IG120">
        <f t="shared" si="486"/>
        <v>33.892810138051637</v>
      </c>
      <c r="IH120">
        <f t="shared" si="487"/>
        <v>0.68800000000000006</v>
      </c>
      <c r="II120">
        <f t="shared" si="347"/>
        <v>105944.217</v>
      </c>
      <c r="IJ120">
        <f t="shared" si="348"/>
        <v>5.2380059516873214E-3</v>
      </c>
      <c r="IK120">
        <f t="shared" si="570"/>
        <v>4.1341202025132239E-3</v>
      </c>
      <c r="IL120">
        <f t="shared" si="488"/>
        <v>1.2925126226058525E-2</v>
      </c>
      <c r="IM120">
        <f t="shared" si="489"/>
        <v>14.805396952893815</v>
      </c>
      <c r="IN120">
        <f t="shared" si="565"/>
        <v>2.4641775641903075E-6</v>
      </c>
      <c r="IO120">
        <f t="shared" si="542"/>
        <v>3.1189724589033685E-2</v>
      </c>
      <c r="IP120">
        <f t="shared" si="490"/>
        <v>3304.3709500308205</v>
      </c>
      <c r="IQ120">
        <f t="shared" si="543"/>
        <v>2.261077553968381E-6</v>
      </c>
      <c r="IR120">
        <f t="shared" si="491"/>
        <v>2.3030666575399542E-4</v>
      </c>
      <c r="IS120">
        <f t="shared" si="492"/>
        <v>0.20481458969762384</v>
      </c>
      <c r="IU120">
        <f t="shared" si="493"/>
        <v>35.790503874784655</v>
      </c>
      <c r="IV120">
        <f t="shared" si="494"/>
        <v>0.68800000000000006</v>
      </c>
      <c r="IW120">
        <f t="shared" si="349"/>
        <v>105944.217</v>
      </c>
      <c r="IX120">
        <f t="shared" si="350"/>
        <v>5.2380059516873214E-3</v>
      </c>
      <c r="IY120">
        <f t="shared" si="571"/>
        <v>4.1341202025132239E-3</v>
      </c>
      <c r="IZ120">
        <f t="shared" si="495"/>
        <v>1.2925126226058525E-2</v>
      </c>
      <c r="JA120">
        <f t="shared" si="496"/>
        <v>14.805396952893815</v>
      </c>
      <c r="JB120">
        <f t="shared" si="566"/>
        <v>2.4042085803597561E-6</v>
      </c>
      <c r="JC120">
        <f t="shared" si="544"/>
        <v>2.9885303693550157E-2</v>
      </c>
      <c r="JD120">
        <f t="shared" si="497"/>
        <v>3166.1750996203796</v>
      </c>
      <c r="JE120">
        <f t="shared" si="545"/>
        <v>2.2132910381238107E-6</v>
      </c>
      <c r="JF120">
        <f t="shared" si="498"/>
        <v>2.1649227165603186E-4</v>
      </c>
      <c r="JG120">
        <f t="shared" si="499"/>
        <v>0.19983015878796506</v>
      </c>
      <c r="JI120">
        <f t="shared" si="500"/>
        <v>37.688197611517666</v>
      </c>
      <c r="JJ120">
        <f t="shared" si="501"/>
        <v>0.68800000000000006</v>
      </c>
      <c r="JK120">
        <f t="shared" si="351"/>
        <v>105944.217</v>
      </c>
      <c r="JL120">
        <f t="shared" si="352"/>
        <v>5.2380059516873214E-3</v>
      </c>
      <c r="JM120">
        <f t="shared" si="572"/>
        <v>4.1341202025132239E-3</v>
      </c>
      <c r="JN120">
        <f t="shared" si="502"/>
        <v>1.2925126226058525E-2</v>
      </c>
      <c r="JO120">
        <f t="shared" si="503"/>
        <v>14.805396952893815</v>
      </c>
      <c r="JP120">
        <f t="shared" si="567"/>
        <v>2.3467706348097471E-6</v>
      </c>
      <c r="JQ120">
        <f t="shared" si="546"/>
        <v>2.8653001405259393E-2</v>
      </c>
      <c r="JR120">
        <f t="shared" si="504"/>
        <v>3035.6197985801064</v>
      </c>
      <c r="JS120">
        <f t="shared" si="547"/>
        <v>2.1671788282955697E-6</v>
      </c>
      <c r="JT120">
        <f t="shared" si="505"/>
        <v>2.0364937505331336E-4</v>
      </c>
      <c r="JU120">
        <f t="shared" si="506"/>
        <v>0.19505609971776772</v>
      </c>
    </row>
    <row r="121" spans="2:281">
      <c r="B121">
        <v>0.87</v>
      </c>
      <c r="C121">
        <f t="shared" si="353"/>
        <v>1.6509935509577225</v>
      </c>
      <c r="D121">
        <f t="shared" si="354"/>
        <v>0.69599999999999995</v>
      </c>
      <c r="E121">
        <f t="shared" si="313"/>
        <v>105759.789</v>
      </c>
      <c r="F121">
        <f t="shared" si="314"/>
        <v>5.2410489291674738E-3</v>
      </c>
      <c r="G121">
        <f t="shared" si="355"/>
        <v>4.1329198835137696E-3</v>
      </c>
      <c r="H121">
        <f t="shared" si="356"/>
        <v>1.2947665559789793E-2</v>
      </c>
      <c r="I121">
        <f t="shared" si="357"/>
        <v>14.822604102472853</v>
      </c>
      <c r="J121">
        <f t="shared" si="548"/>
        <v>4.0737344492665752E-6</v>
      </c>
      <c r="K121">
        <f t="shared" si="507"/>
        <v>7.2052307806820662E-2</v>
      </c>
      <c r="L121">
        <f t="shared" si="358"/>
        <v>7620.2368706124062</v>
      </c>
      <c r="M121">
        <f t="shared" si="508"/>
        <v>3.4336442460181928E-6</v>
      </c>
      <c r="N121">
        <f t="shared" si="509"/>
        <v>7.2646732072638508E-4</v>
      </c>
      <c r="O121">
        <f t="shared" si="359"/>
        <v>0.33859583087218298</v>
      </c>
      <c r="Q121">
        <f t="shared" si="360"/>
        <v>3.5486872876907372</v>
      </c>
      <c r="R121">
        <f t="shared" si="361"/>
        <v>0.69599999999999995</v>
      </c>
      <c r="S121">
        <f t="shared" si="315"/>
        <v>105759.789</v>
      </c>
      <c r="T121">
        <f t="shared" si="316"/>
        <v>5.2410489291674738E-3</v>
      </c>
      <c r="U121">
        <f t="shared" si="362"/>
        <v>4.1329198835137696E-3</v>
      </c>
      <c r="V121">
        <f t="shared" si="363"/>
        <v>1.2947665559789793E-2</v>
      </c>
      <c r="W121">
        <f t="shared" si="364"/>
        <v>14.822604102472853</v>
      </c>
      <c r="X121">
        <f t="shared" si="549"/>
        <v>3.9347567743583052E-6</v>
      </c>
      <c r="Y121">
        <f t="shared" si="510"/>
        <v>6.8189029345306115E-2</v>
      </c>
      <c r="Z121">
        <f t="shared" si="365"/>
        <v>7211.6573556743833</v>
      </c>
      <c r="AA121">
        <f t="shared" si="511"/>
        <v>3.3403240699555472E-6</v>
      </c>
      <c r="AB121">
        <f t="shared" si="366"/>
        <v>6.7464856035617229E-4</v>
      </c>
      <c r="AC121">
        <f t="shared" si="367"/>
        <v>0.32704444923592491</v>
      </c>
      <c r="AE121">
        <f t="shared" si="368"/>
        <v>5.4463810244237516</v>
      </c>
      <c r="AF121">
        <f t="shared" si="369"/>
        <v>0.69599999999999995</v>
      </c>
      <c r="AG121">
        <f t="shared" si="317"/>
        <v>105759.789</v>
      </c>
      <c r="AH121">
        <f t="shared" si="318"/>
        <v>5.2410489291674738E-3</v>
      </c>
      <c r="AI121">
        <f t="shared" si="370"/>
        <v>4.1329198835137696E-3</v>
      </c>
      <c r="AJ121">
        <f t="shared" si="371"/>
        <v>1.2947665559789793E-2</v>
      </c>
      <c r="AK121">
        <f t="shared" si="372"/>
        <v>14.822604102472853</v>
      </c>
      <c r="AL121">
        <f t="shared" si="550"/>
        <v>3.8032997836218931E-6</v>
      </c>
      <c r="AM121">
        <f t="shared" si="512"/>
        <v>6.4585971055004368E-2</v>
      </c>
      <c r="AN121">
        <f t="shared" si="373"/>
        <v>6830.5986711373698</v>
      </c>
      <c r="AO121">
        <f t="shared" si="513"/>
        <v>3.2508763095866881E-6</v>
      </c>
      <c r="AP121">
        <f t="shared" si="374"/>
        <v>6.2697038488025215E-4</v>
      </c>
      <c r="AQ121">
        <f t="shared" si="375"/>
        <v>0.31611816291150191</v>
      </c>
      <c r="AS121">
        <f t="shared" si="376"/>
        <v>7.3440747611567661</v>
      </c>
      <c r="AT121">
        <f t="shared" si="377"/>
        <v>0.69599999999999995</v>
      </c>
      <c r="AU121">
        <f t="shared" si="319"/>
        <v>105759.789</v>
      </c>
      <c r="AV121">
        <f t="shared" si="320"/>
        <v>5.2410489291674738E-3</v>
      </c>
      <c r="AW121">
        <f t="shared" si="378"/>
        <v>4.1329198835137696E-3</v>
      </c>
      <c r="AX121">
        <f t="shared" si="379"/>
        <v>1.2947665559789793E-2</v>
      </c>
      <c r="AY121">
        <f t="shared" si="380"/>
        <v>14.822604102472853</v>
      </c>
      <c r="AZ121">
        <f t="shared" si="551"/>
        <v>3.6788530728106678E-6</v>
      </c>
      <c r="BA121">
        <f t="shared" si="514"/>
        <v>6.1222882173861785E-2</v>
      </c>
      <c r="BB121">
        <f t="shared" si="381"/>
        <v>6474.9191006794836</v>
      </c>
      <c r="BC121">
        <f t="shared" si="515"/>
        <v>3.1651058183759832E-6</v>
      </c>
      <c r="BD121">
        <f t="shared" si="382"/>
        <v>5.8307499406435399E-4</v>
      </c>
      <c r="BE121">
        <f t="shared" si="383"/>
        <v>0.30577454872378196</v>
      </c>
      <c r="BG121">
        <f t="shared" si="384"/>
        <v>9.2417684978897814</v>
      </c>
      <c r="BH121">
        <f t="shared" si="385"/>
        <v>0.69599999999999995</v>
      </c>
      <c r="BI121">
        <f t="shared" si="321"/>
        <v>105759.789</v>
      </c>
      <c r="BJ121">
        <f t="shared" si="322"/>
        <v>5.2410489291674738E-3</v>
      </c>
      <c r="BK121">
        <f t="shared" si="386"/>
        <v>4.1329198835137696E-3</v>
      </c>
      <c r="BL121">
        <f t="shared" si="387"/>
        <v>1.2947665559789793E-2</v>
      </c>
      <c r="BM121">
        <f t="shared" si="388"/>
        <v>14.822604102472853</v>
      </c>
      <c r="BN121">
        <f t="shared" si="552"/>
        <v>3.5609461493644978E-6</v>
      </c>
      <c r="BO121">
        <f t="shared" si="516"/>
        <v>5.8081255339568476E-2</v>
      </c>
      <c r="BP121">
        <f t="shared" si="389"/>
        <v>6142.6613095678858</v>
      </c>
      <c r="BQ121">
        <f t="shared" si="517"/>
        <v>3.082828363387936E-6</v>
      </c>
      <c r="BR121">
        <f t="shared" si="390"/>
        <v>5.4263749891394987E-4</v>
      </c>
      <c r="BS121">
        <f t="shared" si="391"/>
        <v>0.29597450082988297</v>
      </c>
      <c r="BU121">
        <f t="shared" si="392"/>
        <v>11.139462234622796</v>
      </c>
      <c r="BV121">
        <f t="shared" si="393"/>
        <v>0.69599999999999995</v>
      </c>
      <c r="BW121">
        <f t="shared" si="323"/>
        <v>105759.789</v>
      </c>
      <c r="BX121">
        <f t="shared" si="324"/>
        <v>5.2410489291674738E-3</v>
      </c>
      <c r="BY121">
        <f t="shared" si="394"/>
        <v>4.1329198835137696E-3</v>
      </c>
      <c r="BZ121">
        <f t="shared" si="395"/>
        <v>1.2947665559789793E-2</v>
      </c>
      <c r="CA121">
        <f t="shared" si="396"/>
        <v>14.822604102472853</v>
      </c>
      <c r="CB121">
        <f t="shared" si="553"/>
        <v>3.4491449874568239E-6</v>
      </c>
      <c r="CC121">
        <f t="shared" si="518"/>
        <v>5.5144165042030686E-2</v>
      </c>
      <c r="CD121">
        <f t="shared" si="397"/>
        <v>5832.0352594263413</v>
      </c>
      <c r="CE121">
        <f t="shared" si="519"/>
        <v>3.0038699855810028E-6</v>
      </c>
      <c r="CF121">
        <f t="shared" si="398"/>
        <v>5.0536273787280667E-4</v>
      </c>
      <c r="CG121">
        <f t="shared" si="399"/>
        <v>0.28668194438565531</v>
      </c>
      <c r="CI121">
        <f t="shared" si="400"/>
        <v>13.03715597135581</v>
      </c>
      <c r="CJ121">
        <f t="shared" si="401"/>
        <v>0.69599999999999995</v>
      </c>
      <c r="CK121">
        <f t="shared" si="325"/>
        <v>105759.789</v>
      </c>
      <c r="CL121">
        <f t="shared" si="326"/>
        <v>5.2410489291674738E-3</v>
      </c>
      <c r="CM121">
        <f t="shared" si="402"/>
        <v>4.1329198835137696E-3</v>
      </c>
      <c r="CN121">
        <f t="shared" si="403"/>
        <v>1.2947665559789793E-2</v>
      </c>
      <c r="CO121">
        <f t="shared" si="404"/>
        <v>14.822604102472853</v>
      </c>
      <c r="CP121">
        <f t="shared" si="554"/>
        <v>3.3430489026420812E-6</v>
      </c>
      <c r="CQ121">
        <f t="shared" si="520"/>
        <v>5.2396121875207008E-2</v>
      </c>
      <c r="CR121">
        <f t="shared" si="405"/>
        <v>5541.4027939401776</v>
      </c>
      <c r="CS121">
        <f t="shared" si="521"/>
        <v>2.9280663974474743E-6</v>
      </c>
      <c r="CT121">
        <f t="shared" si="406"/>
        <v>4.7098241336473865E-4</v>
      </c>
      <c r="CU121">
        <f t="shared" si="407"/>
        <v>0.27786357577633147</v>
      </c>
      <c r="CW121">
        <f t="shared" si="408"/>
        <v>14.934849708088825</v>
      </c>
      <c r="CX121">
        <f t="shared" si="409"/>
        <v>0.69599999999999995</v>
      </c>
      <c r="CY121">
        <f t="shared" si="327"/>
        <v>105759.789</v>
      </c>
      <c r="CZ121">
        <f t="shared" si="328"/>
        <v>5.2410489291674738E-3</v>
      </c>
      <c r="DA121">
        <f t="shared" si="410"/>
        <v>4.1329198835137696E-3</v>
      </c>
      <c r="DB121">
        <f t="shared" si="411"/>
        <v>1.2947665559789793E-2</v>
      </c>
      <c r="DC121">
        <f t="shared" si="412"/>
        <v>14.822604102472853</v>
      </c>
      <c r="DD121">
        <f t="shared" si="555"/>
        <v>3.2422877148321349E-6</v>
      </c>
      <c r="DE121">
        <f t="shared" si="522"/>
        <v>4.9822940982158365E-2</v>
      </c>
      <c r="DF121">
        <f t="shared" si="413"/>
        <v>5269.2637256325215</v>
      </c>
      <c r="DG121">
        <f t="shared" si="523"/>
        <v>2.8552624159561767E-6</v>
      </c>
      <c r="DH121">
        <f t="shared" si="414"/>
        <v>4.3925251550622961E-4</v>
      </c>
      <c r="DI121">
        <f t="shared" si="415"/>
        <v>0.2694886268121644</v>
      </c>
      <c r="DK121">
        <f t="shared" si="416"/>
        <v>16.832543444821837</v>
      </c>
      <c r="DL121">
        <f t="shared" si="417"/>
        <v>0.69599999999999995</v>
      </c>
      <c r="DM121">
        <f t="shared" si="329"/>
        <v>105759.789</v>
      </c>
      <c r="DN121">
        <f t="shared" si="330"/>
        <v>5.2410489291674738E-3</v>
      </c>
      <c r="DO121">
        <f t="shared" si="418"/>
        <v>4.1329198835137696E-3</v>
      </c>
      <c r="DP121">
        <f t="shared" si="419"/>
        <v>1.2947665559789793E-2</v>
      </c>
      <c r="DQ121">
        <f t="shared" si="420"/>
        <v>14.822604102472853</v>
      </c>
      <c r="DR121">
        <f t="shared" si="556"/>
        <v>3.1465191715099389E-6</v>
      </c>
      <c r="DS121">
        <f t="shared" si="524"/>
        <v>4.7411623254749839E-2</v>
      </c>
      <c r="DT121">
        <f t="shared" si="421"/>
        <v>5014.243271569836</v>
      </c>
      <c r="DU121">
        <f t="shared" si="525"/>
        <v>2.7853114288500668E-6</v>
      </c>
      <c r="DV121">
        <f t="shared" si="422"/>
        <v>4.0995100331807176E-4</v>
      </c>
      <c r="DW121">
        <f t="shared" si="423"/>
        <v>0.26152865055415486</v>
      </c>
      <c r="DY121">
        <f t="shared" si="424"/>
        <v>18.730237181554852</v>
      </c>
      <c r="DZ121">
        <f t="shared" si="425"/>
        <v>0.69599999999999995</v>
      </c>
      <c r="EA121">
        <f t="shared" si="331"/>
        <v>105759.789</v>
      </c>
      <c r="EB121">
        <f t="shared" si="332"/>
        <v>5.2410489291674738E-3</v>
      </c>
      <c r="EC121">
        <f t="shared" si="426"/>
        <v>4.1329198835137696E-3</v>
      </c>
      <c r="ED121">
        <f t="shared" si="427"/>
        <v>1.2947665559789793E-2</v>
      </c>
      <c r="EE121">
        <f t="shared" si="428"/>
        <v>14.822604102472853</v>
      </c>
      <c r="EF121">
        <f t="shared" si="557"/>
        <v>3.0554266059363969E-6</v>
      </c>
      <c r="EG121">
        <f t="shared" si="526"/>
        <v>4.5150247999277693E-2</v>
      </c>
      <c r="EH121">
        <f t="shared" si="429"/>
        <v>4775.0807017012812</v>
      </c>
      <c r="EI121">
        <f t="shared" si="527"/>
        <v>2.7180748924428664E-6</v>
      </c>
      <c r="EJ121">
        <f t="shared" si="430"/>
        <v>3.828757168917341E-4</v>
      </c>
      <c r="EK121">
        <f t="shared" si="431"/>
        <v>0.25395732667166532</v>
      </c>
      <c r="EM121">
        <f t="shared" si="432"/>
        <v>20.627930918287866</v>
      </c>
      <c r="EN121">
        <f t="shared" si="433"/>
        <v>0.69599999999999995</v>
      </c>
      <c r="EO121">
        <f t="shared" si="333"/>
        <v>105759.789</v>
      </c>
      <c r="EP121">
        <f t="shared" si="334"/>
        <v>5.2410489291674738E-3</v>
      </c>
      <c r="EQ121">
        <f t="shared" si="434"/>
        <v>4.1329198835137696E-3</v>
      </c>
      <c r="ER121">
        <f t="shared" si="435"/>
        <v>1.2947665559789793E-2</v>
      </c>
      <c r="ES121">
        <f t="shared" si="436"/>
        <v>14.822604102472853</v>
      </c>
      <c r="ET121">
        <f t="shared" si="558"/>
        <v>2.9687168076574815E-6</v>
      </c>
      <c r="EU121">
        <f t="shared" si="528"/>
        <v>4.3027875913268662E-2</v>
      </c>
      <c r="EV121">
        <f t="shared" si="437"/>
        <v>4550.6190777054762</v>
      </c>
      <c r="EW121">
        <f t="shared" si="529"/>
        <v>2.6534218591479115E-6</v>
      </c>
      <c r="EX121">
        <f t="shared" si="438"/>
        <v>3.5784249676045903E-4</v>
      </c>
      <c r="EY121">
        <f t="shared" si="439"/>
        <v>0.24675028444575525</v>
      </c>
      <c r="FA121">
        <f t="shared" si="440"/>
        <v>22.525624655020881</v>
      </c>
      <c r="FB121">
        <f t="shared" si="441"/>
        <v>0.69599999999999995</v>
      </c>
      <c r="FC121">
        <f t="shared" si="335"/>
        <v>105759.789</v>
      </c>
      <c r="FD121">
        <f t="shared" si="336"/>
        <v>5.2410489291674738E-3</v>
      </c>
      <c r="FE121">
        <f t="shared" si="442"/>
        <v>4.1329198835137696E-3</v>
      </c>
      <c r="FF121">
        <f t="shared" si="443"/>
        <v>1.2947665559789793E-2</v>
      </c>
      <c r="FG121">
        <f t="shared" si="444"/>
        <v>14.822604102472853</v>
      </c>
      <c r="FH121">
        <f t="shared" si="559"/>
        <v>2.8861180849045183E-6</v>
      </c>
      <c r="FI121">
        <f t="shared" si="530"/>
        <v>4.1034461338499924E-2</v>
      </c>
      <c r="FJ121">
        <f t="shared" si="445"/>
        <v>4339.7959728884098</v>
      </c>
      <c r="FK121">
        <f t="shared" si="531"/>
        <v>2.5912285330583393E-6</v>
      </c>
      <c r="FL121">
        <f t="shared" si="446"/>
        <v>3.3468348922185981E-4</v>
      </c>
      <c r="FM121">
        <f t="shared" si="447"/>
        <v>0.23988494172206451</v>
      </c>
      <c r="FO121">
        <f t="shared" si="448"/>
        <v>24.423318391753895</v>
      </c>
      <c r="FP121">
        <f t="shared" si="449"/>
        <v>0.69599999999999995</v>
      </c>
      <c r="FQ121">
        <f t="shared" si="337"/>
        <v>105759.789</v>
      </c>
      <c r="FR121">
        <f t="shared" si="338"/>
        <v>5.2410489291674738E-3</v>
      </c>
      <c r="FS121">
        <f t="shared" si="450"/>
        <v>4.1329198835137696E-3</v>
      </c>
      <c r="FT121">
        <f t="shared" si="451"/>
        <v>1.2947665559789793E-2</v>
      </c>
      <c r="FU121">
        <f t="shared" si="452"/>
        <v>14.822604102472853</v>
      </c>
      <c r="FV121">
        <f t="shared" si="560"/>
        <v>2.8073785005292397E-6</v>
      </c>
      <c r="FW121">
        <f t="shared" si="532"/>
        <v>3.9160772862432108E-2</v>
      </c>
      <c r="FX121">
        <f t="shared" si="453"/>
        <v>4141.6350750077463</v>
      </c>
      <c r="FY121">
        <f t="shared" si="533"/>
        <v>2.5313778519808386E-6</v>
      </c>
      <c r="FZ121">
        <f t="shared" si="454"/>
        <v>3.1324561858963007E-4</v>
      </c>
      <c r="GA121">
        <f t="shared" si="455"/>
        <v>0.23334035828735442</v>
      </c>
      <c r="GC121">
        <f t="shared" si="456"/>
        <v>26.32101212848691</v>
      </c>
      <c r="GD121">
        <f t="shared" si="457"/>
        <v>0.69599999999999995</v>
      </c>
      <c r="GE121">
        <f t="shared" si="339"/>
        <v>105759.789</v>
      </c>
      <c r="GF121">
        <f t="shared" si="340"/>
        <v>5.2410489291674738E-3</v>
      </c>
      <c r="GG121">
        <f t="shared" si="458"/>
        <v>4.1329198835137696E-3</v>
      </c>
      <c r="GH121">
        <f t="shared" si="459"/>
        <v>1.2947665559789793E-2</v>
      </c>
      <c r="GI121">
        <f t="shared" si="460"/>
        <v>14.822604102472853</v>
      </c>
      <c r="GJ121">
        <f t="shared" si="561"/>
        <v>2.7322642649517546E-6</v>
      </c>
      <c r="GK121">
        <f t="shared" si="534"/>
        <v>3.7398321436075271E-2</v>
      </c>
      <c r="GL121">
        <f t="shared" si="461"/>
        <v>3955.2385840334978</v>
      </c>
      <c r="GM121">
        <f t="shared" si="535"/>
        <v>2.4737590944052091E-6</v>
      </c>
      <c r="GN121">
        <f t="shared" si="462"/>
        <v>2.9338920934553572E-4</v>
      </c>
      <c r="GO121">
        <f t="shared" si="463"/>
        <v>0.22709710229646224</v>
      </c>
      <c r="GQ121">
        <f t="shared" si="464"/>
        <v>28.218705865219924</v>
      </c>
      <c r="GR121">
        <f t="shared" si="465"/>
        <v>0.69599999999999995</v>
      </c>
      <c r="GS121">
        <f t="shared" si="341"/>
        <v>105759.789</v>
      </c>
      <c r="GT121">
        <f t="shared" si="342"/>
        <v>5.2410489291674738E-3</v>
      </c>
      <c r="GU121">
        <f t="shared" si="466"/>
        <v>4.1329198835137696E-3</v>
      </c>
      <c r="GV121">
        <f t="shared" si="467"/>
        <v>1.2947665559789793E-2</v>
      </c>
      <c r="GW121">
        <f t="shared" si="468"/>
        <v>14.822604102472853</v>
      </c>
      <c r="GX121">
        <f t="shared" si="562"/>
        <v>2.6605582712464895E-6</v>
      </c>
      <c r="GY121">
        <f t="shared" si="536"/>
        <v>3.5739295262033802E-2</v>
      </c>
      <c r="GZ121">
        <f t="shared" si="469"/>
        <v>3779.7803259213947</v>
      </c>
      <c r="HA121">
        <f t="shared" si="537"/>
        <v>2.4182675099692577E-6</v>
      </c>
      <c r="HB121">
        <f t="shared" si="470"/>
        <v>2.7498674294429854E-4</v>
      </c>
      <c r="HC121">
        <f t="shared" si="471"/>
        <v>0.22113712851331077</v>
      </c>
      <c r="HE121">
        <f t="shared" si="472"/>
        <v>30.116399601952939</v>
      </c>
      <c r="HF121">
        <f t="shared" si="473"/>
        <v>0.69599999999999995</v>
      </c>
      <c r="HG121">
        <f t="shared" si="343"/>
        <v>105759.789</v>
      </c>
      <c r="HH121">
        <f t="shared" si="344"/>
        <v>5.2410489291674738E-3</v>
      </c>
      <c r="HI121">
        <f t="shared" si="568"/>
        <v>4.1329198835137696E-3</v>
      </c>
      <c r="HJ121">
        <f t="shared" si="474"/>
        <v>1.2947665559789793E-2</v>
      </c>
      <c r="HK121">
        <f t="shared" si="475"/>
        <v>14.822604102472853</v>
      </c>
      <c r="HL121">
        <f t="shared" si="563"/>
        <v>2.5920587589682347E-6</v>
      </c>
      <c r="HM121">
        <f t="shared" si="538"/>
        <v>3.4176500783169368E-2</v>
      </c>
      <c r="HN121">
        <f t="shared" si="476"/>
        <v>3614.4995115863271</v>
      </c>
      <c r="HO121">
        <f t="shared" si="539"/>
        <v>2.3648039720527945E-6</v>
      </c>
      <c r="HP121">
        <f t="shared" si="477"/>
        <v>2.5792173561613185E-4</v>
      </c>
      <c r="HQ121">
        <f t="shared" si="478"/>
        <v>0.21544366725238576</v>
      </c>
      <c r="HS121">
        <f t="shared" si="479"/>
        <v>32.014093338685953</v>
      </c>
      <c r="HT121">
        <f t="shared" si="480"/>
        <v>0.69599999999999995</v>
      </c>
      <c r="HU121">
        <f t="shared" si="345"/>
        <v>105759.789</v>
      </c>
      <c r="HV121">
        <f t="shared" si="346"/>
        <v>5.2410489291674738E-3</v>
      </c>
      <c r="HW121">
        <f t="shared" si="569"/>
        <v>4.1329198835137696E-3</v>
      </c>
      <c r="HX121">
        <f t="shared" si="481"/>
        <v>1.2947665559789793E-2</v>
      </c>
      <c r="HY121">
        <f t="shared" si="482"/>
        <v>14.822604102472853</v>
      </c>
      <c r="HZ121">
        <f t="shared" si="564"/>
        <v>2.526578094645872E-6</v>
      </c>
      <c r="IA121">
        <f t="shared" si="540"/>
        <v>3.2703309170951156E-2</v>
      </c>
      <c r="IB121">
        <f t="shared" si="483"/>
        <v>3458.6950775215591</v>
      </c>
      <c r="IC121">
        <f t="shared" si="541"/>
        <v>2.3132746512060662E-6</v>
      </c>
      <c r="ID121">
        <f t="shared" si="484"/>
        <v>2.4208772493475799E-4</v>
      </c>
      <c r="IE121">
        <f t="shared" si="485"/>
        <v>0.21000112301725901</v>
      </c>
      <c r="IG121">
        <f t="shared" si="486"/>
        <v>33.911787075418971</v>
      </c>
      <c r="IH121">
        <f t="shared" si="487"/>
        <v>0.69599999999999995</v>
      </c>
      <c r="II121">
        <f t="shared" si="347"/>
        <v>105759.789</v>
      </c>
      <c r="IJ121">
        <f t="shared" si="348"/>
        <v>5.2410489291674738E-3</v>
      </c>
      <c r="IK121">
        <f t="shared" si="570"/>
        <v>4.1329198835137696E-3</v>
      </c>
      <c r="IL121">
        <f t="shared" si="488"/>
        <v>1.2947665559789793E-2</v>
      </c>
      <c r="IM121">
        <f t="shared" si="489"/>
        <v>14.822604102472853</v>
      </c>
      <c r="IN121">
        <f t="shared" si="565"/>
        <v>2.4639416580607644E-6</v>
      </c>
      <c r="IO121">
        <f t="shared" si="542"/>
        <v>3.1313607773981476E-2</v>
      </c>
      <c r="IP121">
        <f t="shared" si="490"/>
        <v>3311.7205510050408</v>
      </c>
      <c r="IQ121">
        <f t="shared" si="543"/>
        <v>2.2635907081865166E-6</v>
      </c>
      <c r="IR121">
        <f t="shared" si="491"/>
        <v>2.273873541908468E-4</v>
      </c>
      <c r="IS121">
        <f t="shared" si="492"/>
        <v>0.20479498193159607</v>
      </c>
      <c r="IU121">
        <f t="shared" si="493"/>
        <v>35.809480812151982</v>
      </c>
      <c r="IV121">
        <f t="shared" si="494"/>
        <v>0.69599999999999995</v>
      </c>
      <c r="IW121">
        <f t="shared" si="349"/>
        <v>105759.789</v>
      </c>
      <c r="IX121">
        <f t="shared" si="350"/>
        <v>5.2410489291674738E-3</v>
      </c>
      <c r="IY121">
        <f t="shared" si="571"/>
        <v>4.1329198835137696E-3</v>
      </c>
      <c r="IZ121">
        <f t="shared" si="495"/>
        <v>1.2947665559789793E-2</v>
      </c>
      <c r="JA121">
        <f t="shared" si="496"/>
        <v>14.822604102472853</v>
      </c>
      <c r="JB121">
        <f t="shared" si="566"/>
        <v>2.4039868244947437E-6</v>
      </c>
      <c r="JC121">
        <f t="shared" si="544"/>
        <v>3.0001756042167673E-2</v>
      </c>
      <c r="JD121">
        <f t="shared" si="497"/>
        <v>3172.9793886491284</v>
      </c>
      <c r="JE121">
        <f t="shared" si="545"/>
        <v>2.2156680054437306E-6</v>
      </c>
      <c r="JF121">
        <f t="shared" si="498"/>
        <v>2.1373154474801307E-4</v>
      </c>
      <c r="JG121">
        <f t="shared" si="499"/>
        <v>0.19981172714685055</v>
      </c>
      <c r="JI121">
        <f t="shared" si="500"/>
        <v>37.707174548885</v>
      </c>
      <c r="JJ121">
        <f t="shared" si="501"/>
        <v>0.69599999999999995</v>
      </c>
      <c r="JK121">
        <f t="shared" si="351"/>
        <v>105759.789</v>
      </c>
      <c r="JL121">
        <f t="shared" si="352"/>
        <v>5.2410489291674738E-3</v>
      </c>
      <c r="JM121">
        <f t="shared" si="572"/>
        <v>4.1329198835137696E-3</v>
      </c>
      <c r="JN121">
        <f t="shared" si="502"/>
        <v>1.2947665559789793E-2</v>
      </c>
      <c r="JO121">
        <f t="shared" si="503"/>
        <v>14.822604102472853</v>
      </c>
      <c r="JP121">
        <f t="shared" si="567"/>
        <v>2.3465620340916767E-6</v>
      </c>
      <c r="JQ121">
        <f t="shared" si="546"/>
        <v>2.8762545491235525E-2</v>
      </c>
      <c r="JR121">
        <f t="shared" si="504"/>
        <v>3041.9207422559707</v>
      </c>
      <c r="JS121">
        <f t="shared" si="547"/>
        <v>2.1694268359554036E-6</v>
      </c>
      <c r="JT121">
        <f t="shared" si="505"/>
        <v>2.0103874757549013E-4</v>
      </c>
      <c r="JU121">
        <f t="shared" si="506"/>
        <v>0.19503876149056237</v>
      </c>
    </row>
    <row r="122" spans="2:281">
      <c r="B122">
        <v>0.88</v>
      </c>
      <c r="C122">
        <f t="shared" si="353"/>
        <v>1.6699704883250528</v>
      </c>
      <c r="D122">
        <f t="shared" si="354"/>
        <v>0.70400000000000007</v>
      </c>
      <c r="E122">
        <f t="shared" si="313"/>
        <v>105575.361</v>
      </c>
      <c r="F122">
        <f t="shared" si="314"/>
        <v>5.2440989901674541E-3</v>
      </c>
      <c r="G122">
        <f t="shared" si="355"/>
        <v>4.1317178189428918E-3</v>
      </c>
      <c r="H122">
        <f t="shared" si="356"/>
        <v>1.2970283640762878E-2</v>
      </c>
      <c r="I122">
        <f t="shared" si="357"/>
        <v>14.839861335663358</v>
      </c>
      <c r="J122">
        <f t="shared" si="548"/>
        <v>4.0729903192896547E-6</v>
      </c>
      <c r="K122">
        <f t="shared" si="507"/>
        <v>7.2443078456716603E-2</v>
      </c>
      <c r="L122">
        <f t="shared" si="358"/>
        <v>7648.2041600191787</v>
      </c>
      <c r="M122">
        <f t="shared" si="508"/>
        <v>3.4399394422707499E-6</v>
      </c>
      <c r="N122">
        <f t="shared" si="509"/>
        <v>7.1910534643250513E-4</v>
      </c>
      <c r="O122">
        <f t="shared" si="359"/>
        <v>0.33853398115886707</v>
      </c>
      <c r="Q122">
        <f t="shared" si="360"/>
        <v>3.567664225058067</v>
      </c>
      <c r="R122">
        <f t="shared" si="361"/>
        <v>0.70400000000000007</v>
      </c>
      <c r="S122">
        <f t="shared" si="315"/>
        <v>105575.361</v>
      </c>
      <c r="T122">
        <f t="shared" si="316"/>
        <v>5.2440989901674541E-3</v>
      </c>
      <c r="U122">
        <f t="shared" si="362"/>
        <v>4.1317178189428918E-3</v>
      </c>
      <c r="V122">
        <f t="shared" si="363"/>
        <v>1.2970283640762878E-2</v>
      </c>
      <c r="W122">
        <f t="shared" si="364"/>
        <v>14.839861335663358</v>
      </c>
      <c r="X122">
        <f t="shared" si="549"/>
        <v>3.9340657230152868E-6</v>
      </c>
      <c r="Y122">
        <f t="shared" si="510"/>
        <v>6.8551926407376479E-2</v>
      </c>
      <c r="Z122">
        <f t="shared" si="365"/>
        <v>7237.394377704205</v>
      </c>
      <c r="AA122">
        <f t="shared" si="511"/>
        <v>3.3462792494585028E-6</v>
      </c>
      <c r="AB122">
        <f t="shared" si="366"/>
        <v>6.6768787634547289E-4</v>
      </c>
      <c r="AC122">
        <f t="shared" si="367"/>
        <v>0.32698701124958124</v>
      </c>
      <c r="AE122">
        <f t="shared" si="368"/>
        <v>5.4653579617910815</v>
      </c>
      <c r="AF122">
        <f t="shared" si="369"/>
        <v>0.70400000000000007</v>
      </c>
      <c r="AG122">
        <f t="shared" si="317"/>
        <v>105575.361</v>
      </c>
      <c r="AH122">
        <f t="shared" si="318"/>
        <v>5.2440989901674541E-3</v>
      </c>
      <c r="AI122">
        <f t="shared" si="370"/>
        <v>4.1317178189428918E-3</v>
      </c>
      <c r="AJ122">
        <f t="shared" si="371"/>
        <v>1.2970283640762878E-2</v>
      </c>
      <c r="AK122">
        <f t="shared" si="372"/>
        <v>14.839861335663358</v>
      </c>
      <c r="AL122">
        <f t="shared" si="550"/>
        <v>3.8026575696575209E-6</v>
      </c>
      <c r="AM122">
        <f t="shared" si="512"/>
        <v>6.4923221771967368E-2</v>
      </c>
      <c r="AN122">
        <f t="shared" si="373"/>
        <v>6854.2925758585152</v>
      </c>
      <c r="AO122">
        <f t="shared" si="513"/>
        <v>3.2565097303271885E-6</v>
      </c>
      <c r="AP122">
        <f t="shared" si="374"/>
        <v>6.2038904843547747E-4</v>
      </c>
      <c r="AQ122">
        <f t="shared" si="375"/>
        <v>0.31606478413250377</v>
      </c>
      <c r="AS122">
        <f t="shared" si="376"/>
        <v>7.3630516985240959</v>
      </c>
      <c r="AT122">
        <f t="shared" si="377"/>
        <v>0.70400000000000007</v>
      </c>
      <c r="AU122">
        <f t="shared" si="319"/>
        <v>105575.361</v>
      </c>
      <c r="AV122">
        <f t="shared" si="320"/>
        <v>5.2440989901674541E-3</v>
      </c>
      <c r="AW122">
        <f t="shared" si="378"/>
        <v>4.1317178189428918E-3</v>
      </c>
      <c r="AX122">
        <f t="shared" si="379"/>
        <v>1.2970283640762878E-2</v>
      </c>
      <c r="AY122">
        <f t="shared" si="380"/>
        <v>14.839861335663358</v>
      </c>
      <c r="AZ122">
        <f t="shared" si="551"/>
        <v>3.6782558214691454E-6</v>
      </c>
      <c r="BA122">
        <f t="shared" si="514"/>
        <v>6.1536521325779553E-2</v>
      </c>
      <c r="BB122">
        <f t="shared" si="381"/>
        <v>6496.740453653375</v>
      </c>
      <c r="BC122">
        <f t="shared" si="515"/>
        <v>3.1704347496605785E-6</v>
      </c>
      <c r="BD122">
        <f t="shared" si="382"/>
        <v>5.7685228948465748E-4</v>
      </c>
      <c r="BE122">
        <f t="shared" si="383"/>
        <v>0.30572490709477035</v>
      </c>
      <c r="BG122">
        <f t="shared" si="384"/>
        <v>9.2607454352571104</v>
      </c>
      <c r="BH122">
        <f t="shared" si="385"/>
        <v>0.70400000000000007</v>
      </c>
      <c r="BI122">
        <f t="shared" si="321"/>
        <v>105575.361</v>
      </c>
      <c r="BJ122">
        <f t="shared" si="322"/>
        <v>5.2440989901674541E-3</v>
      </c>
      <c r="BK122">
        <f t="shared" si="386"/>
        <v>4.1317178189428918E-3</v>
      </c>
      <c r="BL122">
        <f t="shared" si="387"/>
        <v>1.2970283640762878E-2</v>
      </c>
      <c r="BM122">
        <f t="shared" si="388"/>
        <v>14.839861335663358</v>
      </c>
      <c r="BN122">
        <f t="shared" si="552"/>
        <v>3.5603903186780754E-6</v>
      </c>
      <c r="BO122">
        <f t="shared" si="516"/>
        <v>5.8373142946978637E-2</v>
      </c>
      <c r="BP122">
        <f t="shared" si="389"/>
        <v>6162.7656393318739</v>
      </c>
      <c r="BQ122">
        <f t="shared" si="517"/>
        <v>3.0878691401437817E-6</v>
      </c>
      <c r="BR122">
        <f t="shared" si="390"/>
        <v>5.3675386627171772E-4</v>
      </c>
      <c r="BS122">
        <f t="shared" si="391"/>
        <v>0.29592830195378111</v>
      </c>
      <c r="BU122">
        <f t="shared" si="392"/>
        <v>11.158439171990125</v>
      </c>
      <c r="BV122">
        <f t="shared" si="393"/>
        <v>0.70400000000000007</v>
      </c>
      <c r="BW122">
        <f t="shared" si="323"/>
        <v>105575.361</v>
      </c>
      <c r="BX122">
        <f t="shared" si="324"/>
        <v>5.2440989901674541E-3</v>
      </c>
      <c r="BY122">
        <f t="shared" si="394"/>
        <v>4.1317178189428918E-3</v>
      </c>
      <c r="BZ122">
        <f t="shared" si="395"/>
        <v>1.2970283640762878E-2</v>
      </c>
      <c r="CA122">
        <f t="shared" si="396"/>
        <v>14.839861335663358</v>
      </c>
      <c r="CB122">
        <f t="shared" si="553"/>
        <v>3.4486273377955925E-6</v>
      </c>
      <c r="CC122">
        <f t="shared" si="518"/>
        <v>5.541600235649416E-2</v>
      </c>
      <c r="CD122">
        <f t="shared" si="397"/>
        <v>5850.5644539637215</v>
      </c>
      <c r="CE122">
        <f t="shared" si="519"/>
        <v>3.0086380596408579E-6</v>
      </c>
      <c r="CF122">
        <f t="shared" si="398"/>
        <v>4.9979970612156605E-4</v>
      </c>
      <c r="CG122">
        <f t="shared" si="399"/>
        <v>0.28663891899474481</v>
      </c>
      <c r="CI122">
        <f t="shared" si="400"/>
        <v>13.056132908723139</v>
      </c>
      <c r="CJ122">
        <f t="shared" si="401"/>
        <v>0.70400000000000007</v>
      </c>
      <c r="CK122">
        <f t="shared" si="325"/>
        <v>105575.361</v>
      </c>
      <c r="CL122">
        <f t="shared" si="326"/>
        <v>5.2440989901674541E-3</v>
      </c>
      <c r="CM122">
        <f t="shared" si="402"/>
        <v>4.1317178189428918E-3</v>
      </c>
      <c r="CN122">
        <f t="shared" si="403"/>
        <v>1.2970283640762878E-2</v>
      </c>
      <c r="CO122">
        <f t="shared" si="404"/>
        <v>14.839861335663358</v>
      </c>
      <c r="CP122">
        <f t="shared" si="554"/>
        <v>3.3425664691968486E-6</v>
      </c>
      <c r="CQ122">
        <f t="shared" si="520"/>
        <v>5.2649465829586205E-2</v>
      </c>
      <c r="CR122">
        <f t="shared" si="405"/>
        <v>5558.4863614157284</v>
      </c>
      <c r="CS122">
        <f t="shared" si="521"/>
        <v>2.9325763859856451E-6</v>
      </c>
      <c r="CT122">
        <f t="shared" si="406"/>
        <v>4.6572253751522668E-4</v>
      </c>
      <c r="CU122">
        <f t="shared" si="407"/>
        <v>0.27782347744511637</v>
      </c>
      <c r="CW122">
        <f t="shared" si="408"/>
        <v>14.953826645456154</v>
      </c>
      <c r="CX122">
        <f t="shared" si="409"/>
        <v>0.70400000000000007</v>
      </c>
      <c r="CY122">
        <f t="shared" si="327"/>
        <v>105575.361</v>
      </c>
      <c r="CZ122">
        <f t="shared" si="328"/>
        <v>5.2440989901674541E-3</v>
      </c>
      <c r="DA122">
        <f t="shared" si="410"/>
        <v>4.1317178189428918E-3</v>
      </c>
      <c r="DB122">
        <f t="shared" si="411"/>
        <v>1.2970283640762878E-2</v>
      </c>
      <c r="DC122">
        <f t="shared" si="412"/>
        <v>14.839861335663358</v>
      </c>
      <c r="DD122">
        <f t="shared" si="555"/>
        <v>3.2418377827362233E-6</v>
      </c>
      <c r="DE122">
        <f t="shared" si="522"/>
        <v>5.0059217255096773E-2</v>
      </c>
      <c r="DF122">
        <f t="shared" si="413"/>
        <v>5285.0199330842715</v>
      </c>
      <c r="DG122">
        <f t="shared" si="523"/>
        <v>2.8595281472335376E-6</v>
      </c>
      <c r="DH122">
        <f t="shared" si="414"/>
        <v>4.3427931760756978E-4</v>
      </c>
      <c r="DI122">
        <f t="shared" si="415"/>
        <v>0.26945122988957448</v>
      </c>
      <c r="DK122">
        <f t="shared" si="416"/>
        <v>16.851520382189168</v>
      </c>
      <c r="DL122">
        <f t="shared" si="417"/>
        <v>0.70400000000000007</v>
      </c>
      <c r="DM122">
        <f t="shared" si="329"/>
        <v>105575.361</v>
      </c>
      <c r="DN122">
        <f t="shared" si="330"/>
        <v>5.2440989901674541E-3</v>
      </c>
      <c r="DO122">
        <f t="shared" si="418"/>
        <v>4.1317178189428918E-3</v>
      </c>
      <c r="DP122">
        <f t="shared" si="419"/>
        <v>1.2970283640762878E-2</v>
      </c>
      <c r="DQ122">
        <f t="shared" si="420"/>
        <v>14.839861335663358</v>
      </c>
      <c r="DR122">
        <f t="shared" si="556"/>
        <v>3.1460992533361488E-6</v>
      </c>
      <c r="DS122">
        <f t="shared" si="524"/>
        <v>4.7632138087862937E-2</v>
      </c>
      <c r="DT122">
        <f t="shared" si="421"/>
        <v>5028.7801738279795</v>
      </c>
      <c r="DU122">
        <f t="shared" si="525"/>
        <v>2.7893459854176817E-6</v>
      </c>
      <c r="DV122">
        <f t="shared" si="422"/>
        <v>4.0524891699940965E-4</v>
      </c>
      <c r="DW122">
        <f t="shared" si="423"/>
        <v>0.26149374829316474</v>
      </c>
      <c r="DY122">
        <f t="shared" si="424"/>
        <v>18.749214118922183</v>
      </c>
      <c r="DZ122">
        <f t="shared" si="425"/>
        <v>0.70400000000000007</v>
      </c>
      <c r="EA122">
        <f t="shared" si="331"/>
        <v>105575.361</v>
      </c>
      <c r="EB122">
        <f t="shared" si="332"/>
        <v>5.2440989901674541E-3</v>
      </c>
      <c r="EC122">
        <f t="shared" si="426"/>
        <v>4.1317178189428918E-3</v>
      </c>
      <c r="ED122">
        <f t="shared" si="427"/>
        <v>1.2970283640762878E-2</v>
      </c>
      <c r="EE122">
        <f t="shared" si="428"/>
        <v>14.839861335663358</v>
      </c>
      <c r="EF122">
        <f t="shared" si="557"/>
        <v>3.0550344213325678E-6</v>
      </c>
      <c r="EG122">
        <f t="shared" si="526"/>
        <v>4.5356198891286933E-2</v>
      </c>
      <c r="EH122">
        <f t="shared" si="429"/>
        <v>4788.4970715354184</v>
      </c>
      <c r="EI122">
        <f t="shared" si="527"/>
        <v>2.7218906519456295E-6</v>
      </c>
      <c r="EJ122">
        <f t="shared" si="430"/>
        <v>3.7843003523660028E-4</v>
      </c>
      <c r="EK122">
        <f t="shared" si="431"/>
        <v>0.25392472953666734</v>
      </c>
      <c r="EM122">
        <f t="shared" si="432"/>
        <v>20.646907855655197</v>
      </c>
      <c r="EN122">
        <f t="shared" si="433"/>
        <v>0.70400000000000007</v>
      </c>
      <c r="EO122">
        <f t="shared" si="333"/>
        <v>105575.361</v>
      </c>
      <c r="EP122">
        <f t="shared" si="334"/>
        <v>5.2440989901674541E-3</v>
      </c>
      <c r="EQ122">
        <f t="shared" si="434"/>
        <v>4.1317178189428918E-3</v>
      </c>
      <c r="ER122">
        <f t="shared" si="435"/>
        <v>1.2970283640762878E-2</v>
      </c>
      <c r="ES122">
        <f t="shared" si="436"/>
        <v>14.839861335663358</v>
      </c>
      <c r="ET122">
        <f t="shared" si="558"/>
        <v>2.968350264908402E-6</v>
      </c>
      <c r="EU122">
        <f t="shared" si="528"/>
        <v>4.3220361302535253E-2</v>
      </c>
      <c r="EV122">
        <f t="shared" si="437"/>
        <v>4563.0052470655901</v>
      </c>
      <c r="EW122">
        <f t="shared" si="529"/>
        <v>2.6570305328619131E-6</v>
      </c>
      <c r="EX122">
        <f t="shared" si="438"/>
        <v>3.5363932330178188E-4</v>
      </c>
      <c r="EY122">
        <f t="shared" si="439"/>
        <v>0.24671981858004399</v>
      </c>
      <c r="FA122">
        <f t="shared" si="440"/>
        <v>22.544601592388211</v>
      </c>
      <c r="FB122">
        <f t="shared" si="441"/>
        <v>0.70400000000000007</v>
      </c>
      <c r="FC122">
        <f t="shared" si="335"/>
        <v>105575.361</v>
      </c>
      <c r="FD122">
        <f t="shared" si="336"/>
        <v>5.2440989901674541E-3</v>
      </c>
      <c r="FE122">
        <f t="shared" si="442"/>
        <v>4.1317178189428918E-3</v>
      </c>
      <c r="FF122">
        <f t="shared" si="443"/>
        <v>1.2970283640762878E-2</v>
      </c>
      <c r="FG122">
        <f t="shared" si="444"/>
        <v>14.839861335663358</v>
      </c>
      <c r="FH122">
        <f t="shared" si="559"/>
        <v>2.88577526422972E-6</v>
      </c>
      <c r="FI122">
        <f t="shared" si="530"/>
        <v>4.1214489373982512E-2</v>
      </c>
      <c r="FJ122">
        <f t="shared" si="445"/>
        <v>4351.2345940888681</v>
      </c>
      <c r="FK122">
        <f t="shared" si="531"/>
        <v>2.5946412022883587E-6</v>
      </c>
      <c r="FL122">
        <f t="shared" si="446"/>
        <v>3.3070969186003204E-4</v>
      </c>
      <c r="FM122">
        <f t="shared" si="447"/>
        <v>0.23985644755960275</v>
      </c>
      <c r="FO122">
        <f t="shared" si="448"/>
        <v>24.442295329121226</v>
      </c>
      <c r="FP122">
        <f t="shared" si="449"/>
        <v>0.70400000000000007</v>
      </c>
      <c r="FQ122">
        <f t="shared" si="337"/>
        <v>105575.361</v>
      </c>
      <c r="FR122">
        <f t="shared" si="338"/>
        <v>5.2440989901674541E-3</v>
      </c>
      <c r="FS122">
        <f t="shared" si="450"/>
        <v>4.1317178189428918E-3</v>
      </c>
      <c r="FT122">
        <f t="shared" si="451"/>
        <v>1.2970283640762878E-2</v>
      </c>
      <c r="FU122">
        <f t="shared" si="452"/>
        <v>14.839861335663358</v>
      </c>
      <c r="FV122">
        <f t="shared" si="560"/>
        <v>2.8070576389456814E-6</v>
      </c>
      <c r="FW122">
        <f t="shared" si="532"/>
        <v>3.9329269352860519E-2</v>
      </c>
      <c r="FX122">
        <f t="shared" si="453"/>
        <v>4152.2018097944856</v>
      </c>
      <c r="FY122">
        <f t="shared" si="533"/>
        <v>2.534605002437443E-6</v>
      </c>
      <c r="FZ122">
        <f t="shared" si="454"/>
        <v>3.0948878624941135E-4</v>
      </c>
      <c r="GA122">
        <f t="shared" si="455"/>
        <v>0.23331368929460763</v>
      </c>
      <c r="GC122">
        <f t="shared" si="456"/>
        <v>26.33998906585424</v>
      </c>
      <c r="GD122">
        <f t="shared" si="457"/>
        <v>0.70400000000000007</v>
      </c>
      <c r="GE122">
        <f t="shared" si="339"/>
        <v>105575.361</v>
      </c>
      <c r="GF122">
        <f t="shared" si="340"/>
        <v>5.2440989901674541E-3</v>
      </c>
      <c r="GG122">
        <f t="shared" si="458"/>
        <v>4.1317178189428918E-3</v>
      </c>
      <c r="GH122">
        <f t="shared" si="459"/>
        <v>1.2970283640762878E-2</v>
      </c>
      <c r="GI122">
        <f t="shared" si="460"/>
        <v>14.839861335663358</v>
      </c>
      <c r="GJ122">
        <f t="shared" si="561"/>
        <v>2.7319637425478552E-6</v>
      </c>
      <c r="GK122">
        <f t="shared" si="534"/>
        <v>3.755613705797245E-2</v>
      </c>
      <c r="GL122">
        <f t="shared" si="461"/>
        <v>3965.0027276609194</v>
      </c>
      <c r="GM122">
        <f t="shared" si="535"/>
        <v>2.4768106486743892E-6</v>
      </c>
      <c r="GN122">
        <f t="shared" si="462"/>
        <v>2.8983761119996828E-4</v>
      </c>
      <c r="GO122">
        <f t="shared" si="463"/>
        <v>0.22707212383153988</v>
      </c>
      <c r="GQ122">
        <f t="shared" si="464"/>
        <v>28.237682802587255</v>
      </c>
      <c r="GR122">
        <f t="shared" si="465"/>
        <v>0.70400000000000007</v>
      </c>
      <c r="GS122">
        <f t="shared" si="341"/>
        <v>105575.361</v>
      </c>
      <c r="GT122">
        <f t="shared" si="342"/>
        <v>5.2440989901674541E-3</v>
      </c>
      <c r="GU122">
        <f t="shared" si="466"/>
        <v>4.1317178189428918E-3</v>
      </c>
      <c r="GV122">
        <f t="shared" si="467"/>
        <v>1.2970283640762878E-2</v>
      </c>
      <c r="GW122">
        <f t="shared" si="468"/>
        <v>14.839861335663358</v>
      </c>
      <c r="GX122">
        <f t="shared" si="562"/>
        <v>2.6602765987295814E-6</v>
      </c>
      <c r="GY122">
        <f t="shared" si="536"/>
        <v>3.5887212099016463E-2</v>
      </c>
      <c r="GZ122">
        <f t="shared" si="469"/>
        <v>3788.8053726372309</v>
      </c>
      <c r="HA122">
        <f t="shared" si="537"/>
        <v>2.4211528581812884E-6</v>
      </c>
      <c r="HB122">
        <f t="shared" si="470"/>
        <v>2.7162929004532696E-4</v>
      </c>
      <c r="HC122">
        <f t="shared" si="471"/>
        <v>0.22111371679095035</v>
      </c>
      <c r="HE122">
        <f t="shared" si="472"/>
        <v>30.135376539320269</v>
      </c>
      <c r="HF122">
        <f t="shared" si="473"/>
        <v>0.70400000000000007</v>
      </c>
      <c r="HG122">
        <f t="shared" si="343"/>
        <v>105575.361</v>
      </c>
      <c r="HH122">
        <f t="shared" si="344"/>
        <v>5.2440989901674541E-3</v>
      </c>
      <c r="HI122">
        <f t="shared" si="568"/>
        <v>4.1317178189428918E-3</v>
      </c>
      <c r="HJ122">
        <f t="shared" si="474"/>
        <v>1.2970283640762878E-2</v>
      </c>
      <c r="HK122">
        <f t="shared" si="475"/>
        <v>14.839861335663358</v>
      </c>
      <c r="HL122">
        <f t="shared" si="563"/>
        <v>2.5917945663614987E-6</v>
      </c>
      <c r="HM122">
        <f t="shared" si="538"/>
        <v>3.4315238261612625E-2</v>
      </c>
      <c r="HN122">
        <f t="shared" si="476"/>
        <v>3622.8436672707653</v>
      </c>
      <c r="HO122">
        <f t="shared" si="539"/>
        <v>2.3675320008511578E-6</v>
      </c>
      <c r="HP122">
        <f t="shared" si="477"/>
        <v>2.5474794478223291E-4</v>
      </c>
      <c r="HQ122">
        <f t="shared" si="478"/>
        <v>0.21542170840447797</v>
      </c>
      <c r="HS122">
        <f t="shared" si="479"/>
        <v>32.03307027605328</v>
      </c>
      <c r="HT122">
        <f t="shared" si="480"/>
        <v>0.70400000000000007</v>
      </c>
      <c r="HU122">
        <f t="shared" si="345"/>
        <v>105575.361</v>
      </c>
      <c r="HV122">
        <f t="shared" si="346"/>
        <v>5.2440989901674541E-3</v>
      </c>
      <c r="HW122">
        <f t="shared" si="569"/>
        <v>4.1317178189428918E-3</v>
      </c>
      <c r="HX122">
        <f t="shared" si="481"/>
        <v>1.2970283640762878E-2</v>
      </c>
      <c r="HY122">
        <f t="shared" si="482"/>
        <v>14.839861335663358</v>
      </c>
      <c r="HZ122">
        <f t="shared" si="564"/>
        <v>2.5263301210233444E-6</v>
      </c>
      <c r="IA122">
        <f t="shared" si="540"/>
        <v>3.2833529450522682E-2</v>
      </c>
      <c r="IB122">
        <f t="shared" si="483"/>
        <v>3466.4117246430637</v>
      </c>
      <c r="IC122">
        <f t="shared" si="541"/>
        <v>2.3158537711116591E-6</v>
      </c>
      <c r="ID122">
        <f t="shared" si="484"/>
        <v>2.3908768475582051E-4</v>
      </c>
      <c r="IE122">
        <f t="shared" si="485"/>
        <v>0.20998051223965442</v>
      </c>
      <c r="IG122">
        <f t="shared" si="486"/>
        <v>33.930764012786298</v>
      </c>
      <c r="IH122">
        <f t="shared" si="487"/>
        <v>0.70400000000000007</v>
      </c>
      <c r="II122">
        <f t="shared" si="347"/>
        <v>105575.361</v>
      </c>
      <c r="IJ122">
        <f t="shared" si="348"/>
        <v>5.2440989901674541E-3</v>
      </c>
      <c r="IK122">
        <f t="shared" si="570"/>
        <v>4.1317178189428918E-3</v>
      </c>
      <c r="IL122">
        <f t="shared" si="488"/>
        <v>1.2970283640762878E-2</v>
      </c>
      <c r="IM122">
        <f t="shared" si="489"/>
        <v>14.839861335663358</v>
      </c>
      <c r="IN122">
        <f t="shared" si="565"/>
        <v>2.4637087422202323E-6</v>
      </c>
      <c r="IO122">
        <f t="shared" si="542"/>
        <v>3.1435920645655341E-2</v>
      </c>
      <c r="IP122">
        <f t="shared" si="490"/>
        <v>3318.858670532416</v>
      </c>
      <c r="IQ122">
        <f t="shared" si="543"/>
        <v>2.2660288794471151E-6</v>
      </c>
      <c r="IR122">
        <f t="shared" si="491"/>
        <v>2.2455169301968675E-4</v>
      </c>
      <c r="IS122">
        <f t="shared" si="492"/>
        <v>0.20477562270886557</v>
      </c>
      <c r="IU122">
        <f t="shared" si="493"/>
        <v>35.828457749519309</v>
      </c>
      <c r="IV122">
        <f t="shared" si="494"/>
        <v>0.70400000000000007</v>
      </c>
      <c r="IW122">
        <f t="shared" si="349"/>
        <v>105575.361</v>
      </c>
      <c r="IX122">
        <f t="shared" si="350"/>
        <v>5.2440989901674541E-3</v>
      </c>
      <c r="IY122">
        <f t="shared" si="571"/>
        <v>4.1317178189428918E-3</v>
      </c>
      <c r="IZ122">
        <f t="shared" si="495"/>
        <v>1.2970283640762878E-2</v>
      </c>
      <c r="JA122">
        <f t="shared" si="496"/>
        <v>14.839861335663358</v>
      </c>
      <c r="JB122">
        <f t="shared" si="566"/>
        <v>2.4037678964784065E-6</v>
      </c>
      <c r="JC122">
        <f t="shared" si="544"/>
        <v>3.0116723381043868E-2</v>
      </c>
      <c r="JD122">
        <f t="shared" si="497"/>
        <v>3179.5839430908472</v>
      </c>
      <c r="JE122">
        <f t="shared" si="545"/>
        <v>2.2179727624536415E-6</v>
      </c>
      <c r="JF122">
        <f t="shared" si="498"/>
        <v>2.1105140055648717E-4</v>
      </c>
      <c r="JG122">
        <f t="shared" si="499"/>
        <v>0.19979353054751006</v>
      </c>
      <c r="JI122">
        <f t="shared" si="500"/>
        <v>37.726151486252327</v>
      </c>
      <c r="JJ122">
        <f t="shared" si="501"/>
        <v>0.70400000000000007</v>
      </c>
      <c r="JK122">
        <f t="shared" si="351"/>
        <v>105575.361</v>
      </c>
      <c r="JL122">
        <f t="shared" si="352"/>
        <v>5.2440989901674541E-3</v>
      </c>
      <c r="JM122">
        <f t="shared" si="572"/>
        <v>4.1317178189428918E-3</v>
      </c>
      <c r="JN122">
        <f t="shared" si="502"/>
        <v>1.2970283640762878E-2</v>
      </c>
      <c r="JO122">
        <f t="shared" si="503"/>
        <v>14.839861335663358</v>
      </c>
      <c r="JP122">
        <f t="shared" si="567"/>
        <v>2.3463561074734722E-6</v>
      </c>
      <c r="JQ122">
        <f t="shared" si="546"/>
        <v>2.8870685306755066E-2</v>
      </c>
      <c r="JR122">
        <f t="shared" si="504"/>
        <v>3048.0330235780621</v>
      </c>
      <c r="JS122">
        <f t="shared" si="547"/>
        <v>2.1716053103255462E-6</v>
      </c>
      <c r="JT122">
        <f t="shared" si="505"/>
        <v>1.9850573956106061E-4</v>
      </c>
      <c r="JU122">
        <f t="shared" si="506"/>
        <v>0.19502164552601978</v>
      </c>
    </row>
    <row r="123" spans="2:281">
      <c r="B123">
        <v>0.89</v>
      </c>
      <c r="C123">
        <f t="shared" si="353"/>
        <v>1.6889474256923829</v>
      </c>
      <c r="D123">
        <f t="shared" si="354"/>
        <v>0.71200000000000008</v>
      </c>
      <c r="E123">
        <f t="shared" si="313"/>
        <v>105390.933</v>
      </c>
      <c r="F123">
        <f t="shared" si="314"/>
        <v>5.2471561635938288E-3</v>
      </c>
      <c r="G123">
        <f t="shared" si="355"/>
        <v>4.1305140032061073E-3</v>
      </c>
      <c r="H123">
        <f t="shared" si="356"/>
        <v>1.2992980882387057E-2</v>
      </c>
      <c r="I123">
        <f t="shared" si="357"/>
        <v>14.857168886113012</v>
      </c>
      <c r="J123">
        <f t="shared" si="548"/>
        <v>4.0722537302792791E-6</v>
      </c>
      <c r="K123">
        <f t="shared" si="507"/>
        <v>7.2829889061339664E-2</v>
      </c>
      <c r="L123">
        <f t="shared" si="358"/>
        <v>7675.609958461082</v>
      </c>
      <c r="M123">
        <f t="shared" si="508"/>
        <v>3.4460970959356784E-6</v>
      </c>
      <c r="N123">
        <f t="shared" si="509"/>
        <v>7.1189599923590174E-4</v>
      </c>
      <c r="O123">
        <f t="shared" si="359"/>
        <v>0.33847275822666922</v>
      </c>
      <c r="Q123">
        <f t="shared" si="360"/>
        <v>3.5866411624253973</v>
      </c>
      <c r="R123">
        <f t="shared" si="361"/>
        <v>0.71200000000000008</v>
      </c>
      <c r="S123">
        <f t="shared" si="315"/>
        <v>105390.933</v>
      </c>
      <c r="T123">
        <f t="shared" si="316"/>
        <v>5.2471561635938288E-3</v>
      </c>
      <c r="U123">
        <f t="shared" si="362"/>
        <v>4.1305140032061073E-3</v>
      </c>
      <c r="V123">
        <f t="shared" si="363"/>
        <v>1.2992980882387057E-2</v>
      </c>
      <c r="W123">
        <f t="shared" si="364"/>
        <v>14.857168886113012</v>
      </c>
      <c r="X123">
        <f t="shared" si="549"/>
        <v>3.9333818015919276E-6</v>
      </c>
      <c r="Y123">
        <f t="shared" si="510"/>
        <v>6.89110792803595E-2</v>
      </c>
      <c r="Z123">
        <f t="shared" si="365"/>
        <v>7262.6029393940562</v>
      </c>
      <c r="AA123">
        <f t="shared" si="511"/>
        <v>3.3521018947388291E-6</v>
      </c>
      <c r="AB123">
        <f t="shared" si="366"/>
        <v>6.60874320302836E-4</v>
      </c>
      <c r="AC123">
        <f t="shared" si="367"/>
        <v>0.3269301658794479</v>
      </c>
      <c r="AE123">
        <f t="shared" si="368"/>
        <v>5.4843348991584122</v>
      </c>
      <c r="AF123">
        <f t="shared" si="369"/>
        <v>0.71200000000000008</v>
      </c>
      <c r="AG123">
        <f t="shared" si="317"/>
        <v>105390.933</v>
      </c>
      <c r="AH123">
        <f t="shared" si="318"/>
        <v>5.2471561635938288E-3</v>
      </c>
      <c r="AI123">
        <f t="shared" si="370"/>
        <v>4.1305140032061073E-3</v>
      </c>
      <c r="AJ123">
        <f t="shared" si="371"/>
        <v>1.2992980882387057E-2</v>
      </c>
      <c r="AK123">
        <f t="shared" si="372"/>
        <v>14.857168886113012</v>
      </c>
      <c r="AL123">
        <f t="shared" si="550"/>
        <v>3.8020220970421359E-6</v>
      </c>
      <c r="AM123">
        <f t="shared" si="512"/>
        <v>6.5256932352923791E-2</v>
      </c>
      <c r="AN123">
        <f t="shared" si="373"/>
        <v>6877.4889853925242</v>
      </c>
      <c r="AO123">
        <f t="shared" si="513"/>
        <v>3.2620154429935711E-6</v>
      </c>
      <c r="AP123">
        <f t="shared" si="374"/>
        <v>6.139495383306687E-4</v>
      </c>
      <c r="AQ123">
        <f t="shared" si="375"/>
        <v>0.31601196567295947</v>
      </c>
      <c r="AS123">
        <f t="shared" si="376"/>
        <v>7.3820286358914267</v>
      </c>
      <c r="AT123">
        <f t="shared" si="377"/>
        <v>0.71200000000000008</v>
      </c>
      <c r="AU123">
        <f t="shared" si="319"/>
        <v>105390.933</v>
      </c>
      <c r="AV123">
        <f t="shared" si="320"/>
        <v>5.2471561635938288E-3</v>
      </c>
      <c r="AW123">
        <f t="shared" si="378"/>
        <v>4.1305140032061073E-3</v>
      </c>
      <c r="AX123">
        <f t="shared" si="379"/>
        <v>1.2992980882387057E-2</v>
      </c>
      <c r="AY123">
        <f t="shared" si="380"/>
        <v>14.857168886113012</v>
      </c>
      <c r="AZ123">
        <f t="shared" si="551"/>
        <v>3.677664944125301E-6</v>
      </c>
      <c r="BA123">
        <f t="shared" si="514"/>
        <v>6.1846813251685451E-2</v>
      </c>
      <c r="BB123">
        <f t="shared" si="381"/>
        <v>6518.0933516718942</v>
      </c>
      <c r="BC123">
        <f t="shared" si="515"/>
        <v>3.1756406244914558E-6</v>
      </c>
      <c r="BD123">
        <f t="shared" si="382"/>
        <v>5.707662988209181E-4</v>
      </c>
      <c r="BE123">
        <f t="shared" si="383"/>
        <v>0.30567579525214189</v>
      </c>
      <c r="BG123">
        <f t="shared" si="384"/>
        <v>9.2797223726244393</v>
      </c>
      <c r="BH123">
        <f t="shared" si="385"/>
        <v>0.71200000000000008</v>
      </c>
      <c r="BI123">
        <f t="shared" si="321"/>
        <v>105390.933</v>
      </c>
      <c r="BJ123">
        <f t="shared" si="322"/>
        <v>5.2471561635938288E-3</v>
      </c>
      <c r="BK123">
        <f t="shared" si="386"/>
        <v>4.1305140032061073E-3</v>
      </c>
      <c r="BL123">
        <f t="shared" si="387"/>
        <v>1.2992980882387057E-2</v>
      </c>
      <c r="BM123">
        <f t="shared" si="388"/>
        <v>14.857168886113012</v>
      </c>
      <c r="BN123">
        <f t="shared" si="552"/>
        <v>3.559840514673511E-6</v>
      </c>
      <c r="BO123">
        <f t="shared" si="516"/>
        <v>5.8661865716982141E-2</v>
      </c>
      <c r="BP123">
        <f t="shared" si="389"/>
        <v>6182.4287594334619</v>
      </c>
      <c r="BQ123">
        <f t="shared" si="517"/>
        <v>3.0927913447918405E-6</v>
      </c>
      <c r="BR123">
        <f t="shared" si="390"/>
        <v>5.3100201650623674E-4</v>
      </c>
      <c r="BS123">
        <f t="shared" si="391"/>
        <v>0.2958826039962778</v>
      </c>
      <c r="BU123">
        <f t="shared" si="392"/>
        <v>11.177416109357454</v>
      </c>
      <c r="BV123">
        <f t="shared" si="393"/>
        <v>0.71200000000000008</v>
      </c>
      <c r="BW123">
        <f t="shared" si="323"/>
        <v>105390.933</v>
      </c>
      <c r="BX123">
        <f t="shared" si="324"/>
        <v>5.2471561635938288E-3</v>
      </c>
      <c r="BY123">
        <f t="shared" si="394"/>
        <v>4.1305140032061073E-3</v>
      </c>
      <c r="BZ123">
        <f t="shared" si="395"/>
        <v>1.2992980882387057E-2</v>
      </c>
      <c r="CA123">
        <f t="shared" si="396"/>
        <v>14.857168886113012</v>
      </c>
      <c r="CB123">
        <f t="shared" si="553"/>
        <v>3.4481153864205338E-6</v>
      </c>
      <c r="CC123">
        <f t="shared" si="518"/>
        <v>5.5684847286481688E-2</v>
      </c>
      <c r="CD123">
        <f t="shared" si="397"/>
        <v>5868.6780094848236</v>
      </c>
      <c r="CE123">
        <f t="shared" si="519"/>
        <v>3.0132918855127956E-6</v>
      </c>
      <c r="CF123">
        <f t="shared" si="398"/>
        <v>4.943637002177057E-4</v>
      </c>
      <c r="CG123">
        <f t="shared" si="399"/>
        <v>0.28659636722722953</v>
      </c>
      <c r="CI123">
        <f t="shared" si="400"/>
        <v>13.075109846090468</v>
      </c>
      <c r="CJ123">
        <f t="shared" si="401"/>
        <v>0.71200000000000008</v>
      </c>
      <c r="CK123">
        <f t="shared" si="325"/>
        <v>105390.933</v>
      </c>
      <c r="CL123">
        <f t="shared" si="326"/>
        <v>5.2471561635938288E-3</v>
      </c>
      <c r="CM123">
        <f t="shared" si="402"/>
        <v>4.1305140032061073E-3</v>
      </c>
      <c r="CN123">
        <f t="shared" si="403"/>
        <v>1.2992980882387057E-2</v>
      </c>
      <c r="CO123">
        <f t="shared" si="404"/>
        <v>14.857168886113012</v>
      </c>
      <c r="CP123">
        <f t="shared" si="554"/>
        <v>3.3420894235112339E-6</v>
      </c>
      <c r="CQ123">
        <f t="shared" si="520"/>
        <v>5.2899980468667326E-2</v>
      </c>
      <c r="CR123">
        <f t="shared" si="405"/>
        <v>5575.1782972746269</v>
      </c>
      <c r="CS123">
        <f t="shared" si="521"/>
        <v>2.9369762963004731E-6</v>
      </c>
      <c r="CT123">
        <f t="shared" si="406"/>
        <v>4.605850975317276E-4</v>
      </c>
      <c r="CU123">
        <f t="shared" si="407"/>
        <v>0.27778382692731846</v>
      </c>
      <c r="CW123">
        <f t="shared" si="408"/>
        <v>14.972803582823483</v>
      </c>
      <c r="CX123">
        <f t="shared" si="409"/>
        <v>0.71200000000000008</v>
      </c>
      <c r="CY123">
        <f t="shared" si="327"/>
        <v>105390.933</v>
      </c>
      <c r="CZ123">
        <f t="shared" si="328"/>
        <v>5.2471561635938288E-3</v>
      </c>
      <c r="DA123">
        <f t="shared" si="410"/>
        <v>4.1305140032061073E-3</v>
      </c>
      <c r="DB123">
        <f t="shared" si="411"/>
        <v>1.2992980882387057E-2</v>
      </c>
      <c r="DC123">
        <f t="shared" si="412"/>
        <v>14.857168886113012</v>
      </c>
      <c r="DD123">
        <f t="shared" si="555"/>
        <v>3.2413929447519559E-6</v>
      </c>
      <c r="DE123">
        <f t="shared" si="522"/>
        <v>5.0292818418337236E-2</v>
      </c>
      <c r="DF123">
        <f t="shared" si="413"/>
        <v>5300.4070563081459</v>
      </c>
      <c r="DG123">
        <f t="shared" si="523"/>
        <v>2.8636878224157338E-6</v>
      </c>
      <c r="DH123">
        <f t="shared" si="414"/>
        <v>4.2942412606381951E-4</v>
      </c>
      <c r="DI123">
        <f t="shared" si="415"/>
        <v>0.26941425637331751</v>
      </c>
      <c r="DK123">
        <f t="shared" si="416"/>
        <v>16.870497319556499</v>
      </c>
      <c r="DL123">
        <f t="shared" si="417"/>
        <v>0.71200000000000008</v>
      </c>
      <c r="DM123">
        <f t="shared" si="329"/>
        <v>105390.933</v>
      </c>
      <c r="DN123">
        <f t="shared" si="330"/>
        <v>5.2471561635938288E-3</v>
      </c>
      <c r="DO123">
        <f t="shared" si="418"/>
        <v>4.1305140032061073E-3</v>
      </c>
      <c r="DP123">
        <f t="shared" si="419"/>
        <v>1.2992980882387057E-2</v>
      </c>
      <c r="DQ123">
        <f t="shared" si="420"/>
        <v>14.857168886113012</v>
      </c>
      <c r="DR123">
        <f t="shared" si="556"/>
        <v>3.1456841515708659E-6</v>
      </c>
      <c r="DS123">
        <f t="shared" si="524"/>
        <v>4.785012364364423E-2</v>
      </c>
      <c r="DT123">
        <f t="shared" si="421"/>
        <v>5042.9691749690255</v>
      </c>
      <c r="DU123">
        <f t="shared" si="525"/>
        <v>2.7932783659730157E-6</v>
      </c>
      <c r="DV123">
        <f t="shared" si="422"/>
        <v>4.0066056177411237E-4</v>
      </c>
      <c r="DW123">
        <f t="shared" si="423"/>
        <v>0.26145924635670742</v>
      </c>
      <c r="DY123">
        <f t="shared" si="424"/>
        <v>18.768191056289513</v>
      </c>
      <c r="DZ123">
        <f t="shared" si="425"/>
        <v>0.71200000000000008</v>
      </c>
      <c r="EA123">
        <f t="shared" si="331"/>
        <v>105390.933</v>
      </c>
      <c r="EB123">
        <f t="shared" si="332"/>
        <v>5.2471561635938288E-3</v>
      </c>
      <c r="EC123">
        <f t="shared" si="426"/>
        <v>4.1305140032061073E-3</v>
      </c>
      <c r="ED123">
        <f t="shared" si="427"/>
        <v>1.2992980882387057E-2</v>
      </c>
      <c r="EE123">
        <f t="shared" si="428"/>
        <v>14.857168886113012</v>
      </c>
      <c r="EF123">
        <f t="shared" si="557"/>
        <v>3.0546467904985958E-6</v>
      </c>
      <c r="EG123">
        <f t="shared" si="526"/>
        <v>4.5559758427401634E-2</v>
      </c>
      <c r="EH123">
        <f t="shared" si="429"/>
        <v>4801.5854479184709</v>
      </c>
      <c r="EI123">
        <f t="shared" si="527"/>
        <v>2.7256079789594344E-6</v>
      </c>
      <c r="EJ123">
        <f t="shared" si="430"/>
        <v>3.74093957774032E-4</v>
      </c>
      <c r="EK123">
        <f t="shared" si="431"/>
        <v>0.25389251089651416</v>
      </c>
      <c r="EM123">
        <f t="shared" si="432"/>
        <v>20.665884793022528</v>
      </c>
      <c r="EN123">
        <f t="shared" si="433"/>
        <v>0.71200000000000008</v>
      </c>
      <c r="EO123">
        <f t="shared" si="333"/>
        <v>105390.933</v>
      </c>
      <c r="EP123">
        <f t="shared" si="334"/>
        <v>5.2471561635938288E-3</v>
      </c>
      <c r="EQ123">
        <f t="shared" si="434"/>
        <v>4.1305140032061073E-3</v>
      </c>
      <c r="ER123">
        <f t="shared" si="435"/>
        <v>1.2992980882387057E-2</v>
      </c>
      <c r="ES123">
        <f t="shared" si="436"/>
        <v>14.857168886113012</v>
      </c>
      <c r="ET123">
        <f t="shared" si="558"/>
        <v>2.9679880275248628E-6</v>
      </c>
      <c r="EU123">
        <f t="shared" si="528"/>
        <v>4.3410585782360754E-2</v>
      </c>
      <c r="EV123">
        <f t="shared" si="437"/>
        <v>4575.0821376795348</v>
      </c>
      <c r="EW123">
        <f t="shared" si="529"/>
        <v>2.6605443862519991E-6</v>
      </c>
      <c r="EX123">
        <f t="shared" si="438"/>
        <v>3.4954176991529984E-4</v>
      </c>
      <c r="EY123">
        <f t="shared" si="439"/>
        <v>0.24668971056260203</v>
      </c>
      <c r="FA123">
        <f t="shared" si="440"/>
        <v>22.563578529755542</v>
      </c>
      <c r="FB123">
        <f t="shared" si="441"/>
        <v>0.71200000000000008</v>
      </c>
      <c r="FC123">
        <f t="shared" si="335"/>
        <v>105390.933</v>
      </c>
      <c r="FD123">
        <f t="shared" si="336"/>
        <v>5.2471561635938288E-3</v>
      </c>
      <c r="FE123">
        <f t="shared" si="442"/>
        <v>4.1305140032061073E-3</v>
      </c>
      <c r="FF123">
        <f t="shared" si="443"/>
        <v>1.2992980882387057E-2</v>
      </c>
      <c r="FG123">
        <f t="shared" si="444"/>
        <v>14.857168886113012</v>
      </c>
      <c r="FH123">
        <f t="shared" si="559"/>
        <v>2.8854365139675265E-6</v>
      </c>
      <c r="FI123">
        <f t="shared" si="530"/>
        <v>4.139237988265098E-2</v>
      </c>
      <c r="FJ123">
        <f t="shared" si="445"/>
        <v>4362.3815349230172</v>
      </c>
      <c r="FK123">
        <f t="shared" si="531"/>
        <v>2.5979625369374935E-6</v>
      </c>
      <c r="FL123">
        <f t="shared" si="446"/>
        <v>3.2683766793695321E-4</v>
      </c>
      <c r="FM123">
        <f t="shared" si="447"/>
        <v>0.2398282917168707</v>
      </c>
      <c r="FO123">
        <f t="shared" si="448"/>
        <v>24.461272266488557</v>
      </c>
      <c r="FP123">
        <f t="shared" si="449"/>
        <v>0.71200000000000008</v>
      </c>
      <c r="FQ123">
        <f t="shared" si="337"/>
        <v>105390.933</v>
      </c>
      <c r="FR123">
        <f t="shared" si="338"/>
        <v>5.2471561635938288E-3</v>
      </c>
      <c r="FS123">
        <f t="shared" si="450"/>
        <v>4.1305140032061073E-3</v>
      </c>
      <c r="FT123">
        <f t="shared" si="451"/>
        <v>1.2992980882387057E-2</v>
      </c>
      <c r="FU123">
        <f t="shared" si="452"/>
        <v>14.857168886113012</v>
      </c>
      <c r="FV123">
        <f t="shared" si="560"/>
        <v>2.8067406255346189E-6</v>
      </c>
      <c r="FW123">
        <f t="shared" si="532"/>
        <v>3.9495745023118152E-2</v>
      </c>
      <c r="FX123">
        <f t="shared" si="453"/>
        <v>4162.493417516529</v>
      </c>
      <c r="FY123">
        <f t="shared" si="533"/>
        <v>2.5377441823235338E-6</v>
      </c>
      <c r="FZ123">
        <f t="shared" si="454"/>
        <v>3.0583001317458771E-4</v>
      </c>
      <c r="GA123">
        <f t="shared" si="455"/>
        <v>0.23328734014970062</v>
      </c>
      <c r="GC123">
        <f t="shared" si="456"/>
        <v>26.358966003221571</v>
      </c>
      <c r="GD123">
        <f t="shared" si="457"/>
        <v>0.71200000000000008</v>
      </c>
      <c r="GE123">
        <f t="shared" si="339"/>
        <v>105390.933</v>
      </c>
      <c r="GF123">
        <f t="shared" si="340"/>
        <v>5.2471561635938288E-3</v>
      </c>
      <c r="GG123">
        <f t="shared" si="458"/>
        <v>4.1305140032061073E-3</v>
      </c>
      <c r="GH123">
        <f t="shared" si="459"/>
        <v>1.2992980882387057E-2</v>
      </c>
      <c r="GI123">
        <f t="shared" si="460"/>
        <v>14.857168886113012</v>
      </c>
      <c r="GJ123">
        <f t="shared" si="561"/>
        <v>2.731666858092382E-6</v>
      </c>
      <c r="GK123">
        <f t="shared" si="534"/>
        <v>3.7712042256267751E-2</v>
      </c>
      <c r="GL123">
        <f t="shared" si="461"/>
        <v>3974.5073187234834</v>
      </c>
      <c r="GM123">
        <f t="shared" si="535"/>
        <v>2.4797774791099895E-6</v>
      </c>
      <c r="GN123">
        <f t="shared" si="462"/>
        <v>2.8638048582773707E-4</v>
      </c>
      <c r="GO123">
        <f t="shared" si="463"/>
        <v>0.22704744774130231</v>
      </c>
      <c r="GQ123">
        <f t="shared" si="464"/>
        <v>28.256659739954586</v>
      </c>
      <c r="GR123">
        <f t="shared" si="465"/>
        <v>0.71200000000000008</v>
      </c>
      <c r="GS123">
        <f t="shared" si="341"/>
        <v>105390.933</v>
      </c>
      <c r="GT123">
        <f t="shared" si="342"/>
        <v>5.2471561635938288E-3</v>
      </c>
      <c r="GU123">
        <f t="shared" si="466"/>
        <v>4.1305140032061073E-3</v>
      </c>
      <c r="GV123">
        <f t="shared" si="467"/>
        <v>1.2992980882387057E-2</v>
      </c>
      <c r="GW123">
        <f t="shared" si="468"/>
        <v>14.857168886113012</v>
      </c>
      <c r="GX123">
        <f t="shared" si="562"/>
        <v>2.6599983652955843E-6</v>
      </c>
      <c r="GY123">
        <f t="shared" si="536"/>
        <v>3.6033322944161783E-2</v>
      </c>
      <c r="GZ123">
        <f t="shared" si="469"/>
        <v>3797.5855241755175</v>
      </c>
      <c r="HA123">
        <f t="shared" si="537"/>
        <v>2.4239566162679358E-6</v>
      </c>
      <c r="HB123">
        <f t="shared" si="470"/>
        <v>2.6836284656087844E-4</v>
      </c>
      <c r="HC123">
        <f t="shared" si="471"/>
        <v>0.22109059091420655</v>
      </c>
      <c r="HE123">
        <f t="shared" si="472"/>
        <v>30.1543534766876</v>
      </c>
      <c r="HF123">
        <f t="shared" si="473"/>
        <v>0.71200000000000008</v>
      </c>
      <c r="HG123">
        <f t="shared" si="343"/>
        <v>105390.933</v>
      </c>
      <c r="HH123">
        <f t="shared" si="344"/>
        <v>5.2471561635938288E-3</v>
      </c>
      <c r="HI123">
        <f t="shared" si="568"/>
        <v>4.1305140032061073E-3</v>
      </c>
      <c r="HJ123">
        <f t="shared" si="474"/>
        <v>1.2992980882387057E-2</v>
      </c>
      <c r="HK123">
        <f t="shared" si="475"/>
        <v>14.857168886113012</v>
      </c>
      <c r="HL123">
        <f t="shared" si="563"/>
        <v>2.5915336247102186E-6</v>
      </c>
      <c r="HM123">
        <f t="shared" si="538"/>
        <v>3.4452268541023782E-2</v>
      </c>
      <c r="HN123">
        <f t="shared" si="476"/>
        <v>3630.9567255050451</v>
      </c>
      <c r="HO123">
        <f t="shared" si="539"/>
        <v>2.3701814642482153E-6</v>
      </c>
      <c r="HP123">
        <f t="shared" si="477"/>
        <v>2.5166181880403486E-4</v>
      </c>
      <c r="HQ123">
        <f t="shared" si="478"/>
        <v>0.21540001976563206</v>
      </c>
      <c r="HS123">
        <f t="shared" si="479"/>
        <v>32.052047213420614</v>
      </c>
      <c r="HT123">
        <f t="shared" si="480"/>
        <v>0.71200000000000008</v>
      </c>
      <c r="HU123">
        <f t="shared" si="345"/>
        <v>105390.933</v>
      </c>
      <c r="HV123">
        <f t="shared" si="346"/>
        <v>5.2471561635938288E-3</v>
      </c>
      <c r="HW123">
        <f t="shared" si="569"/>
        <v>4.1305140032061073E-3</v>
      </c>
      <c r="HX123">
        <f t="shared" si="481"/>
        <v>1.2992980882387057E-2</v>
      </c>
      <c r="HY123">
        <f t="shared" si="482"/>
        <v>14.857168886113012</v>
      </c>
      <c r="HZ123">
        <f t="shared" si="564"/>
        <v>2.5260852203812046E-6</v>
      </c>
      <c r="IA123">
        <f t="shared" si="540"/>
        <v>3.2962135992466987E-2</v>
      </c>
      <c r="IB123">
        <f t="shared" si="483"/>
        <v>3473.9102659189771</v>
      </c>
      <c r="IC123">
        <f t="shared" si="541"/>
        <v>2.3183572452138414E-6</v>
      </c>
      <c r="ID123">
        <f t="shared" si="484"/>
        <v>2.3617207954051915E-4</v>
      </c>
      <c r="IE123">
        <f t="shared" si="485"/>
        <v>0.2099601568783909</v>
      </c>
      <c r="IG123">
        <f t="shared" si="486"/>
        <v>33.949740950153632</v>
      </c>
      <c r="IH123">
        <f t="shared" si="487"/>
        <v>0.71200000000000008</v>
      </c>
      <c r="II123">
        <f t="shared" si="347"/>
        <v>105390.933</v>
      </c>
      <c r="IJ123">
        <f t="shared" si="348"/>
        <v>5.2471561635938288E-3</v>
      </c>
      <c r="IK123">
        <f t="shared" si="570"/>
        <v>4.1305140032061073E-3</v>
      </c>
      <c r="IL123">
        <f t="shared" si="488"/>
        <v>1.2992980882387057E-2</v>
      </c>
      <c r="IM123">
        <f t="shared" si="489"/>
        <v>14.857168886113012</v>
      </c>
      <c r="IN123">
        <f t="shared" si="565"/>
        <v>2.4634787309845211E-6</v>
      </c>
      <c r="IO123">
        <f t="shared" si="542"/>
        <v>3.1556708200047766E-2</v>
      </c>
      <c r="IP123">
        <f t="shared" si="490"/>
        <v>3325.7909196117848</v>
      </c>
      <c r="IQ123">
        <f t="shared" si="543"/>
        <v>2.2683942230596574E-6</v>
      </c>
      <c r="IR123">
        <f t="shared" si="491"/>
        <v>2.2179734764002409E-4</v>
      </c>
      <c r="IS123">
        <f t="shared" si="492"/>
        <v>0.20475650490763539</v>
      </c>
      <c r="IU123">
        <f t="shared" si="493"/>
        <v>35.847434686886643</v>
      </c>
      <c r="IV123">
        <f t="shared" si="494"/>
        <v>0.71200000000000008</v>
      </c>
      <c r="IW123">
        <f t="shared" si="349"/>
        <v>105390.933</v>
      </c>
      <c r="IX123">
        <f t="shared" si="350"/>
        <v>5.2471561635938288E-3</v>
      </c>
      <c r="IY123">
        <f t="shared" si="571"/>
        <v>4.1305140032061073E-3</v>
      </c>
      <c r="IZ123">
        <f t="shared" si="495"/>
        <v>1.2992980882387057E-2</v>
      </c>
      <c r="JA123">
        <f t="shared" si="496"/>
        <v>14.857168886113012</v>
      </c>
      <c r="JB123">
        <f t="shared" si="566"/>
        <v>2.4035517137688139E-6</v>
      </c>
      <c r="JC123">
        <f t="shared" si="544"/>
        <v>3.0230249056052153E-2</v>
      </c>
      <c r="JD123">
        <f t="shared" si="497"/>
        <v>3185.9941528397057</v>
      </c>
      <c r="JE123">
        <f t="shared" si="545"/>
        <v>2.220207412049134E-6</v>
      </c>
      <c r="JF123">
        <f t="shared" si="498"/>
        <v>2.084495599312245E-4</v>
      </c>
      <c r="JG123">
        <f t="shared" si="499"/>
        <v>0.19977556212932124</v>
      </c>
      <c r="JI123">
        <f t="shared" si="500"/>
        <v>37.745128423619661</v>
      </c>
      <c r="JJ123">
        <f t="shared" si="501"/>
        <v>0.71200000000000008</v>
      </c>
      <c r="JK123">
        <f t="shared" si="351"/>
        <v>105390.933</v>
      </c>
      <c r="JL123">
        <f t="shared" si="352"/>
        <v>5.2471561635938288E-3</v>
      </c>
      <c r="JM123">
        <f t="shared" si="572"/>
        <v>4.1305140032061073E-3</v>
      </c>
      <c r="JN123">
        <f t="shared" si="502"/>
        <v>1.2992980882387057E-2</v>
      </c>
      <c r="JO123">
        <f t="shared" si="503"/>
        <v>14.857168886113012</v>
      </c>
      <c r="JP123">
        <f t="shared" si="567"/>
        <v>2.3461527754485018E-6</v>
      </c>
      <c r="JQ123">
        <f t="shared" si="546"/>
        <v>2.8977462603741812E-2</v>
      </c>
      <c r="JR123">
        <f t="shared" si="504"/>
        <v>3053.9618197809591</v>
      </c>
      <c r="JS123">
        <f t="shared" si="547"/>
        <v>2.1737163029617878E-6</v>
      </c>
      <c r="JT123">
        <f t="shared" si="505"/>
        <v>1.9604812622376702E-4</v>
      </c>
      <c r="JU123">
        <f t="shared" si="506"/>
        <v>0.19500474521580191</v>
      </c>
    </row>
    <row r="124" spans="2:281">
      <c r="B124">
        <v>0.9</v>
      </c>
      <c r="C124">
        <f t="shared" si="353"/>
        <v>1.707924363059713</v>
      </c>
      <c r="D124">
        <f t="shared" si="354"/>
        <v>0.72</v>
      </c>
      <c r="E124">
        <f t="shared" si="313"/>
        <v>105206.505</v>
      </c>
      <c r="F124">
        <f t="shared" si="314"/>
        <v>5.2502204785219789E-3</v>
      </c>
      <c r="G124">
        <f t="shared" si="355"/>
        <v>4.1293084306811738E-3</v>
      </c>
      <c r="H124">
        <f t="shared" si="356"/>
        <v>1.3015757700970442E-2</v>
      </c>
      <c r="I124">
        <f t="shared" si="357"/>
        <v>14.874526988970855</v>
      </c>
      <c r="J124">
        <f t="shared" si="548"/>
        <v>4.0715245258975168E-6</v>
      </c>
      <c r="K124">
        <f t="shared" si="507"/>
        <v>7.321282171962025E-2</v>
      </c>
      <c r="L124">
        <f t="shared" si="358"/>
        <v>7702.4650943093366</v>
      </c>
      <c r="M124">
        <f t="shared" si="508"/>
        <v>3.4521203695817914E-6</v>
      </c>
      <c r="N124">
        <f t="shared" si="509"/>
        <v>7.0483588816152589E-4</v>
      </c>
      <c r="O124">
        <f t="shared" si="359"/>
        <v>0.33841214908127859</v>
      </c>
      <c r="Q124">
        <f t="shared" si="360"/>
        <v>3.6056180997927272</v>
      </c>
      <c r="R124">
        <f t="shared" si="361"/>
        <v>0.72</v>
      </c>
      <c r="S124">
        <f t="shared" si="315"/>
        <v>105206.505</v>
      </c>
      <c r="T124">
        <f t="shared" si="316"/>
        <v>5.2502204785219789E-3</v>
      </c>
      <c r="U124">
        <f t="shared" si="362"/>
        <v>4.1293084306811738E-3</v>
      </c>
      <c r="V124">
        <f t="shared" si="363"/>
        <v>1.3015757700970442E-2</v>
      </c>
      <c r="W124">
        <f t="shared" si="364"/>
        <v>14.874526988970855</v>
      </c>
      <c r="X124">
        <f t="shared" si="549"/>
        <v>3.932704859383127E-6</v>
      </c>
      <c r="Y124">
        <f t="shared" si="510"/>
        <v>6.9266567105174592E-2</v>
      </c>
      <c r="Z124">
        <f t="shared" si="365"/>
        <v>7287.293438483387</v>
      </c>
      <c r="AA124">
        <f t="shared" si="511"/>
        <v>3.3577950907718537E-6</v>
      </c>
      <c r="AB124">
        <f t="shared" si="366"/>
        <v>6.5420458232333053E-4</v>
      </c>
      <c r="AC124">
        <f t="shared" si="367"/>
        <v>0.32687390059939692</v>
      </c>
      <c r="AE124">
        <f t="shared" si="368"/>
        <v>5.5033118365257421</v>
      </c>
      <c r="AF124">
        <f t="shared" si="369"/>
        <v>0.72</v>
      </c>
      <c r="AG124">
        <f t="shared" si="317"/>
        <v>105206.505</v>
      </c>
      <c r="AH124">
        <f t="shared" si="318"/>
        <v>5.2502204785219789E-3</v>
      </c>
      <c r="AI124">
        <f t="shared" si="370"/>
        <v>4.1293084306811738E-3</v>
      </c>
      <c r="AJ124">
        <f t="shared" si="371"/>
        <v>1.3015757700970442E-2</v>
      </c>
      <c r="AK124">
        <f t="shared" si="372"/>
        <v>14.874526988970855</v>
      </c>
      <c r="AL124">
        <f t="shared" si="550"/>
        <v>3.8013932205011633E-6</v>
      </c>
      <c r="AM124">
        <f t="shared" si="512"/>
        <v>6.5587179087018999E-2</v>
      </c>
      <c r="AN124">
        <f t="shared" si="373"/>
        <v>6900.1978845543599</v>
      </c>
      <c r="AO124">
        <f t="shared" si="513"/>
        <v>3.2673964571845486E-6</v>
      </c>
      <c r="AP124">
        <f t="shared" si="374"/>
        <v>6.0764862345514539E-4</v>
      </c>
      <c r="AQ124">
        <f t="shared" si="375"/>
        <v>0.31595969545810909</v>
      </c>
      <c r="AS124">
        <f t="shared" si="376"/>
        <v>7.4010055732587565</v>
      </c>
      <c r="AT124">
        <f t="shared" si="377"/>
        <v>0.72</v>
      </c>
      <c r="AU124">
        <f t="shared" si="319"/>
        <v>105206.505</v>
      </c>
      <c r="AV124">
        <f t="shared" si="320"/>
        <v>5.2502204785219789E-3</v>
      </c>
      <c r="AW124">
        <f t="shared" si="378"/>
        <v>4.1293084306811738E-3</v>
      </c>
      <c r="AX124">
        <f t="shared" si="379"/>
        <v>1.3015757700970442E-2</v>
      </c>
      <c r="AY124">
        <f t="shared" si="380"/>
        <v>14.874526988970855</v>
      </c>
      <c r="AZ124">
        <f t="shared" si="551"/>
        <v>3.6770803007412822E-6</v>
      </c>
      <c r="BA124">
        <f t="shared" si="514"/>
        <v>6.2153831490724655E-2</v>
      </c>
      <c r="BB124">
        <f t="shared" si="381"/>
        <v>6538.9873834980808</v>
      </c>
      <c r="BC124">
        <f t="shared" si="515"/>
        <v>3.18072637919376E-6</v>
      </c>
      <c r="BD124">
        <f t="shared" si="382"/>
        <v>5.6481386760032985E-4</v>
      </c>
      <c r="BE124">
        <f t="shared" si="383"/>
        <v>0.30562720155639639</v>
      </c>
      <c r="BG124">
        <f t="shared" si="384"/>
        <v>9.2986993099917719</v>
      </c>
      <c r="BH124">
        <f t="shared" si="385"/>
        <v>0.72</v>
      </c>
      <c r="BI124">
        <f t="shared" si="321"/>
        <v>105206.505</v>
      </c>
      <c r="BJ124">
        <f t="shared" si="322"/>
        <v>5.2502204785219789E-3</v>
      </c>
      <c r="BK124">
        <f t="shared" si="386"/>
        <v>4.1293084306811738E-3</v>
      </c>
      <c r="BL124">
        <f t="shared" si="387"/>
        <v>1.3015757700970442E-2</v>
      </c>
      <c r="BM124">
        <f t="shared" si="388"/>
        <v>14.874526988970855</v>
      </c>
      <c r="BN124">
        <f t="shared" si="552"/>
        <v>3.5592966023638804E-6</v>
      </c>
      <c r="BO124">
        <f t="shared" si="516"/>
        <v>5.8947494536291931E-2</v>
      </c>
      <c r="BP124">
        <f t="shared" si="389"/>
        <v>6201.6598786698696</v>
      </c>
      <c r="BQ124">
        <f t="shared" si="517"/>
        <v>3.097597842380293E-6</v>
      </c>
      <c r="BR124">
        <f t="shared" si="390"/>
        <v>5.2537886973788974E-4</v>
      </c>
      <c r="BS124">
        <f t="shared" si="391"/>
        <v>0.29583739573768991</v>
      </c>
      <c r="BU124">
        <f t="shared" si="392"/>
        <v>11.196393046724786</v>
      </c>
      <c r="BV124">
        <f t="shared" si="393"/>
        <v>0.72</v>
      </c>
      <c r="BW124">
        <f t="shared" si="323"/>
        <v>105206.505</v>
      </c>
      <c r="BX124">
        <f t="shared" si="324"/>
        <v>5.2502204785219789E-3</v>
      </c>
      <c r="BY124">
        <f t="shared" si="394"/>
        <v>4.1293084306811738E-3</v>
      </c>
      <c r="BZ124">
        <f t="shared" si="395"/>
        <v>1.3015757700970442E-2</v>
      </c>
      <c r="CA124">
        <f t="shared" si="396"/>
        <v>14.874526988970855</v>
      </c>
      <c r="CB124">
        <f t="shared" si="553"/>
        <v>3.4476090032174113E-6</v>
      </c>
      <c r="CC124">
        <f t="shared" si="518"/>
        <v>5.5950768159874723E-2</v>
      </c>
      <c r="CD124">
        <f t="shared" si="397"/>
        <v>5886.3847701657014</v>
      </c>
      <c r="CE124">
        <f t="shared" si="519"/>
        <v>3.0178342588651676E-6</v>
      </c>
      <c r="CF124">
        <f t="shared" si="398"/>
        <v>4.8905171293442266E-4</v>
      </c>
      <c r="CG124">
        <f t="shared" si="399"/>
        <v>0.28655427826842861</v>
      </c>
      <c r="CI124">
        <f t="shared" si="400"/>
        <v>13.094086783457801</v>
      </c>
      <c r="CJ124">
        <f t="shared" si="401"/>
        <v>0.72</v>
      </c>
      <c r="CK124">
        <f t="shared" si="325"/>
        <v>105206.505</v>
      </c>
      <c r="CL124">
        <f t="shared" si="326"/>
        <v>5.2502204785219789E-3</v>
      </c>
      <c r="CM124">
        <f t="shared" si="402"/>
        <v>4.1293084306811738E-3</v>
      </c>
      <c r="CN124">
        <f t="shared" si="403"/>
        <v>1.3015757700970442E-2</v>
      </c>
      <c r="CO124">
        <f t="shared" si="404"/>
        <v>14.874526988970855</v>
      </c>
      <c r="CP124">
        <f t="shared" si="554"/>
        <v>3.3416176401725787E-6</v>
      </c>
      <c r="CQ124">
        <f t="shared" si="520"/>
        <v>5.3147731651356341E-2</v>
      </c>
      <c r="CR124">
        <f t="shared" si="405"/>
        <v>5591.4870957170797</v>
      </c>
      <c r="CS124">
        <f t="shared" si="521"/>
        <v>2.9412688564847411E-6</v>
      </c>
      <c r="CT124">
        <f t="shared" si="406"/>
        <v>4.5556715699719892E-4</v>
      </c>
      <c r="CU124">
        <f t="shared" si="407"/>
        <v>0.27774461379903703</v>
      </c>
      <c r="CW124">
        <f t="shared" si="408"/>
        <v>14.991780520190815</v>
      </c>
      <c r="CX124">
        <f t="shared" si="409"/>
        <v>0.72</v>
      </c>
      <c r="CY124">
        <f t="shared" si="327"/>
        <v>105206.505</v>
      </c>
      <c r="CZ124">
        <f t="shared" si="328"/>
        <v>5.2502204785219789E-3</v>
      </c>
      <c r="DA124">
        <f t="shared" si="410"/>
        <v>4.1293084306811738E-3</v>
      </c>
      <c r="DB124">
        <f t="shared" si="411"/>
        <v>1.3015757700970442E-2</v>
      </c>
      <c r="DC124">
        <f t="shared" si="412"/>
        <v>14.874526988970855</v>
      </c>
      <c r="DD124">
        <f t="shared" si="555"/>
        <v>3.2409530800038799E-6</v>
      </c>
      <c r="DE124">
        <f t="shared" si="522"/>
        <v>5.0523807948128045E-2</v>
      </c>
      <c r="DF124">
        <f t="shared" si="413"/>
        <v>5315.4332535137728</v>
      </c>
      <c r="DG124">
        <f t="shared" si="523"/>
        <v>2.8677441037375972E-6</v>
      </c>
      <c r="DH124">
        <f t="shared" si="414"/>
        <v>4.2468407351534723E-4</v>
      </c>
      <c r="DI124">
        <f t="shared" si="415"/>
        <v>0.2693776962166109</v>
      </c>
      <c r="DK124">
        <f t="shared" si="416"/>
        <v>16.88947425692383</v>
      </c>
      <c r="DL124">
        <f t="shared" si="417"/>
        <v>0.72</v>
      </c>
      <c r="DM124">
        <f t="shared" si="329"/>
        <v>105206.505</v>
      </c>
      <c r="DN124">
        <f t="shared" si="330"/>
        <v>5.2502204785219789E-3</v>
      </c>
      <c r="DO124">
        <f t="shared" si="418"/>
        <v>4.1293084306811738E-3</v>
      </c>
      <c r="DP124">
        <f t="shared" si="419"/>
        <v>1.3015757700970442E-2</v>
      </c>
      <c r="DQ124">
        <f t="shared" si="420"/>
        <v>14.874526988970855</v>
      </c>
      <c r="DR124">
        <f t="shared" si="556"/>
        <v>3.1452737497178441E-6</v>
      </c>
      <c r="DS124">
        <f t="shared" si="524"/>
        <v>4.8065641098655965E-2</v>
      </c>
      <c r="DT124">
        <f t="shared" si="421"/>
        <v>5056.8181105739541</v>
      </c>
      <c r="DU124">
        <f t="shared" si="525"/>
        <v>2.7971111685297943E-6</v>
      </c>
      <c r="DV124">
        <f t="shared" si="422"/>
        <v>3.961831376720749E-4</v>
      </c>
      <c r="DW124">
        <f t="shared" si="423"/>
        <v>0.26142513506198606</v>
      </c>
      <c r="DY124">
        <f t="shared" si="424"/>
        <v>18.787167993656844</v>
      </c>
      <c r="DZ124">
        <f t="shared" si="425"/>
        <v>0.72</v>
      </c>
      <c r="EA124">
        <f t="shared" si="331"/>
        <v>105206.505</v>
      </c>
      <c r="EB124">
        <f t="shared" si="332"/>
        <v>5.2502204785219789E-3</v>
      </c>
      <c r="EC124">
        <f t="shared" si="426"/>
        <v>4.1293084306811738E-3</v>
      </c>
      <c r="ED124">
        <f t="shared" si="427"/>
        <v>1.3015757700970442E-2</v>
      </c>
      <c r="EE124">
        <f t="shared" si="428"/>
        <v>14.874526988970855</v>
      </c>
      <c r="EF124">
        <f t="shared" si="557"/>
        <v>3.0542636011654735E-6</v>
      </c>
      <c r="EG124">
        <f t="shared" si="526"/>
        <v>4.5760985564302074E-2</v>
      </c>
      <c r="EH124">
        <f t="shared" si="429"/>
        <v>4814.3533565756743</v>
      </c>
      <c r="EI124">
        <f t="shared" si="527"/>
        <v>2.7292294088385385E-6</v>
      </c>
      <c r="EJ124">
        <f t="shared" si="430"/>
        <v>3.6986475033409972E-4</v>
      </c>
      <c r="EK124">
        <f t="shared" si="431"/>
        <v>0.2538606614197636</v>
      </c>
      <c r="EM124">
        <f t="shared" si="432"/>
        <v>20.684861730389859</v>
      </c>
      <c r="EN124">
        <f t="shared" si="433"/>
        <v>0.72</v>
      </c>
      <c r="EO124">
        <f t="shared" si="333"/>
        <v>105206.505</v>
      </c>
      <c r="EP124">
        <f t="shared" si="334"/>
        <v>5.2502204785219789E-3</v>
      </c>
      <c r="EQ124">
        <f t="shared" si="434"/>
        <v>4.1293084306811738E-3</v>
      </c>
      <c r="ER124">
        <f t="shared" si="435"/>
        <v>1.3015757700970442E-2</v>
      </c>
      <c r="ES124">
        <f t="shared" si="436"/>
        <v>14.874526988970855</v>
      </c>
      <c r="ET124">
        <f t="shared" si="558"/>
        <v>2.9676299873188425E-6</v>
      </c>
      <c r="EU124">
        <f t="shared" si="528"/>
        <v>4.3598606166345824E-2</v>
      </c>
      <c r="EV124">
        <f t="shared" si="437"/>
        <v>4586.8569776326931</v>
      </c>
      <c r="EW124">
        <f t="shared" si="529"/>
        <v>2.6639658935045958E-6</v>
      </c>
      <c r="EX124">
        <f t="shared" si="438"/>
        <v>3.4554716671489599E-4</v>
      </c>
      <c r="EY124">
        <f t="shared" si="439"/>
        <v>0.24665995140118568</v>
      </c>
      <c r="FA124">
        <f t="shared" si="440"/>
        <v>22.582555467122873</v>
      </c>
      <c r="FB124">
        <f t="shared" si="441"/>
        <v>0.72</v>
      </c>
      <c r="FC124">
        <f t="shared" si="335"/>
        <v>105206.505</v>
      </c>
      <c r="FD124">
        <f t="shared" si="336"/>
        <v>5.2502204785219789E-3</v>
      </c>
      <c r="FE124">
        <f t="shared" si="442"/>
        <v>4.1293084306811738E-3</v>
      </c>
      <c r="FF124">
        <f t="shared" si="443"/>
        <v>1.3015757700970442E-2</v>
      </c>
      <c r="FG124">
        <f t="shared" si="444"/>
        <v>14.874526988970855</v>
      </c>
      <c r="FH124">
        <f t="shared" si="559"/>
        <v>2.8851017298700735E-6</v>
      </c>
      <c r="FI124">
        <f t="shared" si="530"/>
        <v>4.1568187608981323E-2</v>
      </c>
      <c r="FJ124">
        <f t="shared" si="445"/>
        <v>4373.2437375252321</v>
      </c>
      <c r="FK124">
        <f t="shared" si="531"/>
        <v>2.6011949514509156E-6</v>
      </c>
      <c r="FL124">
        <f t="shared" si="446"/>
        <v>3.2306481040166745E-4</v>
      </c>
      <c r="FM124">
        <f t="shared" si="447"/>
        <v>0.23980046552911802</v>
      </c>
      <c r="FO124">
        <f t="shared" si="448"/>
        <v>24.480249203855887</v>
      </c>
      <c r="FP124">
        <f t="shared" si="449"/>
        <v>0.72</v>
      </c>
      <c r="FQ124">
        <f t="shared" si="337"/>
        <v>105206.505</v>
      </c>
      <c r="FR124">
        <f t="shared" si="338"/>
        <v>5.2502204785219789E-3</v>
      </c>
      <c r="FS124">
        <f t="shared" si="450"/>
        <v>4.1293084306811738E-3</v>
      </c>
      <c r="FT124">
        <f t="shared" si="451"/>
        <v>1.3015757700970442E-2</v>
      </c>
      <c r="FU124">
        <f t="shared" si="452"/>
        <v>14.874526988970855</v>
      </c>
      <c r="FV124">
        <f t="shared" si="560"/>
        <v>2.8064273598526642E-6</v>
      </c>
      <c r="FW124">
        <f t="shared" si="532"/>
        <v>3.9660252619807324E-2</v>
      </c>
      <c r="FX124">
        <f t="shared" si="453"/>
        <v>4172.5165655470228</v>
      </c>
      <c r="FY124">
        <f t="shared" si="533"/>
        <v>2.5407977477091685E-6</v>
      </c>
      <c r="FZ124">
        <f t="shared" si="454"/>
        <v>3.0226675376348163E-4</v>
      </c>
      <c r="GA124">
        <f t="shared" si="455"/>
        <v>0.23326130250409899</v>
      </c>
      <c r="GC124">
        <f t="shared" si="456"/>
        <v>26.377942940588902</v>
      </c>
      <c r="GD124">
        <f t="shared" si="457"/>
        <v>0.72</v>
      </c>
      <c r="GE124">
        <f t="shared" si="339"/>
        <v>105206.505</v>
      </c>
      <c r="GF124">
        <f t="shared" si="340"/>
        <v>5.2502204785219789E-3</v>
      </c>
      <c r="GG124">
        <f t="shared" si="458"/>
        <v>4.1293084306811738E-3</v>
      </c>
      <c r="GH124">
        <f t="shared" si="459"/>
        <v>1.3015757700970442E-2</v>
      </c>
      <c r="GI124">
        <f t="shared" si="460"/>
        <v>14.874526988970855</v>
      </c>
      <c r="GJ124">
        <f t="shared" si="561"/>
        <v>2.7313735148156377E-6</v>
      </c>
      <c r="GK124">
        <f t="shared" si="534"/>
        <v>3.7866087848370263E-2</v>
      </c>
      <c r="GL124">
        <f t="shared" si="461"/>
        <v>3983.7587605500053</v>
      </c>
      <c r="GM124">
        <f t="shared" si="535"/>
        <v>2.482661884717022E-6</v>
      </c>
      <c r="GN124">
        <f t="shared" si="462"/>
        <v>2.8301534774865725E-4</v>
      </c>
      <c r="GO124">
        <f t="shared" si="463"/>
        <v>0.22702306598256056</v>
      </c>
      <c r="GQ124">
        <f t="shared" si="464"/>
        <v>28.275636677321916</v>
      </c>
      <c r="GR124">
        <f t="shared" si="465"/>
        <v>0.72</v>
      </c>
      <c r="GS124">
        <f t="shared" si="341"/>
        <v>105206.505</v>
      </c>
      <c r="GT124">
        <f t="shared" si="342"/>
        <v>5.2502204785219789E-3</v>
      </c>
      <c r="GU124">
        <f t="shared" si="466"/>
        <v>4.1293084306811738E-3</v>
      </c>
      <c r="GV124">
        <f t="shared" si="467"/>
        <v>1.3015757700970442E-2</v>
      </c>
      <c r="GW124">
        <f t="shared" si="468"/>
        <v>14.874526988970855</v>
      </c>
      <c r="GX124">
        <f t="shared" si="562"/>
        <v>2.659723477722365E-6</v>
      </c>
      <c r="GY124">
        <f t="shared" si="536"/>
        <v>3.6177676751919664E-2</v>
      </c>
      <c r="GZ124">
        <f t="shared" si="469"/>
        <v>3806.12693008922</v>
      </c>
      <c r="HA124">
        <f t="shared" si="537"/>
        <v>2.4266810274272408E-6</v>
      </c>
      <c r="HB124">
        <f t="shared" si="470"/>
        <v>2.6518498585821002E-4</v>
      </c>
      <c r="HC124">
        <f t="shared" si="471"/>
        <v>0.22106774313475264</v>
      </c>
      <c r="HE124">
        <f t="shared" si="472"/>
        <v>30.173330414054931</v>
      </c>
      <c r="HF124">
        <f t="shared" si="473"/>
        <v>0.72</v>
      </c>
      <c r="HG124">
        <f t="shared" si="343"/>
        <v>105206.505</v>
      </c>
      <c r="HH124">
        <f t="shared" si="344"/>
        <v>5.2502204785219789E-3</v>
      </c>
      <c r="HI124">
        <f t="shared" si="568"/>
        <v>4.1293084306811738E-3</v>
      </c>
      <c r="HJ124">
        <f t="shared" si="474"/>
        <v>1.3015757700970442E-2</v>
      </c>
      <c r="HK124">
        <f t="shared" si="475"/>
        <v>14.874526988970855</v>
      </c>
      <c r="HL124">
        <f t="shared" si="563"/>
        <v>2.5912758442181365E-6</v>
      </c>
      <c r="HM124">
        <f t="shared" si="538"/>
        <v>3.45876387767967E-2</v>
      </c>
      <c r="HN124">
        <f t="shared" si="476"/>
        <v>3638.844591909256</v>
      </c>
      <c r="HO124">
        <f t="shared" si="539"/>
        <v>2.3727545508449569E-6</v>
      </c>
      <c r="HP124">
        <f t="shared" si="477"/>
        <v>2.4866098867179991E-4</v>
      </c>
      <c r="HQ124">
        <f t="shared" si="478"/>
        <v>0.21537859387226904</v>
      </c>
      <c r="HS124">
        <f t="shared" si="479"/>
        <v>32.071024150787942</v>
      </c>
      <c r="HT124">
        <f t="shared" si="480"/>
        <v>0.72</v>
      </c>
      <c r="HU124">
        <f t="shared" si="345"/>
        <v>105206.505</v>
      </c>
      <c r="HV124">
        <f t="shared" si="346"/>
        <v>5.2502204785219789E-3</v>
      </c>
      <c r="HW124">
        <f t="shared" si="569"/>
        <v>4.1293084306811738E-3</v>
      </c>
      <c r="HX124">
        <f t="shared" si="481"/>
        <v>1.3015757700970442E-2</v>
      </c>
      <c r="HY124">
        <f t="shared" si="482"/>
        <v>14.874526988970855</v>
      </c>
      <c r="HZ124">
        <f t="shared" si="564"/>
        <v>2.5258433062316159E-6</v>
      </c>
      <c r="IA124">
        <f t="shared" si="540"/>
        <v>3.3089174214801655E-2</v>
      </c>
      <c r="IB124">
        <f t="shared" si="483"/>
        <v>3481.1963724754014</v>
      </c>
      <c r="IC124">
        <f t="shared" si="541"/>
        <v>2.3207872086819014E-6</v>
      </c>
      <c r="ID124">
        <f t="shared" si="484"/>
        <v>2.3333859672345912E-4</v>
      </c>
      <c r="IE124">
        <f t="shared" si="485"/>
        <v>0.20994004974487498</v>
      </c>
      <c r="IG124">
        <f t="shared" si="486"/>
        <v>33.968717887520953</v>
      </c>
      <c r="IH124">
        <f t="shared" si="487"/>
        <v>0.72</v>
      </c>
      <c r="II124">
        <f t="shared" si="347"/>
        <v>105206.505</v>
      </c>
      <c r="IJ124">
        <f t="shared" si="348"/>
        <v>5.2502204785219789E-3</v>
      </c>
      <c r="IK124">
        <f t="shared" si="570"/>
        <v>4.1293084306811738E-3</v>
      </c>
      <c r="IL124">
        <f t="shared" si="488"/>
        <v>1.3015757700970442E-2</v>
      </c>
      <c r="IM124">
        <f t="shared" si="489"/>
        <v>14.874526988970855</v>
      </c>
      <c r="IN124">
        <f t="shared" si="565"/>
        <v>2.4632515410608022E-6</v>
      </c>
      <c r="IO124">
        <f t="shared" si="542"/>
        <v>3.1676014177356944E-2</v>
      </c>
      <c r="IP124">
        <f t="shared" si="490"/>
        <v>3332.5227439301743</v>
      </c>
      <c r="IQ124">
        <f t="shared" si="543"/>
        <v>2.2706888218858704E-6</v>
      </c>
      <c r="IR124">
        <f t="shared" si="491"/>
        <v>2.1912206079430821E-4</v>
      </c>
      <c r="IS124">
        <f t="shared" si="492"/>
        <v>0.20473762160487097</v>
      </c>
      <c r="IU124">
        <f t="shared" si="493"/>
        <v>35.866411624253971</v>
      </c>
      <c r="IV124">
        <f t="shared" si="494"/>
        <v>0.72</v>
      </c>
      <c r="IW124">
        <f t="shared" si="349"/>
        <v>105206.505</v>
      </c>
      <c r="IX124">
        <f t="shared" si="350"/>
        <v>5.2502204785219789E-3</v>
      </c>
      <c r="IY124">
        <f t="shared" si="571"/>
        <v>4.1293084306811738E-3</v>
      </c>
      <c r="IZ124">
        <f t="shared" si="495"/>
        <v>1.3015757700970442E-2</v>
      </c>
      <c r="JA124">
        <f t="shared" si="496"/>
        <v>14.874526988970855</v>
      </c>
      <c r="JB124">
        <f t="shared" si="566"/>
        <v>2.4033381961585993E-6</v>
      </c>
      <c r="JC124">
        <f t="shared" si="544"/>
        <v>3.0342375187098748E-2</v>
      </c>
      <c r="JD124">
        <f t="shared" si="497"/>
        <v>3192.2152468333807</v>
      </c>
      <c r="JE124">
        <f t="shared" si="545"/>
        <v>2.2223739858704361E-6</v>
      </c>
      <c r="JF124">
        <f t="shared" si="498"/>
        <v>2.059238198248241E-4</v>
      </c>
      <c r="JG124">
        <f t="shared" si="499"/>
        <v>0.19975781522570324</v>
      </c>
      <c r="JI124">
        <f t="shared" si="500"/>
        <v>37.764105360986981</v>
      </c>
      <c r="JJ124">
        <f t="shared" si="501"/>
        <v>0.72</v>
      </c>
      <c r="JK124">
        <f t="shared" si="351"/>
        <v>105206.505</v>
      </c>
      <c r="JL124">
        <f t="shared" si="352"/>
        <v>5.2502204785219789E-3</v>
      </c>
      <c r="JM124">
        <f t="shared" si="572"/>
        <v>4.1293084306811738E-3</v>
      </c>
      <c r="JN124">
        <f t="shared" si="502"/>
        <v>1.3015757700970442E-2</v>
      </c>
      <c r="JO124">
        <f t="shared" si="503"/>
        <v>14.874526988970855</v>
      </c>
      <c r="JP124">
        <f t="shared" si="567"/>
        <v>2.3459519607890119E-6</v>
      </c>
      <c r="JQ124">
        <f t="shared" si="546"/>
        <v>2.908291793739495E-2</v>
      </c>
      <c r="JR124">
        <f t="shared" si="504"/>
        <v>3059.7121513951315</v>
      </c>
      <c r="JS124">
        <f t="shared" si="547"/>
        <v>2.1757617953337483E-6</v>
      </c>
      <c r="JT124">
        <f t="shared" si="505"/>
        <v>1.9366375766434666E-4</v>
      </c>
      <c r="JU124">
        <f t="shared" si="506"/>
        <v>0.19498805414098394</v>
      </c>
    </row>
    <row r="125" spans="2:281">
      <c r="B125">
        <v>0.91</v>
      </c>
      <c r="C125">
        <f t="shared" si="353"/>
        <v>1.7269013004270433</v>
      </c>
      <c r="D125">
        <f t="shared" si="354"/>
        <v>0.72800000000000009</v>
      </c>
      <c r="E125">
        <f t="shared" si="313"/>
        <v>105022.077</v>
      </c>
      <c r="F125">
        <f t="shared" si="314"/>
        <v>5.2532919641973775E-3</v>
      </c>
      <c r="G125">
        <f t="shared" si="355"/>
        <v>4.1281010957179053E-3</v>
      </c>
      <c r="H125">
        <f t="shared" si="356"/>
        <v>1.303861451574544E-2</v>
      </c>
      <c r="I125">
        <f t="shared" si="357"/>
        <v>14.891935880899634</v>
      </c>
      <c r="J125">
        <f t="shared" si="548"/>
        <v>4.0708025532798558E-6</v>
      </c>
      <c r="K125">
        <f t="shared" si="507"/>
        <v>7.3591956706465164E-2</v>
      </c>
      <c r="L125">
        <f t="shared" si="358"/>
        <v>7728.780143807051</v>
      </c>
      <c r="M125">
        <f t="shared" si="508"/>
        <v>3.4580123314247507E-6</v>
      </c>
      <c r="N125">
        <f t="shared" si="509"/>
        <v>6.9792172239806823E-4</v>
      </c>
      <c r="O125">
        <f t="shared" si="359"/>
        <v>0.33835214101708389</v>
      </c>
      <c r="Q125">
        <f t="shared" si="360"/>
        <v>3.6245950371600579</v>
      </c>
      <c r="R125">
        <f t="shared" si="361"/>
        <v>0.72800000000000009</v>
      </c>
      <c r="S125">
        <f t="shared" si="315"/>
        <v>105022.077</v>
      </c>
      <c r="T125">
        <f t="shared" si="316"/>
        <v>5.2532919641973775E-3</v>
      </c>
      <c r="U125">
        <f t="shared" si="362"/>
        <v>4.1281010957179053E-3</v>
      </c>
      <c r="V125">
        <f t="shared" si="363"/>
        <v>1.303861451574544E-2</v>
      </c>
      <c r="W125">
        <f t="shared" si="364"/>
        <v>14.891935880899634</v>
      </c>
      <c r="X125">
        <f t="shared" si="549"/>
        <v>3.9320347490741615E-6</v>
      </c>
      <c r="Y125">
        <f t="shared" si="510"/>
        <v>6.9618467242325677E-2</v>
      </c>
      <c r="Z125">
        <f t="shared" si="365"/>
        <v>7311.4760273455049</v>
      </c>
      <c r="AA125">
        <f t="shared" si="511"/>
        <v>3.3633618300223808E-6</v>
      </c>
      <c r="AB125">
        <f t="shared" si="366"/>
        <v>6.4767545073459235E-4</v>
      </c>
      <c r="AC125">
        <f t="shared" si="367"/>
        <v>0.32681820316509774</v>
      </c>
      <c r="AE125">
        <f t="shared" si="368"/>
        <v>5.5222887738930719</v>
      </c>
      <c r="AF125">
        <f t="shared" si="369"/>
        <v>0.72800000000000009</v>
      </c>
      <c r="AG125">
        <f t="shared" si="317"/>
        <v>105022.077</v>
      </c>
      <c r="AH125">
        <f t="shared" si="318"/>
        <v>5.2532919641973775E-3</v>
      </c>
      <c r="AI125">
        <f t="shared" si="370"/>
        <v>4.1281010957179053E-3</v>
      </c>
      <c r="AJ125">
        <f t="shared" si="371"/>
        <v>1.303861451574544E-2</v>
      </c>
      <c r="AK125">
        <f t="shared" si="372"/>
        <v>14.891935880899634</v>
      </c>
      <c r="AL125">
        <f t="shared" si="550"/>
        <v>3.8007707980696971E-6</v>
      </c>
      <c r="AM125">
        <f t="shared" si="512"/>
        <v>6.591403652536669E-2</v>
      </c>
      <c r="AN125">
        <f t="shared" si="373"/>
        <v>6922.4290193478737</v>
      </c>
      <c r="AO125">
        <f t="shared" si="513"/>
        <v>3.2726556917682469E-6</v>
      </c>
      <c r="AP125">
        <f t="shared" si="374"/>
        <v>6.0148316906645885E-4</v>
      </c>
      <c r="AQ125">
        <f t="shared" si="375"/>
        <v>0.31590796168828184</v>
      </c>
      <c r="AS125">
        <f t="shared" si="376"/>
        <v>7.4199825106260864</v>
      </c>
      <c r="AT125">
        <f t="shared" si="377"/>
        <v>0.72800000000000009</v>
      </c>
      <c r="AU125">
        <f t="shared" si="319"/>
        <v>105022.077</v>
      </c>
      <c r="AV125">
        <f t="shared" si="320"/>
        <v>5.2532919641973775E-3</v>
      </c>
      <c r="AW125">
        <f t="shared" si="378"/>
        <v>4.1281010957179053E-3</v>
      </c>
      <c r="AX125">
        <f t="shared" si="379"/>
        <v>1.303861451574544E-2</v>
      </c>
      <c r="AY125">
        <f t="shared" si="380"/>
        <v>14.891935880899634</v>
      </c>
      <c r="AZ125">
        <f t="shared" si="551"/>
        <v>3.6765017545104052E-6</v>
      </c>
      <c r="BA125">
        <f t="shared" si="514"/>
        <v>6.2457647885234634E-2</v>
      </c>
      <c r="BB125">
        <f t="shared" si="381"/>
        <v>6559.4319054419993</v>
      </c>
      <c r="BC125">
        <f t="shared" si="515"/>
        <v>3.1856948610828167E-6</v>
      </c>
      <c r="BD125">
        <f t="shared" si="382"/>
        <v>5.5899193591705642E-4</v>
      </c>
      <c r="BE125">
        <f t="shared" si="383"/>
        <v>0.30557911463659798</v>
      </c>
      <c r="BG125">
        <f t="shared" si="384"/>
        <v>9.3176762473591008</v>
      </c>
      <c r="BH125">
        <f t="shared" si="385"/>
        <v>0.72800000000000009</v>
      </c>
      <c r="BI125">
        <f t="shared" si="321"/>
        <v>105022.077</v>
      </c>
      <c r="BJ125">
        <f t="shared" si="322"/>
        <v>5.2532919641973775E-3</v>
      </c>
      <c r="BK125">
        <f t="shared" si="386"/>
        <v>4.1281010957179053E-3</v>
      </c>
      <c r="BL125">
        <f t="shared" si="387"/>
        <v>1.303861451574544E-2</v>
      </c>
      <c r="BM125">
        <f t="shared" si="388"/>
        <v>14.891935880899634</v>
      </c>
      <c r="BN125">
        <f t="shared" si="552"/>
        <v>3.5587584499170208E-6</v>
      </c>
      <c r="BO125">
        <f t="shared" si="516"/>
        <v>5.9230098634937105E-2</v>
      </c>
      <c r="BP125">
        <f t="shared" si="389"/>
        <v>6220.4679795559596</v>
      </c>
      <c r="BQ125">
        <f t="shared" si="517"/>
        <v>3.1022914106124466E-6</v>
      </c>
      <c r="BR125">
        <f t="shared" si="390"/>
        <v>5.1988143891226008E-4</v>
      </c>
      <c r="BS125">
        <f t="shared" si="391"/>
        <v>0.2957926662205479</v>
      </c>
      <c r="BU125">
        <f t="shared" si="392"/>
        <v>11.215369984092115</v>
      </c>
      <c r="BV125">
        <f t="shared" si="393"/>
        <v>0.72800000000000009</v>
      </c>
      <c r="BW125">
        <f t="shared" si="323"/>
        <v>105022.077</v>
      </c>
      <c r="BX125">
        <f t="shared" si="324"/>
        <v>5.2532919641973775E-3</v>
      </c>
      <c r="BY125">
        <f t="shared" si="394"/>
        <v>4.1281010957179053E-3</v>
      </c>
      <c r="BZ125">
        <f t="shared" si="395"/>
        <v>1.303861451574544E-2</v>
      </c>
      <c r="CA125">
        <f t="shared" si="396"/>
        <v>14.891935880899634</v>
      </c>
      <c r="CB125">
        <f t="shared" si="553"/>
        <v>3.4471080611523303E-6</v>
      </c>
      <c r="CC125">
        <f t="shared" si="518"/>
        <v>5.6213831686951217E-2</v>
      </c>
      <c r="CD125">
        <f t="shared" si="397"/>
        <v>5903.6933598920305</v>
      </c>
      <c r="CE125">
        <f t="shared" si="519"/>
        <v>3.0222678896337595E-6</v>
      </c>
      <c r="CF125">
        <f t="shared" si="398"/>
        <v>4.8386082818442991E-4</v>
      </c>
      <c r="CG125">
        <f t="shared" si="399"/>
        <v>0.28651264155968942</v>
      </c>
      <c r="CI125">
        <f t="shared" si="400"/>
        <v>13.11306372082513</v>
      </c>
      <c r="CJ125">
        <f t="shared" si="401"/>
        <v>0.72800000000000009</v>
      </c>
      <c r="CK125">
        <f t="shared" si="325"/>
        <v>105022.077</v>
      </c>
      <c r="CL125">
        <f t="shared" si="326"/>
        <v>5.2532919641973775E-3</v>
      </c>
      <c r="CM125">
        <f t="shared" si="402"/>
        <v>4.1281010957179053E-3</v>
      </c>
      <c r="CN125">
        <f t="shared" si="403"/>
        <v>1.303861451574544E-2</v>
      </c>
      <c r="CO125">
        <f t="shared" si="404"/>
        <v>14.891935880899634</v>
      </c>
      <c r="CP125">
        <f t="shared" si="554"/>
        <v>3.3411509967760346E-6</v>
      </c>
      <c r="CQ125">
        <f t="shared" si="520"/>
        <v>5.3392783657044675E-2</v>
      </c>
      <c r="CR125">
        <f t="shared" si="405"/>
        <v>5607.4210364744877</v>
      </c>
      <c r="CS125">
        <f t="shared" si="521"/>
        <v>2.9454567104613559E-6</v>
      </c>
      <c r="CT125">
        <f t="shared" si="406"/>
        <v>4.5066586900127491E-4</v>
      </c>
      <c r="CU125">
        <f t="shared" si="407"/>
        <v>0.27770582788637099</v>
      </c>
      <c r="CW125">
        <f t="shared" si="408"/>
        <v>15.010757457558144</v>
      </c>
      <c r="CX125">
        <f t="shared" si="409"/>
        <v>0.72800000000000009</v>
      </c>
      <c r="CY125">
        <f t="shared" si="327"/>
        <v>105022.077</v>
      </c>
      <c r="CZ125">
        <f t="shared" si="328"/>
        <v>5.2532919641973775E-3</v>
      </c>
      <c r="DA125">
        <f t="shared" si="410"/>
        <v>4.1281010957179053E-3</v>
      </c>
      <c r="DB125">
        <f t="shared" si="411"/>
        <v>1.303861451574544E-2</v>
      </c>
      <c r="DC125">
        <f t="shared" si="412"/>
        <v>14.891935880899634</v>
      </c>
      <c r="DD125">
        <f t="shared" si="555"/>
        <v>3.2405180705536168E-6</v>
      </c>
      <c r="DE125">
        <f t="shared" si="522"/>
        <v>5.0752247778349316E-2</v>
      </c>
      <c r="DF125">
        <f t="shared" si="413"/>
        <v>5330.1064741008813</v>
      </c>
      <c r="DG125">
        <f t="shared" si="523"/>
        <v>2.871699570780016E-6</v>
      </c>
      <c r="DH125">
        <f t="shared" si="414"/>
        <v>4.2005638052613543E-4</v>
      </c>
      <c r="DI125">
        <f t="shared" si="415"/>
        <v>0.26934153961679236</v>
      </c>
      <c r="DK125">
        <f t="shared" si="416"/>
        <v>16.90845119429116</v>
      </c>
      <c r="DL125">
        <f t="shared" si="417"/>
        <v>0.72800000000000009</v>
      </c>
      <c r="DM125">
        <f t="shared" si="329"/>
        <v>105022.077</v>
      </c>
      <c r="DN125">
        <f t="shared" si="330"/>
        <v>5.2532919641973775E-3</v>
      </c>
      <c r="DO125">
        <f t="shared" si="418"/>
        <v>4.1281010957179053E-3</v>
      </c>
      <c r="DP125">
        <f t="shared" si="419"/>
        <v>1.303861451574544E-2</v>
      </c>
      <c r="DQ125">
        <f t="shared" si="420"/>
        <v>14.891935880899634</v>
      </c>
      <c r="DR125">
        <f t="shared" si="556"/>
        <v>3.1448679341488831E-6</v>
      </c>
      <c r="DS125">
        <f t="shared" si="524"/>
        <v>4.8278750123341527E-2</v>
      </c>
      <c r="DT125">
        <f t="shared" si="421"/>
        <v>5070.3346129173333</v>
      </c>
      <c r="DU125">
        <f t="shared" si="525"/>
        <v>2.800846909919709E-6</v>
      </c>
      <c r="DV125">
        <f t="shared" si="422"/>
        <v>3.9181393111057934E-4</v>
      </c>
      <c r="DW125">
        <f t="shared" si="423"/>
        <v>0.26139140496458663</v>
      </c>
      <c r="DY125">
        <f t="shared" si="424"/>
        <v>18.806144931024175</v>
      </c>
      <c r="DZ125">
        <f t="shared" si="425"/>
        <v>0.72800000000000009</v>
      </c>
      <c r="EA125">
        <f t="shared" si="331"/>
        <v>105022.077</v>
      </c>
      <c r="EB125">
        <f t="shared" si="332"/>
        <v>5.2532919641973775E-3</v>
      </c>
      <c r="EC125">
        <f t="shared" si="426"/>
        <v>4.1281010957179053E-3</v>
      </c>
      <c r="ED125">
        <f t="shared" si="427"/>
        <v>1.303861451574544E-2</v>
      </c>
      <c r="EE125">
        <f t="shared" si="428"/>
        <v>14.891935880899634</v>
      </c>
      <c r="EF125">
        <f t="shared" si="557"/>
        <v>3.0538847438648388E-6</v>
      </c>
      <c r="EG125">
        <f t="shared" si="526"/>
        <v>4.5959937787943939E-2</v>
      </c>
      <c r="EH125">
        <f t="shared" si="429"/>
        <v>4826.8081252806578</v>
      </c>
      <c r="EI125">
        <f t="shared" si="527"/>
        <v>2.7327573971856102E-6</v>
      </c>
      <c r="EJ125">
        <f t="shared" si="430"/>
        <v>3.6573976364212064E-4</v>
      </c>
      <c r="EK125">
        <f t="shared" si="431"/>
        <v>0.25382917200775407</v>
      </c>
      <c r="EM125">
        <f t="shared" si="432"/>
        <v>20.703838667757189</v>
      </c>
      <c r="EN125">
        <f t="shared" si="433"/>
        <v>0.72800000000000009</v>
      </c>
      <c r="EO125">
        <f t="shared" si="333"/>
        <v>105022.077</v>
      </c>
      <c r="EP125">
        <f t="shared" si="334"/>
        <v>5.2532919641973775E-3</v>
      </c>
      <c r="EQ125">
        <f t="shared" si="434"/>
        <v>4.1281010957179053E-3</v>
      </c>
      <c r="ER125">
        <f t="shared" si="435"/>
        <v>1.303861451574544E-2</v>
      </c>
      <c r="ES125">
        <f t="shared" si="436"/>
        <v>14.891935880899634</v>
      </c>
      <c r="ET125">
        <f t="shared" si="558"/>
        <v>2.9672760388371198E-6</v>
      </c>
      <c r="EU125">
        <f t="shared" si="528"/>
        <v>4.378447783194514E-2</v>
      </c>
      <c r="EV125">
        <f t="shared" si="437"/>
        <v>4598.3368022713357</v>
      </c>
      <c r="EW125">
        <f t="shared" si="529"/>
        <v>2.6672974504459947E-6</v>
      </c>
      <c r="EX125">
        <f t="shared" si="438"/>
        <v>3.4165292725897789E-4</v>
      </c>
      <c r="EY125">
        <f t="shared" si="439"/>
        <v>0.24663053233085908</v>
      </c>
      <c r="FA125">
        <f t="shared" si="440"/>
        <v>22.601532404490204</v>
      </c>
      <c r="FB125">
        <f t="shared" si="441"/>
        <v>0.72800000000000009</v>
      </c>
      <c r="FC125">
        <f t="shared" si="335"/>
        <v>105022.077</v>
      </c>
      <c r="FD125">
        <f t="shared" si="336"/>
        <v>5.2532919641973775E-3</v>
      </c>
      <c r="FE125">
        <f t="shared" si="442"/>
        <v>4.1281010957179053E-3</v>
      </c>
      <c r="FF125">
        <f t="shared" si="443"/>
        <v>1.303861451574544E-2</v>
      </c>
      <c r="FG125">
        <f t="shared" si="444"/>
        <v>14.891935880899634</v>
      </c>
      <c r="FH125">
        <f t="shared" si="559"/>
        <v>2.8847708103599328E-6</v>
      </c>
      <c r="FI125">
        <f t="shared" si="530"/>
        <v>4.1741965895102907E-2</v>
      </c>
      <c r="FJ125">
        <f t="shared" si="445"/>
        <v>4383.8279563668721</v>
      </c>
      <c r="FK125">
        <f t="shared" si="531"/>
        <v>2.6043407832684379E-6</v>
      </c>
      <c r="FL125">
        <f t="shared" si="446"/>
        <v>3.1938859423594201E-4</v>
      </c>
      <c r="FM125">
        <f t="shared" si="447"/>
        <v>0.23977296055355241</v>
      </c>
      <c r="FO125">
        <f t="shared" si="448"/>
        <v>24.499226141223218</v>
      </c>
      <c r="FP125">
        <f t="shared" si="449"/>
        <v>0.72800000000000009</v>
      </c>
      <c r="FQ125">
        <f t="shared" si="337"/>
        <v>105022.077</v>
      </c>
      <c r="FR125">
        <f t="shared" si="338"/>
        <v>5.2532919641973775E-3</v>
      </c>
      <c r="FS125">
        <f t="shared" si="450"/>
        <v>4.1281010957179053E-3</v>
      </c>
      <c r="FT125">
        <f t="shared" si="451"/>
        <v>1.303861451574544E-2</v>
      </c>
      <c r="FU125">
        <f t="shared" si="452"/>
        <v>14.891935880899634</v>
      </c>
      <c r="FV125">
        <f t="shared" si="560"/>
        <v>2.8061177440639223E-6</v>
      </c>
      <c r="FW125">
        <f t="shared" si="532"/>
        <v>3.9822843520237627E-2</v>
      </c>
      <c r="FX125">
        <f t="shared" si="453"/>
        <v>4182.2777385413474</v>
      </c>
      <c r="FY125">
        <f t="shared" si="533"/>
        <v>2.5437679789793528E-6</v>
      </c>
      <c r="FZ125">
        <f t="shared" si="454"/>
        <v>2.9879654307187267E-4</v>
      </c>
      <c r="GA125">
        <f t="shared" si="455"/>
        <v>0.23323556822599475</v>
      </c>
      <c r="GC125">
        <f t="shared" si="456"/>
        <v>26.396919877956233</v>
      </c>
      <c r="GD125">
        <f t="shared" si="457"/>
        <v>0.72800000000000009</v>
      </c>
      <c r="GE125">
        <f t="shared" si="339"/>
        <v>105022.077</v>
      </c>
      <c r="GF125">
        <f t="shared" si="340"/>
        <v>5.2532919641973775E-3</v>
      </c>
      <c r="GG125">
        <f t="shared" si="458"/>
        <v>4.1281010957179053E-3</v>
      </c>
      <c r="GH125">
        <f t="shared" si="459"/>
        <v>1.303861451574544E-2</v>
      </c>
      <c r="GI125">
        <f t="shared" si="460"/>
        <v>14.891935880899634</v>
      </c>
      <c r="GJ125">
        <f t="shared" si="561"/>
        <v>2.7310836184938351E-6</v>
      </c>
      <c r="GK125">
        <f t="shared" si="534"/>
        <v>3.8018323314736029E-2</v>
      </c>
      <c r="GL125">
        <f t="shared" si="461"/>
        <v>3992.7632785711025</v>
      </c>
      <c r="GM125">
        <f t="shared" si="535"/>
        <v>2.4854660901033645E-6</v>
      </c>
      <c r="GN125">
        <f t="shared" si="462"/>
        <v>2.797397907990225E-4</v>
      </c>
      <c r="GO125">
        <f t="shared" si="463"/>
        <v>0.22699897072373354</v>
      </c>
      <c r="GQ125">
        <f t="shared" si="464"/>
        <v>28.294613614689247</v>
      </c>
      <c r="GR125">
        <f t="shared" si="465"/>
        <v>0.72800000000000009</v>
      </c>
      <c r="GS125">
        <f t="shared" si="341"/>
        <v>105022.077</v>
      </c>
      <c r="GT125">
        <f t="shared" si="342"/>
        <v>5.2532919641973775E-3</v>
      </c>
      <c r="GU125">
        <f t="shared" si="466"/>
        <v>4.1281010957179053E-3</v>
      </c>
      <c r="GV125">
        <f t="shared" si="467"/>
        <v>1.303861451574544E-2</v>
      </c>
      <c r="GW125">
        <f t="shared" si="468"/>
        <v>14.891935880899634</v>
      </c>
      <c r="GX125">
        <f t="shared" si="562"/>
        <v>2.6594518452734216E-6</v>
      </c>
      <c r="GY125">
        <f t="shared" si="536"/>
        <v>3.6320321171441308E-2</v>
      </c>
      <c r="GZ125">
        <f t="shared" si="469"/>
        <v>3814.4355667318396</v>
      </c>
      <c r="HA125">
        <f t="shared" si="537"/>
        <v>2.4293282617176204E-6</v>
      </c>
      <c r="HB125">
        <f t="shared" si="470"/>
        <v>2.6209335931221266E-4</v>
      </c>
      <c r="HC125">
        <f t="shared" si="471"/>
        <v>0.2210451659108596</v>
      </c>
      <c r="HE125">
        <f t="shared" si="472"/>
        <v>30.192307351422262</v>
      </c>
      <c r="HF125">
        <f t="shared" si="473"/>
        <v>0.72800000000000009</v>
      </c>
      <c r="HG125">
        <f t="shared" si="343"/>
        <v>105022.077</v>
      </c>
      <c r="HH125">
        <f t="shared" si="344"/>
        <v>5.2532919641973775E-3</v>
      </c>
      <c r="HI125">
        <f t="shared" si="568"/>
        <v>4.1281010957179053E-3</v>
      </c>
      <c r="HJ125">
        <f t="shared" si="474"/>
        <v>1.303861451574544E-2</v>
      </c>
      <c r="HK125">
        <f t="shared" si="475"/>
        <v>14.891935880899634</v>
      </c>
      <c r="HL125">
        <f t="shared" si="563"/>
        <v>2.5910211375156018E-6</v>
      </c>
      <c r="HM125">
        <f t="shared" si="538"/>
        <v>3.472139485002225E-2</v>
      </c>
      <c r="HN125">
        <f t="shared" si="476"/>
        <v>3646.5130034864405</v>
      </c>
      <c r="HO125">
        <f t="shared" si="539"/>
        <v>2.375253377331716E-6</v>
      </c>
      <c r="HP125">
        <f t="shared" si="477"/>
        <v>2.4574316210469472E-4</v>
      </c>
      <c r="HQ125">
        <f t="shared" si="478"/>
        <v>0.21535742346250192</v>
      </c>
      <c r="HS125">
        <f t="shared" si="479"/>
        <v>32.090001088155276</v>
      </c>
      <c r="HT125">
        <f t="shared" si="480"/>
        <v>0.72800000000000009</v>
      </c>
      <c r="HU125">
        <f t="shared" si="345"/>
        <v>105022.077</v>
      </c>
      <c r="HV125">
        <f t="shared" si="346"/>
        <v>5.2532919641973775E-3</v>
      </c>
      <c r="HW125">
        <f t="shared" si="569"/>
        <v>4.1281010957179053E-3</v>
      </c>
      <c r="HX125">
        <f t="shared" si="481"/>
        <v>1.303861451574544E-2</v>
      </c>
      <c r="HY125">
        <f t="shared" si="482"/>
        <v>14.891935880899634</v>
      </c>
      <c r="HZ125">
        <f t="shared" si="564"/>
        <v>2.5256042944555311E-6</v>
      </c>
      <c r="IA125">
        <f t="shared" si="540"/>
        <v>3.3214688291603185E-2</v>
      </c>
      <c r="IB125">
        <f t="shared" si="483"/>
        <v>3488.2755512917483</v>
      </c>
      <c r="IC125">
        <f t="shared" si="541"/>
        <v>2.3231457259766663E-6</v>
      </c>
      <c r="ID125">
        <f t="shared" si="484"/>
        <v>2.3058499921760692E-4</v>
      </c>
      <c r="IE125">
        <f t="shared" si="485"/>
        <v>0.20992018384739947</v>
      </c>
      <c r="IG125">
        <f t="shared" si="486"/>
        <v>33.987694824888287</v>
      </c>
      <c r="IH125">
        <f t="shared" si="487"/>
        <v>0.72800000000000009</v>
      </c>
      <c r="II125">
        <f t="shared" si="347"/>
        <v>105022.077</v>
      </c>
      <c r="IJ125">
        <f t="shared" si="348"/>
        <v>5.2532919641973775E-3</v>
      </c>
      <c r="IK125">
        <f t="shared" si="570"/>
        <v>4.1281010957179053E-3</v>
      </c>
      <c r="IL125">
        <f t="shared" si="488"/>
        <v>1.303861451574544E-2</v>
      </c>
      <c r="IM125">
        <f t="shared" si="489"/>
        <v>14.891935880899634</v>
      </c>
      <c r="IN125">
        <f t="shared" si="565"/>
        <v>2.4630270914683847E-6</v>
      </c>
      <c r="IO125">
        <f t="shared" si="542"/>
        <v>3.17938811035905E-2</v>
      </c>
      <c r="IP125">
        <f t="shared" si="490"/>
        <v>3339.0594293901268</v>
      </c>
      <c r="IQ125">
        <f t="shared" si="543"/>
        <v>2.2729146892561056E-6</v>
      </c>
      <c r="IR125">
        <f t="shared" si="491"/>
        <v>2.1652364947918727E-4</v>
      </c>
      <c r="IS125">
        <f t="shared" si="492"/>
        <v>0.20471896606971521</v>
      </c>
      <c r="IU125">
        <f t="shared" si="493"/>
        <v>35.885388561621305</v>
      </c>
      <c r="IV125">
        <f t="shared" si="494"/>
        <v>0.72800000000000009</v>
      </c>
      <c r="IW125">
        <f t="shared" si="349"/>
        <v>105022.077</v>
      </c>
      <c r="IX125">
        <f t="shared" si="350"/>
        <v>5.2532919641973775E-3</v>
      </c>
      <c r="IY125">
        <f t="shared" si="571"/>
        <v>4.1281010957179053E-3</v>
      </c>
      <c r="IZ125">
        <f t="shared" si="495"/>
        <v>1.303861451574544E-2</v>
      </c>
      <c r="JA125">
        <f t="shared" si="496"/>
        <v>14.891935880899634</v>
      </c>
      <c r="JB125">
        <f t="shared" si="566"/>
        <v>2.4031272656970057E-6</v>
      </c>
      <c r="JC125">
        <f t="shared" si="544"/>
        <v>3.0453142709059071E-2</v>
      </c>
      <c r="JD125">
        <f t="shared" si="497"/>
        <v>3198.2522984827906</v>
      </c>
      <c r="JE125">
        <f t="shared" si="545"/>
        <v>2.2244744471799341E-6</v>
      </c>
      <c r="JF125">
        <f t="shared" si="498"/>
        <v>2.0347205024460414E-4</v>
      </c>
      <c r="JG125">
        <f t="shared" si="499"/>
        <v>0.19974028335763744</v>
      </c>
      <c r="JI125">
        <f t="shared" si="500"/>
        <v>37.783082298354316</v>
      </c>
      <c r="JJ125">
        <f t="shared" si="501"/>
        <v>0.72800000000000009</v>
      </c>
      <c r="JK125">
        <f t="shared" si="351"/>
        <v>105022.077</v>
      </c>
      <c r="JL125">
        <f t="shared" si="352"/>
        <v>5.2532919641973775E-3</v>
      </c>
      <c r="JM125">
        <f t="shared" si="572"/>
        <v>4.1281010957179053E-3</v>
      </c>
      <c r="JN125">
        <f t="shared" si="502"/>
        <v>1.303861451574544E-2</v>
      </c>
      <c r="JO125">
        <f t="shared" si="503"/>
        <v>14.891935880899634</v>
      </c>
      <c r="JP125">
        <f t="shared" si="567"/>
        <v>2.3457535884694187E-6</v>
      </c>
      <c r="JQ125">
        <f t="shared" si="546"/>
        <v>2.9187090706471654E-2</v>
      </c>
      <c r="JR125">
        <f t="shared" si="504"/>
        <v>3065.2888875810504</v>
      </c>
      <c r="JS125">
        <f t="shared" si="547"/>
        <v>2.1777437016646883E-6</v>
      </c>
      <c r="JT125">
        <f t="shared" si="505"/>
        <v>1.9135055586181932E-4</v>
      </c>
      <c r="JU125">
        <f t="shared" si="506"/>
        <v>0.19497156606567828</v>
      </c>
    </row>
    <row r="126" spans="2:281">
      <c r="B126">
        <v>0.92</v>
      </c>
      <c r="C126">
        <f t="shared" si="353"/>
        <v>1.7458782377943733</v>
      </c>
      <c r="D126">
        <f t="shared" si="354"/>
        <v>0.7360000000000001</v>
      </c>
      <c r="E126">
        <f t="shared" si="313"/>
        <v>104837.649</v>
      </c>
      <c r="F126">
        <f t="shared" si="314"/>
        <v>5.2563706500368939E-3</v>
      </c>
      <c r="G126">
        <f t="shared" si="355"/>
        <v>4.1268919926379819E-3</v>
      </c>
      <c r="H126">
        <f t="shared" si="356"/>
        <v>1.3061551748894477E-2</v>
      </c>
      <c r="I126">
        <f t="shared" si="357"/>
        <v>14.909395800088182</v>
      </c>
      <c r="J126">
        <f t="shared" si="548"/>
        <v>4.070087662932605E-6</v>
      </c>
      <c r="K126">
        <f t="shared" si="507"/>
        <v>7.3967372526636252E-2</v>
      </c>
      <c r="L126">
        <f t="shared" si="358"/>
        <v>7754.5654383997353</v>
      </c>
      <c r="M126">
        <f t="shared" si="508"/>
        <v>3.4637759589617809E-6</v>
      </c>
      <c r="N126">
        <f t="shared" si="509"/>
        <v>6.9115030745466261E-4</v>
      </c>
      <c r="O126">
        <f t="shared" si="359"/>
        <v>0.33829272160864565</v>
      </c>
      <c r="Q126">
        <f t="shared" si="360"/>
        <v>3.6435719745273878</v>
      </c>
      <c r="R126">
        <f t="shared" si="361"/>
        <v>0.7360000000000001</v>
      </c>
      <c r="S126">
        <f t="shared" si="315"/>
        <v>104837.649</v>
      </c>
      <c r="T126">
        <f t="shared" si="316"/>
        <v>5.2563706500368939E-3</v>
      </c>
      <c r="U126">
        <f t="shared" si="362"/>
        <v>4.1268919926379819E-3</v>
      </c>
      <c r="V126">
        <f t="shared" si="363"/>
        <v>1.3061551748894477E-2</v>
      </c>
      <c r="W126">
        <f t="shared" si="364"/>
        <v>14.909395800088182</v>
      </c>
      <c r="X126">
        <f t="shared" si="549"/>
        <v>3.9313713266400661E-6</v>
      </c>
      <c r="Y126">
        <f t="shared" si="510"/>
        <v>6.9966855324740909E-2</v>
      </c>
      <c r="Z126">
        <f t="shared" si="365"/>
        <v>7335.1606201689692</v>
      </c>
      <c r="AA126">
        <f t="shared" si="511"/>
        <v>3.3688050160124885E-6</v>
      </c>
      <c r="AB126">
        <f t="shared" si="366"/>
        <v>6.4128380832410175E-4</v>
      </c>
      <c r="AC126">
        <f t="shared" si="367"/>
        <v>0.32676306160565416</v>
      </c>
      <c r="AE126">
        <f t="shared" si="368"/>
        <v>5.5412657112604018</v>
      </c>
      <c r="AF126">
        <f t="shared" si="369"/>
        <v>0.7360000000000001</v>
      </c>
      <c r="AG126">
        <f t="shared" si="317"/>
        <v>104837.649</v>
      </c>
      <c r="AH126">
        <f t="shared" si="318"/>
        <v>5.2563706500368939E-3</v>
      </c>
      <c r="AI126">
        <f t="shared" si="370"/>
        <v>4.1268919926379819E-3</v>
      </c>
      <c r="AJ126">
        <f t="shared" si="371"/>
        <v>1.3061551748894477E-2</v>
      </c>
      <c r="AK126">
        <f t="shared" si="372"/>
        <v>14.909395800088182</v>
      </c>
      <c r="AL126">
        <f t="shared" si="550"/>
        <v>3.8001546909937893E-6</v>
      </c>
      <c r="AM126">
        <f t="shared" si="512"/>
        <v>6.6237577532885852E-2</v>
      </c>
      <c r="AN126">
        <f t="shared" si="373"/>
        <v>6944.1919040029734</v>
      </c>
      <c r="AO126">
        <f t="shared" si="513"/>
        <v>3.2777959783856306E-6</v>
      </c>
      <c r="AP126">
        <f t="shared" si="374"/>
        <v>5.9545013308554473E-4</v>
      </c>
      <c r="AQ126">
        <f t="shared" si="375"/>
        <v>0.31585675283069153</v>
      </c>
      <c r="AS126">
        <f t="shared" si="376"/>
        <v>7.4389594479934162</v>
      </c>
      <c r="AT126">
        <f t="shared" si="377"/>
        <v>0.7360000000000001</v>
      </c>
      <c r="AU126">
        <f t="shared" si="319"/>
        <v>104837.649</v>
      </c>
      <c r="AV126">
        <f t="shared" si="320"/>
        <v>5.2563706500368939E-3</v>
      </c>
      <c r="AW126">
        <f t="shared" si="378"/>
        <v>4.1268919926379819E-3</v>
      </c>
      <c r="AX126">
        <f t="shared" si="379"/>
        <v>1.3061551748894477E-2</v>
      </c>
      <c r="AY126">
        <f t="shared" si="380"/>
        <v>14.909395800088182</v>
      </c>
      <c r="AZ126">
        <f t="shared" si="551"/>
        <v>3.6759291717602869E-6</v>
      </c>
      <c r="BA126">
        <f t="shared" si="514"/>
        <v>6.2758332631613151E-2</v>
      </c>
      <c r="BB126">
        <f t="shared" si="381"/>
        <v>6579.4360482583061</v>
      </c>
      <c r="BC126">
        <f t="shared" si="515"/>
        <v>3.1905488319056243E-6</v>
      </c>
      <c r="BD126">
        <f t="shared" si="382"/>
        <v>5.5329753479266763E-4</v>
      </c>
      <c r="BE126">
        <f t="shared" si="383"/>
        <v>0.30553152338232409</v>
      </c>
      <c r="BG126">
        <f t="shared" si="384"/>
        <v>9.3366531847264316</v>
      </c>
      <c r="BH126">
        <f t="shared" si="385"/>
        <v>0.7360000000000001</v>
      </c>
      <c r="BI126">
        <f t="shared" si="321"/>
        <v>104837.649</v>
      </c>
      <c r="BJ126">
        <f t="shared" si="322"/>
        <v>5.2563706500368939E-3</v>
      </c>
      <c r="BK126">
        <f t="shared" si="386"/>
        <v>4.1268919926379819E-3</v>
      </c>
      <c r="BL126">
        <f t="shared" si="387"/>
        <v>1.3061551748894477E-2</v>
      </c>
      <c r="BM126">
        <f t="shared" si="388"/>
        <v>14.909395800088182</v>
      </c>
      <c r="BN126">
        <f t="shared" si="552"/>
        <v>3.5582259285604479E-6</v>
      </c>
      <c r="BO126">
        <f t="shared" si="516"/>
        <v>5.950974563619444E-2</v>
      </c>
      <c r="BP126">
        <f t="shared" si="389"/>
        <v>6238.8618250866348</v>
      </c>
      <c r="BQ126">
        <f t="shared" si="517"/>
        <v>3.1068747432286119E-6</v>
      </c>
      <c r="BR126">
        <f t="shared" si="390"/>
        <v>5.14506826223391E-4</v>
      </c>
      <c r="BS126">
        <f t="shared" si="391"/>
        <v>0.29574840474169317</v>
      </c>
      <c r="BU126">
        <f t="shared" si="392"/>
        <v>11.234346921459446</v>
      </c>
      <c r="BV126">
        <f t="shared" si="393"/>
        <v>0.7360000000000001</v>
      </c>
      <c r="BW126">
        <f t="shared" si="323"/>
        <v>104837.649</v>
      </c>
      <c r="BX126">
        <f t="shared" si="324"/>
        <v>5.2563706500368939E-3</v>
      </c>
      <c r="BY126">
        <f t="shared" si="394"/>
        <v>4.1268919926379819E-3</v>
      </c>
      <c r="BZ126">
        <f t="shared" si="395"/>
        <v>1.3061551748894477E-2</v>
      </c>
      <c r="CA126">
        <f t="shared" si="396"/>
        <v>14.909395800088182</v>
      </c>
      <c r="CB126">
        <f t="shared" si="553"/>
        <v>3.4466124361783817E-6</v>
      </c>
      <c r="CC126">
        <f t="shared" si="518"/>
        <v>5.647410300941038E-2</v>
      </c>
      <c r="CD126">
        <f t="shared" si="397"/>
        <v>5920.612188890409</v>
      </c>
      <c r="CE126">
        <f t="shared" si="519"/>
        <v>3.0265954053462519E-6</v>
      </c>
      <c r="CF126">
        <f t="shared" si="398"/>
        <v>4.7878821750369855E-4</v>
      </c>
      <c r="CG126">
        <f t="shared" si="399"/>
        <v>0.28647144679062797</v>
      </c>
      <c r="CI126">
        <f t="shared" si="400"/>
        <v>13.13204065819246</v>
      </c>
      <c r="CJ126">
        <f t="shared" si="401"/>
        <v>0.7360000000000001</v>
      </c>
      <c r="CK126">
        <f t="shared" si="325"/>
        <v>104837.649</v>
      </c>
      <c r="CL126">
        <f t="shared" si="326"/>
        <v>5.2563706500368939E-3</v>
      </c>
      <c r="CM126">
        <f t="shared" si="402"/>
        <v>4.1268919926379819E-3</v>
      </c>
      <c r="CN126">
        <f t="shared" si="403"/>
        <v>1.3061551748894477E-2</v>
      </c>
      <c r="CO126">
        <f t="shared" si="404"/>
        <v>14.909395800088182</v>
      </c>
      <c r="CP126">
        <f t="shared" si="554"/>
        <v>3.3406893738328811E-6</v>
      </c>
      <c r="CQ126">
        <f t="shared" si="520"/>
        <v>5.3635199233755634E-2</v>
      </c>
      <c r="CR126">
        <f t="shared" si="405"/>
        <v>5622.9881913135423</v>
      </c>
      <c r="CS126">
        <f t="shared" si="521"/>
        <v>2.9495424212524801E-6</v>
      </c>
      <c r="CT126">
        <f t="shared" si="406"/>
        <v>4.4587847268227459E-4</v>
      </c>
      <c r="CU126">
        <f t="shared" si="407"/>
        <v>0.27766745925779851</v>
      </c>
      <c r="CW126">
        <f t="shared" si="408"/>
        <v>15.029734394925475</v>
      </c>
      <c r="CX126">
        <f t="shared" si="409"/>
        <v>0.7360000000000001</v>
      </c>
      <c r="CY126">
        <f t="shared" si="327"/>
        <v>104837.649</v>
      </c>
      <c r="CZ126">
        <f t="shared" si="328"/>
        <v>5.2563706500368939E-3</v>
      </c>
      <c r="DA126">
        <f t="shared" si="410"/>
        <v>4.1268919926379819E-3</v>
      </c>
      <c r="DB126">
        <f t="shared" si="411"/>
        <v>1.3061551748894477E-2</v>
      </c>
      <c r="DC126">
        <f t="shared" si="412"/>
        <v>14.909395800088182</v>
      </c>
      <c r="DD126">
        <f t="shared" si="555"/>
        <v>3.2400878013098004E-6</v>
      </c>
      <c r="DE126">
        <f t="shared" si="522"/>
        <v>5.0978198347807847E-2</v>
      </c>
      <c r="DF126">
        <f t="shared" si="413"/>
        <v>5344.4344650398589</v>
      </c>
      <c r="DG126">
        <f t="shared" si="523"/>
        <v>2.875556723685734E-6</v>
      </c>
      <c r="DH126">
        <f t="shared" si="414"/>
        <v>4.1553835218192763E-4</v>
      </c>
      <c r="DI126">
        <f t="shared" si="415"/>
        <v>0.26930577700783415</v>
      </c>
      <c r="DK126">
        <f t="shared" si="416"/>
        <v>16.927428131658488</v>
      </c>
      <c r="DL126">
        <f t="shared" si="417"/>
        <v>0.7360000000000001</v>
      </c>
      <c r="DM126">
        <f t="shared" si="329"/>
        <v>104837.649</v>
      </c>
      <c r="DN126">
        <f t="shared" si="330"/>
        <v>5.2563706500368939E-3</v>
      </c>
      <c r="DO126">
        <f t="shared" si="418"/>
        <v>4.1268919926379819E-3</v>
      </c>
      <c r="DP126">
        <f t="shared" si="419"/>
        <v>1.3061551748894477E-2</v>
      </c>
      <c r="DQ126">
        <f t="shared" si="420"/>
        <v>14.909395800088182</v>
      </c>
      <c r="DR126">
        <f t="shared" si="556"/>
        <v>3.1444665940153409E-6</v>
      </c>
      <c r="DS126">
        <f t="shared" si="524"/>
        <v>4.8489508928493623E-2</v>
      </c>
      <c r="DT126">
        <f t="shared" si="421"/>
        <v>5083.5261172277806</v>
      </c>
      <c r="DU126">
        <f t="shared" si="525"/>
        <v>2.8044880289567637E-6</v>
      </c>
      <c r="DV126">
        <f t="shared" si="422"/>
        <v>3.8755031154657994E-4</v>
      </c>
      <c r="DW126">
        <f t="shared" si="423"/>
        <v>0.26135804685112307</v>
      </c>
      <c r="DY126">
        <f t="shared" si="424"/>
        <v>18.825121868391502</v>
      </c>
      <c r="DZ126">
        <f t="shared" si="425"/>
        <v>0.7360000000000001</v>
      </c>
      <c r="EA126">
        <f t="shared" si="331"/>
        <v>104837.649</v>
      </c>
      <c r="EB126">
        <f t="shared" si="332"/>
        <v>5.2563706500368939E-3</v>
      </c>
      <c r="EC126">
        <f t="shared" si="426"/>
        <v>4.1268919926379819E-3</v>
      </c>
      <c r="ED126">
        <f t="shared" si="427"/>
        <v>1.3061551748894477E-2</v>
      </c>
      <c r="EE126">
        <f t="shared" si="428"/>
        <v>14.909395800088182</v>
      </c>
      <c r="EF126">
        <f t="shared" si="557"/>
        <v>3.0535101118420168E-6</v>
      </c>
      <c r="EG126">
        <f t="shared" si="526"/>
        <v>4.615667115922386E-2</v>
      </c>
      <c r="EH126">
        <f t="shared" si="429"/>
        <v>4838.9568899991345</v>
      </c>
      <c r="EI126">
        <f t="shared" si="527"/>
        <v>2.7361943229664503E-6</v>
      </c>
      <c r="EJ126">
        <f t="shared" si="430"/>
        <v>3.6171643002312886E-4</v>
      </c>
      <c r="EK126">
        <f t="shared" si="431"/>
        <v>0.25379803378737703</v>
      </c>
      <c r="EM126">
        <f t="shared" si="432"/>
        <v>20.722815605124516</v>
      </c>
      <c r="EN126">
        <f t="shared" si="433"/>
        <v>0.7360000000000001</v>
      </c>
      <c r="EO126">
        <f t="shared" si="333"/>
        <v>104837.649</v>
      </c>
      <c r="EP126">
        <f t="shared" si="334"/>
        <v>5.2563706500368939E-3</v>
      </c>
      <c r="EQ126">
        <f t="shared" si="434"/>
        <v>4.1268919926379819E-3</v>
      </c>
      <c r="ER126">
        <f t="shared" si="435"/>
        <v>1.3061551748894477E-2</v>
      </c>
      <c r="ES126">
        <f t="shared" si="436"/>
        <v>14.909395800088182</v>
      </c>
      <c r="ET126">
        <f t="shared" si="558"/>
        <v>2.9669260792757979E-6</v>
      </c>
      <c r="EU126">
        <f t="shared" si="528"/>
        <v>4.3968254765352585E-2</v>
      </c>
      <c r="EV126">
        <f t="shared" si="437"/>
        <v>4609.5284602326119</v>
      </c>
      <c r="EW126">
        <f t="shared" si="529"/>
        <v>2.670541377609146E-6</v>
      </c>
      <c r="EX126">
        <f t="shared" si="438"/>
        <v>3.3785654530532069E-4</v>
      </c>
      <c r="EY126">
        <f t="shared" si="439"/>
        <v>0.24660144480688981</v>
      </c>
      <c r="FA126">
        <f t="shared" si="440"/>
        <v>22.620509341857531</v>
      </c>
      <c r="FB126">
        <f t="shared" si="441"/>
        <v>0.7360000000000001</v>
      </c>
      <c r="FC126">
        <f t="shared" si="335"/>
        <v>104837.649</v>
      </c>
      <c r="FD126">
        <f t="shared" si="336"/>
        <v>5.2563706500368939E-3</v>
      </c>
      <c r="FE126">
        <f t="shared" si="442"/>
        <v>4.1268919926379819E-3</v>
      </c>
      <c r="FF126">
        <f t="shared" si="443"/>
        <v>1.3061551748894477E-2</v>
      </c>
      <c r="FG126">
        <f t="shared" si="444"/>
        <v>14.909395800088182</v>
      </c>
      <c r="FH126">
        <f t="shared" si="559"/>
        <v>2.8844436564460859E-6</v>
      </c>
      <c r="FI126">
        <f t="shared" si="530"/>
        <v>4.1913766724924292E-2</v>
      </c>
      <c r="FJ126">
        <f t="shared" si="445"/>
        <v>4394.1407641754931</v>
      </c>
      <c r="FK126">
        <f t="shared" si="531"/>
        <v>2.6074022958450147E-6</v>
      </c>
      <c r="FL126">
        <f t="shared" si="446"/>
        <v>3.1580657325774202E-4</v>
      </c>
      <c r="FM126">
        <f t="shared" si="447"/>
        <v>0.23974576856235572</v>
      </c>
      <c r="FO126">
        <f t="shared" si="448"/>
        <v>24.518203078590545</v>
      </c>
      <c r="FP126">
        <f t="shared" si="449"/>
        <v>0.7360000000000001</v>
      </c>
      <c r="FQ126">
        <f t="shared" si="337"/>
        <v>104837.649</v>
      </c>
      <c r="FR126">
        <f t="shared" si="338"/>
        <v>5.2563706500368939E-3</v>
      </c>
      <c r="FS126">
        <f t="shared" si="450"/>
        <v>4.1268919926379819E-3</v>
      </c>
      <c r="FT126">
        <f t="shared" si="451"/>
        <v>1.3061551748894477E-2</v>
      </c>
      <c r="FU126">
        <f t="shared" si="452"/>
        <v>14.909395800088182</v>
      </c>
      <c r="FV126">
        <f t="shared" si="560"/>
        <v>2.8058116828573732E-6</v>
      </c>
      <c r="FW126">
        <f t="shared" si="532"/>
        <v>3.9983567775811975E-2</v>
      </c>
      <c r="FX126">
        <f t="shared" si="453"/>
        <v>4191.7832442482868</v>
      </c>
      <c r="FY126">
        <f t="shared" si="533"/>
        <v>2.5466570838097931E-6</v>
      </c>
      <c r="FZ126">
        <f t="shared" si="454"/>
        <v>2.9541699366345046E-4</v>
      </c>
      <c r="GA126">
        <f t="shared" si="455"/>
        <v>0.23321012939343957</v>
      </c>
      <c r="GC126">
        <f t="shared" si="456"/>
        <v>26.41589681532356</v>
      </c>
      <c r="GD126">
        <f t="shared" si="457"/>
        <v>0.7360000000000001</v>
      </c>
      <c r="GE126">
        <f t="shared" si="339"/>
        <v>104837.649</v>
      </c>
      <c r="GF126">
        <f t="shared" si="340"/>
        <v>5.2563706500368939E-3</v>
      </c>
      <c r="GG126">
        <f t="shared" si="458"/>
        <v>4.1268919926379819E-3</v>
      </c>
      <c r="GH126">
        <f t="shared" si="459"/>
        <v>1.3061551748894477E-2</v>
      </c>
      <c r="GI126">
        <f t="shared" si="460"/>
        <v>14.909395800088182</v>
      </c>
      <c r="GJ126">
        <f t="shared" si="561"/>
        <v>2.7307970773678521E-6</v>
      </c>
      <c r="GK126">
        <f t="shared" si="534"/>
        <v>3.8168796841532758E-2</v>
      </c>
      <c r="GL126">
        <f t="shared" si="461"/>
        <v>4001.5269260249202</v>
      </c>
      <c r="GM126">
        <f t="shared" si="535"/>
        <v>2.4881922484122412E-6</v>
      </c>
      <c r="GN126">
        <f t="shared" si="462"/>
        <v>2.7655148502745206E-4</v>
      </c>
      <c r="GO126">
        <f t="shared" si="463"/>
        <v>0.22697515433809537</v>
      </c>
      <c r="GQ126">
        <f t="shared" si="464"/>
        <v>28.313590552056574</v>
      </c>
      <c r="GR126">
        <f t="shared" si="465"/>
        <v>0.7360000000000001</v>
      </c>
      <c r="GS126">
        <f t="shared" si="341"/>
        <v>104837.649</v>
      </c>
      <c r="GT126">
        <f t="shared" si="342"/>
        <v>5.2563706500368939E-3</v>
      </c>
      <c r="GU126">
        <f t="shared" si="466"/>
        <v>4.1268919926379819E-3</v>
      </c>
      <c r="GV126">
        <f t="shared" si="467"/>
        <v>1.3061551748894477E-2</v>
      </c>
      <c r="GW126">
        <f t="shared" si="468"/>
        <v>14.909395800088182</v>
      </c>
      <c r="GX126">
        <f t="shared" si="562"/>
        <v>2.6591833796179798E-6</v>
      </c>
      <c r="GY126">
        <f t="shared" si="536"/>
        <v>3.6461302588539905E-2</v>
      </c>
      <c r="GZ126">
        <f t="shared" si="469"/>
        <v>3822.5172428601381</v>
      </c>
      <c r="HA126">
        <f t="shared" si="537"/>
        <v>2.4319004189484681E-6</v>
      </c>
      <c r="HB126">
        <f t="shared" si="470"/>
        <v>2.5908569324516634E-4</v>
      </c>
      <c r="HC126">
        <f t="shared" si="471"/>
        <v>0.22102285190075488</v>
      </c>
      <c r="HE126">
        <f t="shared" si="472"/>
        <v>30.211284288789589</v>
      </c>
      <c r="HF126">
        <f t="shared" si="473"/>
        <v>0.7360000000000001</v>
      </c>
      <c r="HG126">
        <f t="shared" si="343"/>
        <v>104837.649</v>
      </c>
      <c r="HH126">
        <f t="shared" si="344"/>
        <v>5.2563706500368939E-3</v>
      </c>
      <c r="HI126">
        <f t="shared" si="568"/>
        <v>4.1268919926379819E-3</v>
      </c>
      <c r="HJ126">
        <f t="shared" si="474"/>
        <v>1.3061551748894477E-2</v>
      </c>
      <c r="HK126">
        <f t="shared" si="475"/>
        <v>14.909395800088182</v>
      </c>
      <c r="HL126">
        <f t="shared" si="563"/>
        <v>2.5907694195809777E-6</v>
      </c>
      <c r="HM126">
        <f t="shared" si="538"/>
        <v>3.4853581408761193E-2</v>
      </c>
      <c r="HN126">
        <f t="shared" si="476"/>
        <v>3653.9675341246316</v>
      </c>
      <c r="HO126">
        <f t="shared" si="539"/>
        <v>2.3776799913382174E-6</v>
      </c>
      <c r="HP126">
        <f t="shared" si="477"/>
        <v>2.429061205330272E-4</v>
      </c>
      <c r="HQ126">
        <f t="shared" si="478"/>
        <v>0.21533650146960304</v>
      </c>
      <c r="HS126">
        <f t="shared" si="479"/>
        <v>32.10897802552261</v>
      </c>
      <c r="HT126">
        <f t="shared" si="480"/>
        <v>0.7360000000000001</v>
      </c>
      <c r="HU126">
        <f t="shared" si="345"/>
        <v>104837.649</v>
      </c>
      <c r="HV126">
        <f t="shared" si="346"/>
        <v>5.2563706500368939E-3</v>
      </c>
      <c r="HW126">
        <f t="shared" si="569"/>
        <v>4.1268919926379819E-3</v>
      </c>
      <c r="HX126">
        <f t="shared" si="481"/>
        <v>1.3061551748894477E-2</v>
      </c>
      <c r="HY126">
        <f t="shared" si="482"/>
        <v>14.909395800088182</v>
      </c>
      <c r="HZ126">
        <f t="shared" si="564"/>
        <v>2.5253681032253811E-6</v>
      </c>
      <c r="IA126">
        <f t="shared" si="540"/>
        <v>3.3338721193606875E-2</v>
      </c>
      <c r="IB126">
        <f t="shared" si="483"/>
        <v>3495.1531506042188</v>
      </c>
      <c r="IC126">
        <f t="shared" si="541"/>
        <v>2.3254347936612478E-6</v>
      </c>
      <c r="ID126">
        <f t="shared" si="484"/>
        <v>2.279091224376701E-4</v>
      </c>
      <c r="IE126">
        <f t="shared" si="485"/>
        <v>0.20990055238471741</v>
      </c>
      <c r="IG126">
        <f t="shared" si="486"/>
        <v>34.006671762255621</v>
      </c>
      <c r="IH126">
        <f t="shared" si="487"/>
        <v>0.7360000000000001</v>
      </c>
      <c r="II126">
        <f t="shared" si="347"/>
        <v>104837.649</v>
      </c>
      <c r="IJ126">
        <f t="shared" si="348"/>
        <v>5.2563706500368939E-3</v>
      </c>
      <c r="IK126">
        <f t="shared" si="570"/>
        <v>4.1268919926379819E-3</v>
      </c>
      <c r="IL126">
        <f t="shared" si="488"/>
        <v>1.3061551748894477E-2</v>
      </c>
      <c r="IM126">
        <f t="shared" si="489"/>
        <v>14.909395800088182</v>
      </c>
      <c r="IN126">
        <f t="shared" si="565"/>
        <v>2.4628053034626577E-6</v>
      </c>
      <c r="IO126">
        <f t="shared" si="542"/>
        <v>3.191035033050664E-2</v>
      </c>
      <c r="IP126">
        <f t="shared" si="490"/>
        <v>3345.4061074166893</v>
      </c>
      <c r="IQ126">
        <f t="shared" si="543"/>
        <v>2.2750737717419685E-6</v>
      </c>
      <c r="IR126">
        <f t="shared" si="491"/>
        <v>2.1400000200875668E-4</v>
      </c>
      <c r="IS126">
        <f t="shared" si="492"/>
        <v>0.20470053175716688</v>
      </c>
      <c r="IU126">
        <f t="shared" si="493"/>
        <v>35.904365498988639</v>
      </c>
      <c r="IV126">
        <f t="shared" si="494"/>
        <v>0.7360000000000001</v>
      </c>
      <c r="IW126">
        <f t="shared" si="349"/>
        <v>104837.649</v>
      </c>
      <c r="IX126">
        <f t="shared" si="350"/>
        <v>5.2563706500368939E-3</v>
      </c>
      <c r="IY126">
        <f t="shared" si="571"/>
        <v>4.1268919926379819E-3</v>
      </c>
      <c r="IZ126">
        <f t="shared" si="495"/>
        <v>1.3061551748894477E-2</v>
      </c>
      <c r="JA126">
        <f t="shared" si="496"/>
        <v>14.909395800088182</v>
      </c>
      <c r="JB126">
        <f t="shared" si="566"/>
        <v>2.4029188466150555E-6</v>
      </c>
      <c r="JC126">
        <f t="shared" si="544"/>
        <v>3.0562591411073991E-2</v>
      </c>
      <c r="JD126">
        <f t="shared" si="497"/>
        <v>3204.1102308845898</v>
      </c>
      <c r="JE126">
        <f t="shared" si="545"/>
        <v>2.2265106935978328E-6</v>
      </c>
      <c r="JF126">
        <f t="shared" si="498"/>
        <v>2.0109219135448135E-4</v>
      </c>
      <c r="JG126">
        <f t="shared" si="499"/>
        <v>0.19972296022744784</v>
      </c>
      <c r="JI126">
        <f t="shared" si="500"/>
        <v>37.80205923572165</v>
      </c>
      <c r="JJ126">
        <f t="shared" si="501"/>
        <v>0.7360000000000001</v>
      </c>
      <c r="JK126">
        <f t="shared" si="351"/>
        <v>104837.649</v>
      </c>
      <c r="JL126">
        <f t="shared" si="352"/>
        <v>5.2563706500368939E-3</v>
      </c>
      <c r="JM126">
        <f t="shared" si="572"/>
        <v>4.1268919926379819E-3</v>
      </c>
      <c r="JN126">
        <f t="shared" si="502"/>
        <v>1.3061551748894477E-2</v>
      </c>
      <c r="JO126">
        <f t="shared" si="503"/>
        <v>14.909395800088182</v>
      </c>
      <c r="JP126">
        <f t="shared" si="567"/>
        <v>2.3455575855926827E-6</v>
      </c>
      <c r="JQ126">
        <f t="shared" si="546"/>
        <v>2.9290019191950289E-2</v>
      </c>
      <c r="JR126">
        <f t="shared" si="504"/>
        <v>3070.6967512489482</v>
      </c>
      <c r="JS126">
        <f t="shared" si="547"/>
        <v>2.1796638716312403E-6</v>
      </c>
      <c r="JT126">
        <f t="shared" si="505"/>
        <v>1.8910651181288128E-4</v>
      </c>
      <c r="JU126">
        <f t="shared" si="506"/>
        <v>0.19495527493091527</v>
      </c>
    </row>
    <row r="127" spans="2:281">
      <c r="B127">
        <v>0.93</v>
      </c>
      <c r="C127">
        <f t="shared" si="353"/>
        <v>1.7648551751617034</v>
      </c>
      <c r="D127">
        <f t="shared" si="354"/>
        <v>0.74399999999999999</v>
      </c>
      <c r="E127">
        <f t="shared" si="313"/>
        <v>104653.22100000001</v>
      </c>
      <c r="F127">
        <f t="shared" si="314"/>
        <v>5.2594565656300966E-3</v>
      </c>
      <c r="G127">
        <f t="shared" si="355"/>
        <v>4.1256811157347603E-3</v>
      </c>
      <c r="H127">
        <f t="shared" si="356"/>
        <v>1.3084569825575987E-2</v>
      </c>
      <c r="I127">
        <f t="shared" si="357"/>
        <v>14.926906986263994</v>
      </c>
      <c r="J127">
        <f t="shared" si="548"/>
        <v>4.0693797086342337E-6</v>
      </c>
      <c r="K127">
        <f t="shared" si="507"/>
        <v>7.4339145966561646E-2</v>
      </c>
      <c r="L127">
        <f t="shared" si="358"/>
        <v>7779.8310717898348</v>
      </c>
      <c r="M127">
        <f t="shared" si="508"/>
        <v>3.4694141424295207E-6</v>
      </c>
      <c r="N127">
        <f t="shared" si="509"/>
        <v>6.8451854150460478E-4</v>
      </c>
      <c r="O127">
        <f t="shared" si="359"/>
        <v>0.33823387870249605</v>
      </c>
      <c r="Q127">
        <f t="shared" si="360"/>
        <v>3.6625489118947181</v>
      </c>
      <c r="R127">
        <f t="shared" si="361"/>
        <v>0.74399999999999999</v>
      </c>
      <c r="S127">
        <f t="shared" si="315"/>
        <v>104653.22100000001</v>
      </c>
      <c r="T127">
        <f t="shared" si="316"/>
        <v>5.2594565656300966E-3</v>
      </c>
      <c r="U127">
        <f t="shared" si="362"/>
        <v>4.1256811157347603E-3</v>
      </c>
      <c r="V127">
        <f t="shared" si="363"/>
        <v>1.3084569825575987E-2</v>
      </c>
      <c r="W127">
        <f t="shared" si="364"/>
        <v>14.926906986263994</v>
      </c>
      <c r="X127">
        <f t="shared" si="549"/>
        <v>3.9307144512488781E-6</v>
      </c>
      <c r="Y127">
        <f t="shared" si="510"/>
        <v>7.0311805308583247E-2</v>
      </c>
      <c r="Z127">
        <f t="shared" si="365"/>
        <v>7358.3568998681358</v>
      </c>
      <c r="AA127">
        <f t="shared" si="511"/>
        <v>3.3741274667157025E-6</v>
      </c>
      <c r="AB127">
        <f t="shared" si="366"/>
        <v>6.3502662875005247E-4</v>
      </c>
      <c r="AC127">
        <f t="shared" si="367"/>
        <v>0.32670846421556193</v>
      </c>
      <c r="AE127">
        <f t="shared" si="368"/>
        <v>5.5602426486277325</v>
      </c>
      <c r="AF127">
        <f t="shared" si="369"/>
        <v>0.74399999999999999</v>
      </c>
      <c r="AG127">
        <f t="shared" si="317"/>
        <v>104653.22100000001</v>
      </c>
      <c r="AH127">
        <f t="shared" si="318"/>
        <v>5.2594565656300966E-3</v>
      </c>
      <c r="AI127">
        <f t="shared" si="370"/>
        <v>4.1256811157347603E-3</v>
      </c>
      <c r="AJ127">
        <f t="shared" si="371"/>
        <v>1.3084569825575987E-2</v>
      </c>
      <c r="AK127">
        <f t="shared" si="372"/>
        <v>14.926906986263994</v>
      </c>
      <c r="AL127">
        <f t="shared" si="550"/>
        <v>3.7995447636355331E-6</v>
      </c>
      <c r="AM127">
        <f t="shared" si="512"/>
        <v>6.6557873338144932E-2</v>
      </c>
      <c r="AN127">
        <f t="shared" si="373"/>
        <v>6965.4958277468895</v>
      </c>
      <c r="AO127">
        <f t="shared" si="513"/>
        <v>3.2828200647834475E-6</v>
      </c>
      <c r="AP127">
        <f t="shared" si="374"/>
        <v>5.8954656257213908E-4</v>
      </c>
      <c r="AQ127">
        <f t="shared" si="375"/>
        <v>0.3158060576115474</v>
      </c>
      <c r="AS127">
        <f t="shared" si="376"/>
        <v>7.457936385360747</v>
      </c>
      <c r="AT127">
        <f t="shared" si="377"/>
        <v>0.74399999999999999</v>
      </c>
      <c r="AU127">
        <f t="shared" si="319"/>
        <v>104653.22100000001</v>
      </c>
      <c r="AV127">
        <f t="shared" si="320"/>
        <v>5.2594565656300966E-3</v>
      </c>
      <c r="AW127">
        <f t="shared" si="378"/>
        <v>4.1256811157347603E-3</v>
      </c>
      <c r="AX127">
        <f t="shared" si="379"/>
        <v>1.3084569825575987E-2</v>
      </c>
      <c r="AY127">
        <f t="shared" si="380"/>
        <v>14.926906986263994</v>
      </c>
      <c r="AZ127">
        <f t="shared" si="551"/>
        <v>3.6753624218597083E-6</v>
      </c>
      <c r="BA127">
        <f t="shared" si="514"/>
        <v>6.3055954329228628E-2</v>
      </c>
      <c r="BB127">
        <f t="shared" si="381"/>
        <v>6599.008723782671</v>
      </c>
      <c r="BC127">
        <f t="shared" si="515"/>
        <v>3.1952909711148696E-6</v>
      </c>
      <c r="BD127">
        <f t="shared" si="382"/>
        <v>5.4772778271366604E-4</v>
      </c>
      <c r="BE127">
        <f t="shared" si="383"/>
        <v>0.30548441693592387</v>
      </c>
      <c r="BG127">
        <f t="shared" si="384"/>
        <v>9.3556301220937605</v>
      </c>
      <c r="BH127">
        <f t="shared" si="385"/>
        <v>0.74399999999999999</v>
      </c>
      <c r="BI127">
        <f t="shared" si="321"/>
        <v>104653.22100000001</v>
      </c>
      <c r="BJ127">
        <f t="shared" si="322"/>
        <v>5.2594565656300966E-3</v>
      </c>
      <c r="BK127">
        <f t="shared" si="386"/>
        <v>4.1256811157347603E-3</v>
      </c>
      <c r="BL127">
        <f t="shared" si="387"/>
        <v>1.3084569825575987E-2</v>
      </c>
      <c r="BM127">
        <f t="shared" si="388"/>
        <v>14.926906986263994</v>
      </c>
      <c r="BN127">
        <f t="shared" si="552"/>
        <v>3.5576989124899384E-6</v>
      </c>
      <c r="BO127">
        <f t="shared" si="516"/>
        <v>5.9786501604595282E-2</v>
      </c>
      <c r="BP127">
        <f t="shared" si="389"/>
        <v>6256.8499652425653</v>
      </c>
      <c r="BQ127">
        <f t="shared" si="517"/>
        <v>3.1113504532233877E-6</v>
      </c>
      <c r="BR127">
        <f t="shared" si="390"/>
        <v>5.0925221971108285E-4</v>
      </c>
      <c r="BS127">
        <f t="shared" si="391"/>
        <v>0.29570460084467942</v>
      </c>
      <c r="BU127">
        <f t="shared" si="392"/>
        <v>11.253323858826775</v>
      </c>
      <c r="BV127">
        <f t="shared" si="393"/>
        <v>0.74399999999999999</v>
      </c>
      <c r="BW127">
        <f t="shared" si="323"/>
        <v>104653.22100000001</v>
      </c>
      <c r="BX127">
        <f t="shared" si="324"/>
        <v>5.2594565656300966E-3</v>
      </c>
      <c r="BY127">
        <f t="shared" si="394"/>
        <v>4.1256811157347603E-3</v>
      </c>
      <c r="BZ127">
        <f t="shared" si="395"/>
        <v>1.3084569825575987E-2</v>
      </c>
      <c r="CA127">
        <f t="shared" si="396"/>
        <v>14.926906986263994</v>
      </c>
      <c r="CB127">
        <f t="shared" si="553"/>
        <v>3.4461220071458898E-6</v>
      </c>
      <c r="CC127">
        <f t="shared" si="518"/>
        <v>5.6731645747505402E-2</v>
      </c>
      <c r="CD127">
        <f t="shared" si="397"/>
        <v>5937.1494601073937</v>
      </c>
      <c r="CE127">
        <f t="shared" si="519"/>
        <v>3.0308193542848686E-6</v>
      </c>
      <c r="CF127">
        <f t="shared" si="398"/>
        <v>4.7383113670630223E-4</v>
      </c>
      <c r="CG127">
        <f t="shared" si="399"/>
        <v>0.2864306838916692</v>
      </c>
      <c r="CI127">
        <f t="shared" si="400"/>
        <v>13.151017595559789</v>
      </c>
      <c r="CJ127">
        <f t="shared" si="401"/>
        <v>0.74399999999999999</v>
      </c>
      <c r="CK127">
        <f t="shared" si="325"/>
        <v>104653.22100000001</v>
      </c>
      <c r="CL127">
        <f t="shared" si="326"/>
        <v>5.2594565656300966E-3</v>
      </c>
      <c r="CM127">
        <f t="shared" si="402"/>
        <v>4.1256811157347603E-3</v>
      </c>
      <c r="CN127">
        <f t="shared" si="403"/>
        <v>1.3084569825575987E-2</v>
      </c>
      <c r="CO127">
        <f t="shared" si="404"/>
        <v>14.926906986263994</v>
      </c>
      <c r="CP127">
        <f t="shared" si="554"/>
        <v>3.3402326546823836E-6</v>
      </c>
      <c r="CQ127">
        <f t="shared" si="520"/>
        <v>5.3875039644430175E-2</v>
      </c>
      <c r="CR127">
        <f t="shared" si="405"/>
        <v>5638.1964302923125</v>
      </c>
      <c r="CS127">
        <f t="shared" si="521"/>
        <v>2.9535284740895419E-6</v>
      </c>
      <c r="CT127">
        <f t="shared" si="406"/>
        <v>4.4120228993746187E-4</v>
      </c>
      <c r="CU127">
        <f t="shared" si="407"/>
        <v>0.27762949821685101</v>
      </c>
      <c r="CW127">
        <f t="shared" si="408"/>
        <v>15.048711332292804</v>
      </c>
      <c r="CX127">
        <f t="shared" si="409"/>
        <v>0.74399999999999999</v>
      </c>
      <c r="CY127">
        <f t="shared" si="327"/>
        <v>104653.22100000001</v>
      </c>
      <c r="CZ127">
        <f t="shared" si="328"/>
        <v>5.2594565656300966E-3</v>
      </c>
      <c r="DA127">
        <f t="shared" si="410"/>
        <v>4.1256811157347603E-3</v>
      </c>
      <c r="DB127">
        <f t="shared" si="411"/>
        <v>1.3084569825575987E-2</v>
      </c>
      <c r="DC127">
        <f t="shared" si="412"/>
        <v>14.926906986263994</v>
      </c>
      <c r="DD127">
        <f t="shared" si="555"/>
        <v>3.2396621599415014E-6</v>
      </c>
      <c r="DE127">
        <f t="shared" si="522"/>
        <v>5.1201718645701562E-2</v>
      </c>
      <c r="DF127">
        <f t="shared" si="413"/>
        <v>5358.4247770084266</v>
      </c>
      <c r="DG127">
        <f t="shared" si="523"/>
        <v>2.8793179862186174E-6</v>
      </c>
      <c r="DH127">
        <f t="shared" si="414"/>
        <v>4.1112737485388839E-4</v>
      </c>
      <c r="DI127">
        <f t="shared" si="415"/>
        <v>0.2692703990531472</v>
      </c>
      <c r="DK127">
        <f t="shared" si="416"/>
        <v>16.946405069025818</v>
      </c>
      <c r="DL127">
        <f t="shared" si="417"/>
        <v>0.74399999999999999</v>
      </c>
      <c r="DM127">
        <f t="shared" si="329"/>
        <v>104653.22100000001</v>
      </c>
      <c r="DN127">
        <f t="shared" si="330"/>
        <v>5.2594565656300966E-3</v>
      </c>
      <c r="DO127">
        <f t="shared" si="418"/>
        <v>4.1256811157347603E-3</v>
      </c>
      <c r="DP127">
        <f t="shared" si="419"/>
        <v>1.3084569825575987E-2</v>
      </c>
      <c r="DQ127">
        <f t="shared" si="420"/>
        <v>14.926906986263994</v>
      </c>
      <c r="DR127">
        <f t="shared" si="556"/>
        <v>3.1440696211630754E-6</v>
      </c>
      <c r="DS127">
        <f t="shared" si="524"/>
        <v>4.869797430992194E-2</v>
      </c>
      <c r="DT127">
        <f t="shared" si="421"/>
        <v>5096.3998677085838</v>
      </c>
      <c r="DU127">
        <f t="shared" si="525"/>
        <v>2.8080368894476069E-6</v>
      </c>
      <c r="DV127">
        <f t="shared" si="422"/>
        <v>3.8338972829183291E-4</v>
      </c>
      <c r="DW127">
        <f t="shared" si="423"/>
        <v>0.26132505173216763</v>
      </c>
      <c r="DY127">
        <f t="shared" si="424"/>
        <v>18.844098805758833</v>
      </c>
      <c r="DZ127">
        <f t="shared" si="425"/>
        <v>0.74399999999999999</v>
      </c>
      <c r="EA127">
        <f t="shared" si="331"/>
        <v>104653.22100000001</v>
      </c>
      <c r="EB127">
        <f t="shared" si="332"/>
        <v>5.2594565656300966E-3</v>
      </c>
      <c r="EC127">
        <f t="shared" si="426"/>
        <v>4.1256811157347603E-3</v>
      </c>
      <c r="ED127">
        <f t="shared" si="427"/>
        <v>1.3084569825575987E-2</v>
      </c>
      <c r="EE127">
        <f t="shared" si="428"/>
        <v>14.926906986263994</v>
      </c>
      <c r="EF127">
        <f t="shared" si="557"/>
        <v>3.0531396009724354E-6</v>
      </c>
      <c r="EG127">
        <f t="shared" si="526"/>
        <v>4.6351240357872532E-2</v>
      </c>
      <c r="EH127">
        <f t="shared" si="429"/>
        <v>4850.8066007965535</v>
      </c>
      <c r="EI127">
        <f t="shared" si="527"/>
        <v>2.7395424914730868E-6</v>
      </c>
      <c r="EJ127">
        <f t="shared" si="430"/>
        <v>3.5779226026666538E-4</v>
      </c>
      <c r="EK127">
        <f t="shared" si="431"/>
        <v>0.25376723810412977</v>
      </c>
      <c r="EM127">
        <f t="shared" si="432"/>
        <v>20.741792542491847</v>
      </c>
      <c r="EN127">
        <f t="shared" si="433"/>
        <v>0.74399999999999999</v>
      </c>
      <c r="EO127">
        <f t="shared" si="333"/>
        <v>104653.22100000001</v>
      </c>
      <c r="EP127">
        <f t="shared" si="334"/>
        <v>5.2594565656300966E-3</v>
      </c>
      <c r="EQ127">
        <f t="shared" si="434"/>
        <v>4.1256811157347603E-3</v>
      </c>
      <c r="ER127">
        <f t="shared" si="435"/>
        <v>1.3084569825575987E-2</v>
      </c>
      <c r="ES127">
        <f t="shared" si="436"/>
        <v>14.926906986263994</v>
      </c>
      <c r="ET127">
        <f t="shared" si="558"/>
        <v>2.966580008398158E-6</v>
      </c>
      <c r="EU127">
        <f t="shared" si="528"/>
        <v>4.4149989604641088E-2</v>
      </c>
      <c r="EV127">
        <f t="shared" si="437"/>
        <v>4620.4386192422062</v>
      </c>
      <c r="EW127">
        <f t="shared" si="529"/>
        <v>2.6736999231511574E-6</v>
      </c>
      <c r="EX127">
        <f t="shared" si="438"/>
        <v>3.3415559172376757E-4</v>
      </c>
      <c r="EY127">
        <f t="shared" si="439"/>
        <v>0.24657268049792111</v>
      </c>
      <c r="FA127">
        <f t="shared" si="440"/>
        <v>22.639486279224862</v>
      </c>
      <c r="FB127">
        <f t="shared" si="441"/>
        <v>0.74399999999999999</v>
      </c>
      <c r="FC127">
        <f t="shared" si="335"/>
        <v>104653.22100000001</v>
      </c>
      <c r="FD127">
        <f t="shared" si="336"/>
        <v>5.2594565656300966E-3</v>
      </c>
      <c r="FE127">
        <f t="shared" si="442"/>
        <v>4.1256811157347603E-3</v>
      </c>
      <c r="FF127">
        <f t="shared" si="443"/>
        <v>1.3084569825575987E-2</v>
      </c>
      <c r="FG127">
        <f t="shared" si="444"/>
        <v>14.926906986263994</v>
      </c>
      <c r="FH127">
        <f t="shared" si="559"/>
        <v>2.8841201716431708E-6</v>
      </c>
      <c r="FI127">
        <f t="shared" si="530"/>
        <v>4.2083640766539747E-2</v>
      </c>
      <c r="FJ127">
        <f t="shared" si="445"/>
        <v>4404.1885576252935</v>
      </c>
      <c r="FK127">
        <f t="shared" si="531"/>
        <v>2.6103816815241888E-6</v>
      </c>
      <c r="FL127">
        <f t="shared" si="446"/>
        <v>3.1231637708018558E-4</v>
      </c>
      <c r="FM127">
        <f t="shared" si="447"/>
        <v>0.23971888153597204</v>
      </c>
      <c r="FO127">
        <f t="shared" si="448"/>
        <v>24.537180015957876</v>
      </c>
      <c r="FP127">
        <f t="shared" si="449"/>
        <v>0.74399999999999999</v>
      </c>
      <c r="FQ127">
        <f t="shared" si="337"/>
        <v>104653.22100000001</v>
      </c>
      <c r="FR127">
        <f t="shared" si="338"/>
        <v>5.2594565656300966E-3</v>
      </c>
      <c r="FS127">
        <f t="shared" si="450"/>
        <v>4.1256811157347603E-3</v>
      </c>
      <c r="FT127">
        <f t="shared" si="451"/>
        <v>1.3084569825575987E-2</v>
      </c>
      <c r="FU127">
        <f t="shared" si="452"/>
        <v>14.926906986263994</v>
      </c>
      <c r="FV127">
        <f t="shared" si="560"/>
        <v>2.805509083367479E-6</v>
      </c>
      <c r="FW127">
        <f t="shared" si="532"/>
        <v>4.0142474153718619E-2</v>
      </c>
      <c r="FX127">
        <f t="shared" si="453"/>
        <v>4201.0392190959028</v>
      </c>
      <c r="FY127">
        <f t="shared" si="533"/>
        <v>2.5494671999977591E-6</v>
      </c>
      <c r="FZ127">
        <f t="shared" si="454"/>
        <v>2.9212579261345611E-4</v>
      </c>
      <c r="GA127">
        <f t="shared" si="455"/>
        <v>0.2331849782877457</v>
      </c>
      <c r="GC127">
        <f t="shared" si="456"/>
        <v>26.434873752690891</v>
      </c>
      <c r="GD127">
        <f t="shared" si="457"/>
        <v>0.74399999999999999</v>
      </c>
      <c r="GE127">
        <f t="shared" si="339"/>
        <v>104653.22100000001</v>
      </c>
      <c r="GF127">
        <f t="shared" si="340"/>
        <v>5.2594565656300966E-3</v>
      </c>
      <c r="GG127">
        <f t="shared" si="458"/>
        <v>4.1256811157347603E-3</v>
      </c>
      <c r="GH127">
        <f t="shared" si="459"/>
        <v>1.3084569825575987E-2</v>
      </c>
      <c r="GI127">
        <f t="shared" si="460"/>
        <v>14.926906986263994</v>
      </c>
      <c r="GJ127">
        <f t="shared" si="561"/>
        <v>2.7305138020651655E-6</v>
      </c>
      <c r="GK127">
        <f t="shared" si="534"/>
        <v>3.8317555361634961E-2</v>
      </c>
      <c r="GL127">
        <f t="shared" si="461"/>
        <v>4010.0555894409185</v>
      </c>
      <c r="GM127">
        <f t="shared" si="535"/>
        <v>2.4908424441118962E-6</v>
      </c>
      <c r="GN127">
        <f t="shared" si="462"/>
        <v>2.7344817374172693E-4</v>
      </c>
      <c r="GO127">
        <f t="shared" si="463"/>
        <v>0.22695160939728656</v>
      </c>
      <c r="GQ127">
        <f t="shared" si="464"/>
        <v>28.332567489423905</v>
      </c>
      <c r="GR127">
        <f t="shared" si="465"/>
        <v>0.74399999999999999</v>
      </c>
      <c r="GS127">
        <f t="shared" si="341"/>
        <v>104653.22100000001</v>
      </c>
      <c r="GT127">
        <f t="shared" si="342"/>
        <v>5.2594565656300966E-3</v>
      </c>
      <c r="GU127">
        <f t="shared" si="466"/>
        <v>4.1256811157347603E-3</v>
      </c>
      <c r="GV127">
        <f t="shared" si="467"/>
        <v>1.3084569825575987E-2</v>
      </c>
      <c r="GW127">
        <f t="shared" si="468"/>
        <v>14.926906986263994</v>
      </c>
      <c r="GX127">
        <f t="shared" si="562"/>
        <v>2.6589179947542226E-6</v>
      </c>
      <c r="GY127">
        <f t="shared" si="536"/>
        <v>3.6600666166005338E-2</v>
      </c>
      <c r="GZ127">
        <f t="shared" si="469"/>
        <v>3830.3776050181796</v>
      </c>
      <c r="HA127">
        <f t="shared" si="537"/>
        <v>2.4343995314299675E-6</v>
      </c>
      <c r="HB127">
        <f t="shared" si="470"/>
        <v>2.5615978601534434E-4</v>
      </c>
      <c r="HC127">
        <f t="shared" si="471"/>
        <v>0.22100079395624134</v>
      </c>
      <c r="HE127">
        <f t="shared" si="472"/>
        <v>30.230261226156919</v>
      </c>
      <c r="HF127">
        <f t="shared" si="473"/>
        <v>0.74399999999999999</v>
      </c>
      <c r="HG127">
        <f t="shared" si="343"/>
        <v>104653.22100000001</v>
      </c>
      <c r="HH127">
        <f t="shared" si="344"/>
        <v>5.2594565656300966E-3</v>
      </c>
      <c r="HI127">
        <f t="shared" si="568"/>
        <v>4.1256811157347603E-3</v>
      </c>
      <c r="HJ127">
        <f t="shared" si="474"/>
        <v>1.3084569825575987E-2</v>
      </c>
      <c r="HK127">
        <f t="shared" si="475"/>
        <v>14.926906986263994</v>
      </c>
      <c r="HL127">
        <f t="shared" si="563"/>
        <v>2.5905206076651363E-6</v>
      </c>
      <c r="HM127">
        <f t="shared" si="538"/>
        <v>3.4984241907693871E-2</v>
      </c>
      <c r="HN127">
        <f t="shared" si="476"/>
        <v>3661.2135998833483</v>
      </c>
      <c r="HO127">
        <f t="shared" si="539"/>
        <v>2.3800363741447847E-6</v>
      </c>
      <c r="HP127">
        <f t="shared" si="477"/>
        <v>2.4014771622727488E-4</v>
      </c>
      <c r="HQ127">
        <f t="shared" si="478"/>
        <v>0.21531582101572849</v>
      </c>
      <c r="HS127">
        <f t="shared" si="479"/>
        <v>32.127954962889937</v>
      </c>
      <c r="HT127">
        <f t="shared" si="480"/>
        <v>0.74399999999999999</v>
      </c>
      <c r="HU127">
        <f t="shared" si="345"/>
        <v>104653.22100000001</v>
      </c>
      <c r="HV127">
        <f t="shared" si="346"/>
        <v>5.2594565656300966E-3</v>
      </c>
      <c r="HW127">
        <f t="shared" si="569"/>
        <v>4.1256811157347603E-3</v>
      </c>
      <c r="HX127">
        <f t="shared" si="481"/>
        <v>1.3084569825575987E-2</v>
      </c>
      <c r="HY127">
        <f t="shared" si="482"/>
        <v>14.926906986263994</v>
      </c>
      <c r="HZ127">
        <f t="shared" si="564"/>
        <v>2.5251346529308105E-6</v>
      </c>
      <c r="IA127">
        <f t="shared" si="540"/>
        <v>3.3461314727206044E-2</v>
      </c>
      <c r="IB127">
        <f t="shared" si="483"/>
        <v>3501.8343650968491</v>
      </c>
      <c r="IC127">
        <f t="shared" si="541"/>
        <v>2.3276563430748302E-6</v>
      </c>
      <c r="ID127">
        <f t="shared" si="484"/>
        <v>2.2530887146827761E-4</v>
      </c>
      <c r="IE127">
        <f t="shared" si="485"/>
        <v>0.20988114873986968</v>
      </c>
      <c r="IG127">
        <f t="shared" si="486"/>
        <v>34.025648699622948</v>
      </c>
      <c r="IH127">
        <f t="shared" si="487"/>
        <v>0.74399999999999999</v>
      </c>
      <c r="II127">
        <f t="shared" si="347"/>
        <v>104653.22100000001</v>
      </c>
      <c r="IJ127">
        <f t="shared" si="348"/>
        <v>5.2594565656300966E-3</v>
      </c>
      <c r="IK127">
        <f t="shared" si="570"/>
        <v>4.1256811157347603E-3</v>
      </c>
      <c r="IL127">
        <f t="shared" si="488"/>
        <v>1.3084569825575987E-2</v>
      </c>
      <c r="IM127">
        <f t="shared" si="489"/>
        <v>14.926906986263994</v>
      </c>
      <c r="IN127">
        <f t="shared" si="565"/>
        <v>2.4625861004620378E-6</v>
      </c>
      <c r="IO127">
        <f t="shared" si="542"/>
        <v>3.2025462073976482E-2</v>
      </c>
      <c r="IP127">
        <f t="shared" si="490"/>
        <v>3351.5677600549793</v>
      </c>
      <c r="IQ127">
        <f t="shared" si="543"/>
        <v>2.2771679517938188E-6</v>
      </c>
      <c r="IR127">
        <f t="shared" si="491"/>
        <v>2.1154907522067081E-4</v>
      </c>
      <c r="IS127">
        <f t="shared" si="492"/>
        <v>0.20468231230200876</v>
      </c>
      <c r="IU127">
        <f t="shared" si="493"/>
        <v>35.923342436355966</v>
      </c>
      <c r="IV127">
        <f t="shared" si="494"/>
        <v>0.74399999999999999</v>
      </c>
      <c r="IW127">
        <f t="shared" si="349"/>
        <v>104653.22100000001</v>
      </c>
      <c r="IX127">
        <f t="shared" si="350"/>
        <v>5.2594565656300966E-3</v>
      </c>
      <c r="IY127">
        <f t="shared" si="571"/>
        <v>4.1256811157347603E-3</v>
      </c>
      <c r="IZ127">
        <f t="shared" si="495"/>
        <v>1.3084569825575987E-2</v>
      </c>
      <c r="JA127">
        <f t="shared" si="496"/>
        <v>14.926906986263994</v>
      </c>
      <c r="JB127">
        <f t="shared" si="566"/>
        <v>2.4027128652536892E-6</v>
      </c>
      <c r="JC127">
        <f t="shared" si="544"/>
        <v>3.0670759974287549E-2</v>
      </c>
      <c r="JD127">
        <f t="shared" si="497"/>
        <v>3209.7938218270692</v>
      </c>
      <c r="JE127">
        <f t="shared" si="545"/>
        <v>2.2284845597044188E-6</v>
      </c>
      <c r="JF127">
        <f t="shared" si="498"/>
        <v>1.9878225071788853E-4</v>
      </c>
      <c r="JG127">
        <f t="shared" si="499"/>
        <v>0.19970583971282801</v>
      </c>
      <c r="JI127">
        <f t="shared" si="500"/>
        <v>37.821036173088977</v>
      </c>
      <c r="JJ127">
        <f t="shared" si="501"/>
        <v>0.74399999999999999</v>
      </c>
      <c r="JK127">
        <f t="shared" si="351"/>
        <v>104653.22100000001</v>
      </c>
      <c r="JL127">
        <f t="shared" si="352"/>
        <v>5.2594565656300966E-3</v>
      </c>
      <c r="JM127">
        <f t="shared" si="572"/>
        <v>4.1256811157347603E-3</v>
      </c>
      <c r="JN127">
        <f t="shared" si="502"/>
        <v>1.3084569825575987E-2</v>
      </c>
      <c r="JO127">
        <f t="shared" si="503"/>
        <v>14.926906986263994</v>
      </c>
      <c r="JP127">
        <f t="shared" si="567"/>
        <v>2.3453638813196124E-6</v>
      </c>
      <c r="JQ127">
        <f t="shared" si="546"/>
        <v>2.9391740594155655E-2</v>
      </c>
      <c r="JR127">
        <f t="shared" si="504"/>
        <v>3075.9403239748431</v>
      </c>
      <c r="JS127">
        <f t="shared" si="547"/>
        <v>2.181524092931455E-6</v>
      </c>
      <c r="JT127">
        <f t="shared" si="505"/>
        <v>1.8692968281052593E-4</v>
      </c>
      <c r="JU127">
        <f t="shared" si="506"/>
        <v>0.19493917484876691</v>
      </c>
    </row>
    <row r="128" spans="2:281">
      <c r="B128">
        <v>0.94</v>
      </c>
      <c r="C128">
        <f t="shared" si="353"/>
        <v>1.7838321125290335</v>
      </c>
      <c r="D128">
        <f t="shared" si="354"/>
        <v>0.752</v>
      </c>
      <c r="E128">
        <f t="shared" si="313"/>
        <v>104468.79300000001</v>
      </c>
      <c r="F128">
        <f t="shared" si="314"/>
        <v>5.2625497407405783E-3</v>
      </c>
      <c r="G128">
        <f t="shared" si="355"/>
        <v>4.1244684592730806E-3</v>
      </c>
      <c r="H128">
        <f t="shared" si="356"/>
        <v>1.3107669173950686E-2</v>
      </c>
      <c r="I128">
        <f t="shared" si="357"/>
        <v>14.94446968070587</v>
      </c>
      <c r="J128">
        <f t="shared" si="548"/>
        <v>4.0686785473404512E-6</v>
      </c>
      <c r="K128">
        <f t="shared" si="507"/>
        <v>7.4707352144180367E-2</v>
      </c>
      <c r="L128">
        <f t="shared" si="358"/>
        <v>7804.5869067284857</v>
      </c>
      <c r="M128">
        <f t="shared" si="508"/>
        <v>3.4749296880954264E-6</v>
      </c>
      <c r="N128">
        <f t="shared" si="509"/>
        <v>6.7802341190506489E-4</v>
      </c>
      <c r="O128">
        <f t="shared" si="359"/>
        <v>0.33817560040924932</v>
      </c>
      <c r="Q128">
        <f t="shared" si="360"/>
        <v>3.681525849262048</v>
      </c>
      <c r="R128">
        <f t="shared" si="361"/>
        <v>0.752</v>
      </c>
      <c r="S128">
        <f t="shared" si="315"/>
        <v>104468.79300000001</v>
      </c>
      <c r="T128">
        <f t="shared" si="316"/>
        <v>5.2625497407405783E-3</v>
      </c>
      <c r="U128">
        <f t="shared" si="362"/>
        <v>4.1244684592730806E-3</v>
      </c>
      <c r="V128">
        <f t="shared" si="363"/>
        <v>1.3107669173950686E-2</v>
      </c>
      <c r="W128">
        <f t="shared" si="364"/>
        <v>14.94446968070587</v>
      </c>
      <c r="X128">
        <f t="shared" si="549"/>
        <v>3.9300639851685553E-6</v>
      </c>
      <c r="Y128">
        <f t="shared" si="510"/>
        <v>7.0653389522130197E-2</v>
      </c>
      <c r="Z128">
        <f t="shared" si="365"/>
        <v>7381.0743247357887</v>
      </c>
      <c r="AA128">
        <f t="shared" si="511"/>
        <v>3.3793319177877898E-6</v>
      </c>
      <c r="AB128">
        <f t="shared" si="366"/>
        <v>6.2890097312496955E-4</v>
      </c>
      <c r="AC128">
        <f t="shared" si="367"/>
        <v>0.32665439954697245</v>
      </c>
      <c r="AE128">
        <f t="shared" si="368"/>
        <v>5.5792195859950624</v>
      </c>
      <c r="AF128">
        <f t="shared" si="369"/>
        <v>0.752</v>
      </c>
      <c r="AG128">
        <f t="shared" si="317"/>
        <v>104468.79300000001</v>
      </c>
      <c r="AH128">
        <f t="shared" si="318"/>
        <v>5.2625497407405783E-3</v>
      </c>
      <c r="AI128">
        <f t="shared" si="370"/>
        <v>4.1244684592730806E-3</v>
      </c>
      <c r="AJ128">
        <f t="shared" si="371"/>
        <v>1.3107669173950686E-2</v>
      </c>
      <c r="AK128">
        <f t="shared" si="372"/>
        <v>14.94446968070587</v>
      </c>
      <c r="AL128">
        <f t="shared" si="550"/>
        <v>3.7989408833817572E-6</v>
      </c>
      <c r="AM128">
        <f t="shared" si="512"/>
        <v>6.6874993581310008E-2</v>
      </c>
      <c r="AN128">
        <f t="shared" si="373"/>
        <v>6986.3498613222046</v>
      </c>
      <c r="AO128">
        <f t="shared" si="513"/>
        <v>3.2877306179867136E-6</v>
      </c>
      <c r="AP128">
        <f t="shared" si="374"/>
        <v>5.837695903698623E-4</v>
      </c>
      <c r="AQ128">
        <f t="shared" si="375"/>
        <v>0.31575586500846514</v>
      </c>
      <c r="AS128">
        <f t="shared" si="376"/>
        <v>7.4769133227280768</v>
      </c>
      <c r="AT128">
        <f t="shared" si="377"/>
        <v>0.752</v>
      </c>
      <c r="AU128">
        <f t="shared" si="319"/>
        <v>104468.79300000001</v>
      </c>
      <c r="AV128">
        <f t="shared" si="320"/>
        <v>5.2625497407405783E-3</v>
      </c>
      <c r="AW128">
        <f t="shared" si="378"/>
        <v>4.1244684592730806E-3</v>
      </c>
      <c r="AX128">
        <f t="shared" si="379"/>
        <v>1.3107669173950686E-2</v>
      </c>
      <c r="AY128">
        <f t="shared" si="380"/>
        <v>14.94446968070587</v>
      </c>
      <c r="AZ128">
        <f t="shared" si="551"/>
        <v>3.6748013771290219E-6</v>
      </c>
      <c r="BA128">
        <f t="shared" si="514"/>
        <v>6.3350580027467976E-2</v>
      </c>
      <c r="BB128">
        <f t="shared" si="381"/>
        <v>6618.1586313194866</v>
      </c>
      <c r="BC128">
        <f t="shared" si="515"/>
        <v>3.1999238789853213E-6</v>
      </c>
      <c r="BD128">
        <f t="shared" si="382"/>
        <v>5.4227988233567447E-4</v>
      </c>
      <c r="BE128">
        <f t="shared" si="383"/>
        <v>0.30543778468507171</v>
      </c>
      <c r="BG128">
        <f t="shared" si="384"/>
        <v>9.3746070594610913</v>
      </c>
      <c r="BH128">
        <f t="shared" si="385"/>
        <v>0.752</v>
      </c>
      <c r="BI128">
        <f t="shared" si="321"/>
        <v>104468.79300000001</v>
      </c>
      <c r="BJ128">
        <f t="shared" si="322"/>
        <v>5.2625497407405783E-3</v>
      </c>
      <c r="BK128">
        <f t="shared" si="386"/>
        <v>4.1244684592730806E-3</v>
      </c>
      <c r="BL128">
        <f t="shared" si="387"/>
        <v>1.3107669173950686E-2</v>
      </c>
      <c r="BM128">
        <f t="shared" si="388"/>
        <v>14.94446968070587</v>
      </c>
      <c r="BN128">
        <f t="shared" si="552"/>
        <v>3.5571772787815958E-6</v>
      </c>
      <c r="BO128">
        <f t="shared" si="516"/>
        <v>6.0060431092102684E-2</v>
      </c>
      <c r="BP128">
        <f t="shared" si="389"/>
        <v>6274.4407432516391</v>
      </c>
      <c r="BQ128">
        <f t="shared" si="517"/>
        <v>3.1157210759080604E-6</v>
      </c>
      <c r="BR128">
        <f t="shared" si="390"/>
        <v>5.0411489002195843E-4</v>
      </c>
      <c r="BS128">
        <f t="shared" si="391"/>
        <v>0.29566124431246388</v>
      </c>
      <c r="BU128">
        <f t="shared" si="392"/>
        <v>11.272300796194106</v>
      </c>
      <c r="BV128">
        <f t="shared" si="393"/>
        <v>0.752</v>
      </c>
      <c r="BW128">
        <f t="shared" si="323"/>
        <v>104468.79300000001</v>
      </c>
      <c r="BX128">
        <f t="shared" si="324"/>
        <v>5.2625497407405783E-3</v>
      </c>
      <c r="BY128">
        <f t="shared" si="394"/>
        <v>4.1244684592730806E-3</v>
      </c>
      <c r="BZ128">
        <f t="shared" si="395"/>
        <v>1.3107669173950686E-2</v>
      </c>
      <c r="CA128">
        <f t="shared" si="396"/>
        <v>14.94446968070587</v>
      </c>
      <c r="CB128">
        <f t="shared" si="553"/>
        <v>3.4456366557160844E-6</v>
      </c>
      <c r="CC128">
        <f t="shared" si="518"/>
        <v>5.6986522045377304E-2</v>
      </c>
      <c r="CD128">
        <f t="shared" si="397"/>
        <v>5953.3131753484586</v>
      </c>
      <c r="CE128">
        <f t="shared" si="519"/>
        <v>3.0349422084967731E-6</v>
      </c>
      <c r="CF128">
        <f t="shared" si="398"/>
        <v>4.6898692270023974E-4</v>
      </c>
      <c r="CG128">
        <f t="shared" si="399"/>
        <v>0.28639034302687139</v>
      </c>
      <c r="CI128">
        <f t="shared" si="400"/>
        <v>13.16999453292712</v>
      </c>
      <c r="CJ128">
        <f t="shared" si="401"/>
        <v>0.752</v>
      </c>
      <c r="CK128">
        <f t="shared" si="325"/>
        <v>104468.79300000001</v>
      </c>
      <c r="CL128">
        <f t="shared" si="326"/>
        <v>5.2625497407405783E-3</v>
      </c>
      <c r="CM128">
        <f t="shared" si="402"/>
        <v>4.1244684592730806E-3</v>
      </c>
      <c r="CN128">
        <f t="shared" si="403"/>
        <v>1.3107669173950686E-2</v>
      </c>
      <c r="CO128">
        <f t="shared" si="404"/>
        <v>14.94446968070587</v>
      </c>
      <c r="CP128">
        <f t="shared" si="554"/>
        <v>3.3397807254070239E-6</v>
      </c>
      <c r="CQ128">
        <f t="shared" si="520"/>
        <v>5.4112364711443588E-2</v>
      </c>
      <c r="CR128">
        <f t="shared" si="405"/>
        <v>5653.0534277803054</v>
      </c>
      <c r="CS128">
        <f t="shared" si="521"/>
        <v>2.9574172793735216E-6</v>
      </c>
      <c r="CT128">
        <f t="shared" si="406"/>
        <v>4.36634722291613E-4</v>
      </c>
      <c r="CU128">
        <f t="shared" si="407"/>
        <v>0.2775919352950672</v>
      </c>
      <c r="CW128">
        <f t="shared" si="408"/>
        <v>15.067688269660135</v>
      </c>
      <c r="CX128">
        <f t="shared" si="409"/>
        <v>0.752</v>
      </c>
      <c r="CY128">
        <f t="shared" si="327"/>
        <v>104468.79300000001</v>
      </c>
      <c r="CZ128">
        <f t="shared" si="328"/>
        <v>5.2625497407405783E-3</v>
      </c>
      <c r="DA128">
        <f t="shared" si="410"/>
        <v>4.1244684592730806E-3</v>
      </c>
      <c r="DB128">
        <f t="shared" si="411"/>
        <v>1.3107669173950686E-2</v>
      </c>
      <c r="DC128">
        <f t="shared" si="412"/>
        <v>14.94446968070587</v>
      </c>
      <c r="DD128">
        <f t="shared" si="555"/>
        <v>3.2392410367949633E-6</v>
      </c>
      <c r="DE128">
        <f t="shared" si="522"/>
        <v>5.1422866255343563E-2</v>
      </c>
      <c r="DF128">
        <f t="shared" si="413"/>
        <v>5372.0847702961719</v>
      </c>
      <c r="DG128">
        <f t="shared" si="523"/>
        <v>2.8829857086756303E-6</v>
      </c>
      <c r="DH128">
        <f t="shared" si="414"/>
        <v>4.0682091311799442E-4</v>
      </c>
      <c r="DI128">
        <f t="shared" si="415"/>
        <v>0.26923539663866064</v>
      </c>
      <c r="DK128">
        <f t="shared" si="416"/>
        <v>16.965382006393149</v>
      </c>
      <c r="DL128">
        <f t="shared" si="417"/>
        <v>0.752</v>
      </c>
      <c r="DM128">
        <f t="shared" si="329"/>
        <v>104468.79300000001</v>
      </c>
      <c r="DN128">
        <f t="shared" si="330"/>
        <v>5.2625497407405783E-3</v>
      </c>
      <c r="DO128">
        <f t="shared" si="418"/>
        <v>4.1244684592730806E-3</v>
      </c>
      <c r="DP128">
        <f t="shared" si="419"/>
        <v>1.3107669173950686E-2</v>
      </c>
      <c r="DQ128">
        <f t="shared" si="420"/>
        <v>14.94446968070587</v>
      </c>
      <c r="DR128">
        <f t="shared" si="556"/>
        <v>3.143676910050647E-6</v>
      </c>
      <c r="DS128">
        <f t="shared" si="524"/>
        <v>4.8904201691407224E-2</v>
      </c>
      <c r="DT128">
        <f t="shared" si="421"/>
        <v>5108.962923329871</v>
      </c>
      <c r="DU128">
        <f t="shared" si="525"/>
        <v>2.8114957830569047E-6</v>
      </c>
      <c r="DV128">
        <f t="shared" si="422"/>
        <v>3.7932970748129325E-4</v>
      </c>
      <c r="DW128">
        <f t="shared" si="423"/>
        <v>0.26129241083545196</v>
      </c>
      <c r="DY128">
        <f t="shared" si="424"/>
        <v>18.863075743126164</v>
      </c>
      <c r="DZ128">
        <f t="shared" si="425"/>
        <v>0.752</v>
      </c>
      <c r="EA128">
        <f t="shared" si="331"/>
        <v>104468.79300000001</v>
      </c>
      <c r="EB128">
        <f t="shared" si="332"/>
        <v>5.2625497407405783E-3</v>
      </c>
      <c r="EC128">
        <f t="shared" si="426"/>
        <v>4.1244684592730806E-3</v>
      </c>
      <c r="ED128">
        <f t="shared" si="427"/>
        <v>1.3107669173950686E-2</v>
      </c>
      <c r="EE128">
        <f t="shared" si="428"/>
        <v>14.94446968070587</v>
      </c>
      <c r="EF128">
        <f t="shared" si="557"/>
        <v>3.0527731096812533E-6</v>
      </c>
      <c r="EG128">
        <f t="shared" si="526"/>
        <v>4.654369872466093E-2</v>
      </c>
      <c r="EH128">
        <f t="shared" si="429"/>
        <v>4862.3640275209673</v>
      </c>
      <c r="EI128">
        <f t="shared" si="527"/>
        <v>2.7428041371441823E-6</v>
      </c>
      <c r="EJ128">
        <f t="shared" si="430"/>
        <v>3.5396484064243415E-4</v>
      </c>
      <c r="EK128">
        <f t="shared" si="431"/>
        <v>0.25373677651543503</v>
      </c>
      <c r="EM128">
        <f t="shared" si="432"/>
        <v>20.760769479859178</v>
      </c>
      <c r="EN128">
        <f t="shared" si="433"/>
        <v>0.752</v>
      </c>
      <c r="EO128">
        <f t="shared" si="333"/>
        <v>104468.79300000001</v>
      </c>
      <c r="EP128">
        <f t="shared" si="334"/>
        <v>5.2625497407405783E-3</v>
      </c>
      <c r="EQ128">
        <f t="shared" si="434"/>
        <v>4.1244684592730806E-3</v>
      </c>
      <c r="ER128">
        <f t="shared" si="435"/>
        <v>1.3107669173950686E-2</v>
      </c>
      <c r="ES128">
        <f t="shared" si="436"/>
        <v>14.94446968070587</v>
      </c>
      <c r="ET128">
        <f t="shared" si="558"/>
        <v>2.9662377284556708E-6</v>
      </c>
      <c r="EU128">
        <f t="shared" si="528"/>
        <v>4.4329733681241393E-2</v>
      </c>
      <c r="EV128">
        <f t="shared" si="437"/>
        <v>4631.0737716907352</v>
      </c>
      <c r="EW128">
        <f t="shared" si="529"/>
        <v>2.6767752656302796E-6</v>
      </c>
      <c r="EX128">
        <f t="shared" si="438"/>
        <v>3.3054771155749261E-4</v>
      </c>
      <c r="EY128">
        <f t="shared" si="439"/>
        <v>0.24654423127940658</v>
      </c>
      <c r="FA128">
        <f t="shared" si="440"/>
        <v>22.658463216592192</v>
      </c>
      <c r="FB128">
        <f t="shared" si="441"/>
        <v>0.752</v>
      </c>
      <c r="FC128">
        <f t="shared" si="335"/>
        <v>104468.79300000001</v>
      </c>
      <c r="FD128">
        <f t="shared" si="336"/>
        <v>5.2625497407405783E-3</v>
      </c>
      <c r="FE128">
        <f t="shared" si="442"/>
        <v>4.1244684592730806E-3</v>
      </c>
      <c r="FF128">
        <f t="shared" si="443"/>
        <v>1.3107669173950686E-2</v>
      </c>
      <c r="FG128">
        <f t="shared" si="444"/>
        <v>14.94446968070587</v>
      </c>
      <c r="FH128">
        <f t="shared" si="559"/>
        <v>2.8838002618938428E-6</v>
      </c>
      <c r="FI128">
        <f t="shared" si="530"/>
        <v>4.2251637412999692E-2</v>
      </c>
      <c r="FJ128">
        <f t="shared" si="445"/>
        <v>4413.9775628097204</v>
      </c>
      <c r="FK128">
        <f t="shared" si="531"/>
        <v>2.613281064273127E-6</v>
      </c>
      <c r="FL128">
        <f t="shared" si="446"/>
        <v>3.0891570821684085E-4</v>
      </c>
      <c r="FM128">
        <f t="shared" si="447"/>
        <v>0.23969229165665445</v>
      </c>
      <c r="FO128">
        <f t="shared" si="448"/>
        <v>24.556156953325207</v>
      </c>
      <c r="FP128">
        <f t="shared" si="449"/>
        <v>0.752</v>
      </c>
      <c r="FQ128">
        <f t="shared" si="337"/>
        <v>104468.79300000001</v>
      </c>
      <c r="FR128">
        <f t="shared" si="338"/>
        <v>5.2625497407405783E-3</v>
      </c>
      <c r="FS128">
        <f t="shared" si="450"/>
        <v>4.1244684592730806E-3</v>
      </c>
      <c r="FT128">
        <f t="shared" si="451"/>
        <v>1.3107669173950686E-2</v>
      </c>
      <c r="FU128">
        <f t="shared" si="452"/>
        <v>14.94446968070587</v>
      </c>
      <c r="FV128">
        <f t="shared" si="560"/>
        <v>2.8052098550978608E-6</v>
      </c>
      <c r="FW128">
        <f t="shared" si="532"/>
        <v>4.0299610177011155E-2</v>
      </c>
      <c r="FX128">
        <f t="shared" si="453"/>
        <v>4210.0516335628718</v>
      </c>
      <c r="FY128">
        <f t="shared" si="533"/>
        <v>2.5522003981565701E-6</v>
      </c>
      <c r="FZ128">
        <f t="shared" si="454"/>
        <v>2.8892069865651531E-4</v>
      </c>
      <c r="GA128">
        <f t="shared" si="455"/>
        <v>0.23316010738714243</v>
      </c>
      <c r="GC128">
        <f t="shared" si="456"/>
        <v>26.453850690058221</v>
      </c>
      <c r="GD128">
        <f t="shared" si="457"/>
        <v>0.752</v>
      </c>
      <c r="GE128">
        <f t="shared" si="339"/>
        <v>104468.79300000001</v>
      </c>
      <c r="GF128">
        <f t="shared" si="340"/>
        <v>5.2625497407405783E-3</v>
      </c>
      <c r="GG128">
        <f t="shared" si="458"/>
        <v>4.1244684592730806E-3</v>
      </c>
      <c r="GH128">
        <f t="shared" si="459"/>
        <v>1.3107669173950686E-2</v>
      </c>
      <c r="GI128">
        <f t="shared" si="460"/>
        <v>14.94446968070587</v>
      </c>
      <c r="GJ128">
        <f t="shared" si="561"/>
        <v>2.7302337055248122E-6</v>
      </c>
      <c r="GK128">
        <f t="shared" si="534"/>
        <v>3.8464644594030262E-2</v>
      </c>
      <c r="GL128">
        <f t="shared" si="461"/>
        <v>4018.3549939123168</v>
      </c>
      <c r="GM128">
        <f t="shared" si="535"/>
        <v>2.4934186956508541E-6</v>
      </c>
      <c r="GN128">
        <f t="shared" si="462"/>
        <v>2.7042767069774062E-4</v>
      </c>
      <c r="GO128">
        <f t="shared" si="463"/>
        <v>0.22692832866507723</v>
      </c>
      <c r="GQ128">
        <f t="shared" si="464"/>
        <v>28.351544426791236</v>
      </c>
      <c r="GR128">
        <f t="shared" si="465"/>
        <v>0.752</v>
      </c>
      <c r="GS128">
        <f t="shared" si="341"/>
        <v>104468.79300000001</v>
      </c>
      <c r="GT128">
        <f t="shared" si="342"/>
        <v>5.2625497407405783E-3</v>
      </c>
      <c r="GU128">
        <f t="shared" si="466"/>
        <v>4.1244684592730806E-3</v>
      </c>
      <c r="GV128">
        <f t="shared" si="467"/>
        <v>1.3107669173950686E-2</v>
      </c>
      <c r="GW128">
        <f t="shared" si="468"/>
        <v>14.94446968070587</v>
      </c>
      <c r="GX128">
        <f t="shared" si="562"/>
        <v>2.6586556069355044E-6</v>
      </c>
      <c r="GY128">
        <f t="shared" si="536"/>
        <v>3.6738455882352569E-2</v>
      </c>
      <c r="GZ128">
        <f t="shared" si="469"/>
        <v>3838.0221427131232</v>
      </c>
      <c r="HA128">
        <f t="shared" si="537"/>
        <v>2.4368275665903798E-6</v>
      </c>
      <c r="HB128">
        <f t="shared" si="470"/>
        <v>2.5331350524573839E-4</v>
      </c>
      <c r="HC128">
        <f t="shared" si="471"/>
        <v>0.22097898511656461</v>
      </c>
      <c r="HE128">
        <f t="shared" si="472"/>
        <v>30.24923816352425</v>
      </c>
      <c r="HF128">
        <f t="shared" si="473"/>
        <v>0.752</v>
      </c>
      <c r="HG128">
        <f t="shared" si="343"/>
        <v>104468.79300000001</v>
      </c>
      <c r="HH128">
        <f t="shared" si="344"/>
        <v>5.2625497407405783E-3</v>
      </c>
      <c r="HI128">
        <f t="shared" si="568"/>
        <v>4.1244684592730806E-3</v>
      </c>
      <c r="HJ128">
        <f t="shared" si="474"/>
        <v>1.3107669173950686E-2</v>
      </c>
      <c r="HK128">
        <f t="shared" si="475"/>
        <v>14.94446968070587</v>
      </c>
      <c r="HL128">
        <f t="shared" si="563"/>
        <v>2.590274621218898E-6</v>
      </c>
      <c r="HM128">
        <f t="shared" si="538"/>
        <v>3.5113418646225386E-2</v>
      </c>
      <c r="HN128">
        <f t="shared" si="476"/>
        <v>3668.2564640748601</v>
      </c>
      <c r="HO128">
        <f t="shared" si="539"/>
        <v>2.3823244432628461E-6</v>
      </c>
      <c r="HP128">
        <f t="shared" si="477"/>
        <v>2.3746586956530511E-4</v>
      </c>
      <c r="HQ128">
        <f t="shared" si="478"/>
        <v>0.21529537540588706</v>
      </c>
      <c r="HS128">
        <f t="shared" si="479"/>
        <v>32.146931900257265</v>
      </c>
      <c r="HT128">
        <f t="shared" si="480"/>
        <v>0.752</v>
      </c>
      <c r="HU128">
        <f t="shared" si="345"/>
        <v>104468.79300000001</v>
      </c>
      <c r="HV128">
        <f t="shared" si="346"/>
        <v>5.2625497407405783E-3</v>
      </c>
      <c r="HW128">
        <f t="shared" si="569"/>
        <v>4.1244684592730806E-3</v>
      </c>
      <c r="HX128">
        <f t="shared" si="481"/>
        <v>1.3107669173950686E-2</v>
      </c>
      <c r="HY128">
        <f t="shared" si="482"/>
        <v>14.94446968070587</v>
      </c>
      <c r="HZ128">
        <f t="shared" si="564"/>
        <v>2.5249038661073123E-6</v>
      </c>
      <c r="IA128">
        <f t="shared" si="540"/>
        <v>3.3582509571927939E-2</v>
      </c>
      <c r="IB128">
        <f t="shared" si="483"/>
        <v>3508.3242408902588</v>
      </c>
      <c r="IC128">
        <f t="shared" si="541"/>
        <v>2.3298122428775302E-6</v>
      </c>
      <c r="ID128">
        <f t="shared" si="484"/>
        <v>2.2278221836846861E-4</v>
      </c>
      <c r="IE128">
        <f t="shared" si="485"/>
        <v>0.20986196647425323</v>
      </c>
      <c r="IG128">
        <f t="shared" si="486"/>
        <v>34.044625636990283</v>
      </c>
      <c r="IH128">
        <f t="shared" si="487"/>
        <v>0.752</v>
      </c>
      <c r="II128">
        <f t="shared" si="347"/>
        <v>104468.79300000001</v>
      </c>
      <c r="IJ128">
        <f t="shared" si="348"/>
        <v>5.2625497407405783E-3</v>
      </c>
      <c r="IK128">
        <f t="shared" si="570"/>
        <v>4.1244684592730806E-3</v>
      </c>
      <c r="IL128">
        <f t="shared" si="488"/>
        <v>1.3107669173950686E-2</v>
      </c>
      <c r="IM128">
        <f t="shared" si="489"/>
        <v>14.94446968070587</v>
      </c>
      <c r="IN128">
        <f t="shared" si="565"/>
        <v>2.4623694079777784E-6</v>
      </c>
      <c r="IO128">
        <f t="shared" si="542"/>
        <v>3.2139255450843354E-2</v>
      </c>
      <c r="IP128">
        <f t="shared" si="490"/>
        <v>3357.5492248682763</v>
      </c>
      <c r="IQ128">
        <f t="shared" si="543"/>
        <v>2.2791990502510448E-6</v>
      </c>
      <c r="IR128">
        <f t="shared" si="491"/>
        <v>2.0916889181676668E-4</v>
      </c>
      <c r="IS128">
        <f t="shared" si="492"/>
        <v>0.20466430151297346</v>
      </c>
      <c r="IU128">
        <f t="shared" si="493"/>
        <v>35.942319373723294</v>
      </c>
      <c r="IV128">
        <f t="shared" si="494"/>
        <v>0.752</v>
      </c>
      <c r="IW128">
        <f t="shared" si="349"/>
        <v>104468.79300000001</v>
      </c>
      <c r="IX128">
        <f t="shared" si="350"/>
        <v>5.2625497407405783E-3</v>
      </c>
      <c r="IY128">
        <f t="shared" si="571"/>
        <v>4.1244684592730806E-3</v>
      </c>
      <c r="IZ128">
        <f t="shared" si="495"/>
        <v>1.3107669173950686E-2</v>
      </c>
      <c r="JA128">
        <f t="shared" si="496"/>
        <v>14.94446968070587</v>
      </c>
      <c r="JB128">
        <f t="shared" si="566"/>
        <v>2.4025092499947249E-6</v>
      </c>
      <c r="JC128">
        <f t="shared" si="544"/>
        <v>3.0777686008101601E-2</v>
      </c>
      <c r="JD128">
        <f t="shared" si="497"/>
        <v>3215.3077085993627</v>
      </c>
      <c r="JE128">
        <f t="shared" si="545"/>
        <v>2.2303978195167541E-6</v>
      </c>
      <c r="JF128">
        <f t="shared" si="498"/>
        <v>1.9654030067344991E-4</v>
      </c>
      <c r="JG128">
        <f t="shared" si="499"/>
        <v>0.19968891586110279</v>
      </c>
      <c r="JI128">
        <f t="shared" si="500"/>
        <v>37.840013110456312</v>
      </c>
      <c r="JJ128">
        <f t="shared" si="501"/>
        <v>0.752</v>
      </c>
      <c r="JK128">
        <f t="shared" si="351"/>
        <v>104468.79300000001</v>
      </c>
      <c r="JL128">
        <f t="shared" si="352"/>
        <v>5.2625497407405783E-3</v>
      </c>
      <c r="JM128">
        <f t="shared" si="572"/>
        <v>4.1244684592730806E-3</v>
      </c>
      <c r="JN128">
        <f t="shared" si="502"/>
        <v>1.3107669173950686E-2</v>
      </c>
      <c r="JO128">
        <f t="shared" si="503"/>
        <v>14.94446968070587</v>
      </c>
      <c r="JP128">
        <f t="shared" si="567"/>
        <v>2.3451724068009561E-6</v>
      </c>
      <c r="JQ128">
        <f t="shared" si="546"/>
        <v>2.9492291068420193E-2</v>
      </c>
      <c r="JR128">
        <f t="shared" si="504"/>
        <v>3081.024050722538</v>
      </c>
      <c r="JS128">
        <f t="shared" si="547"/>
        <v>2.1833260937288617E-6</v>
      </c>
      <c r="JT128">
        <f t="shared" si="505"/>
        <v>1.8481818985375382E-4</v>
      </c>
      <c r="JU128">
        <f t="shared" si="506"/>
        <v>0.19492326009670277</v>
      </c>
    </row>
    <row r="129" spans="2:281">
      <c r="B129">
        <v>0.95</v>
      </c>
      <c r="C129">
        <f t="shared" si="353"/>
        <v>1.8028090498963636</v>
      </c>
      <c r="D129">
        <f t="shared" si="354"/>
        <v>0.76</v>
      </c>
      <c r="E129">
        <f t="shared" si="313"/>
        <v>104284.36500000001</v>
      </c>
      <c r="F129">
        <f t="shared" si="314"/>
        <v>5.2656502053072827E-3</v>
      </c>
      <c r="G129">
        <f t="shared" si="355"/>
        <v>4.1232540174890777E-3</v>
      </c>
      <c r="H129">
        <f t="shared" si="356"/>
        <v>1.3130850225208116E-2</v>
      </c>
      <c r="I129">
        <f t="shared" si="357"/>
        <v>14.96208412625675</v>
      </c>
      <c r="J129">
        <f t="shared" si="548"/>
        <v>4.0679840390928569E-6</v>
      </c>
      <c r="K129">
        <f t="shared" si="507"/>
        <v>7.5072064556914744E-2</v>
      </c>
      <c r="L129">
        <f t="shared" si="358"/>
        <v>7828.8425815568608</v>
      </c>
      <c r="M129">
        <f t="shared" si="508"/>
        <v>3.4803253213924208E-6</v>
      </c>
      <c r="N129">
        <f t="shared" si="509"/>
        <v>6.7166199188255834E-4</v>
      </c>
      <c r="O129">
        <f t="shared" si="359"/>
        <v>0.33811787509600899</v>
      </c>
      <c r="Q129">
        <f t="shared" si="360"/>
        <v>3.7005027866293783</v>
      </c>
      <c r="R129">
        <f t="shared" si="361"/>
        <v>0.76</v>
      </c>
      <c r="S129">
        <f t="shared" si="315"/>
        <v>104284.36500000001</v>
      </c>
      <c r="T129">
        <f t="shared" si="316"/>
        <v>5.2656502053072827E-3</v>
      </c>
      <c r="U129">
        <f t="shared" si="362"/>
        <v>4.1232540174890777E-3</v>
      </c>
      <c r="V129">
        <f t="shared" si="363"/>
        <v>1.3130850225208116E-2</v>
      </c>
      <c r="W129">
        <f t="shared" si="364"/>
        <v>14.96208412625675</v>
      </c>
      <c r="X129">
        <f t="shared" si="549"/>
        <v>3.929419793677397E-6</v>
      </c>
      <c r="Y129">
        <f t="shared" si="510"/>
        <v>7.0991678712816031E-2</v>
      </c>
      <c r="Z129">
        <f t="shared" si="365"/>
        <v>7403.3221348500374</v>
      </c>
      <c r="AA129">
        <f t="shared" si="511"/>
        <v>3.3844210256436752E-6</v>
      </c>
      <c r="AB129">
        <f t="shared" si="366"/>
        <v>6.2290398676204009E-4</v>
      </c>
      <c r="AC129">
        <f t="shared" si="367"/>
        <v>0.32660085640224712</v>
      </c>
      <c r="AE129">
        <f t="shared" si="368"/>
        <v>5.5981965233623932</v>
      </c>
      <c r="AF129">
        <f t="shared" si="369"/>
        <v>0.76</v>
      </c>
      <c r="AG129">
        <f t="shared" si="317"/>
        <v>104284.36500000001</v>
      </c>
      <c r="AH129">
        <f t="shared" si="318"/>
        <v>5.2656502053072827E-3</v>
      </c>
      <c r="AI129">
        <f t="shared" si="370"/>
        <v>4.1232540174890777E-3</v>
      </c>
      <c r="AJ129">
        <f t="shared" si="371"/>
        <v>1.3130850225208116E-2</v>
      </c>
      <c r="AK129">
        <f t="shared" si="372"/>
        <v>14.96208412625675</v>
      </c>
      <c r="AL129">
        <f t="shared" si="550"/>
        <v>3.7983429205561559E-6</v>
      </c>
      <c r="AM129">
        <f t="shared" si="512"/>
        <v>6.7189006360288461E-2</v>
      </c>
      <c r="AN129">
        <f t="shared" si="373"/>
        <v>7006.7628632636433</v>
      </c>
      <c r="AO129">
        <f t="shared" si="513"/>
        <v>3.2925302273201135E-6</v>
      </c>
      <c r="AP129">
        <f t="shared" si="374"/>
        <v>5.7811643191105428E-4</v>
      </c>
      <c r="AQ129">
        <f t="shared" si="375"/>
        <v>0.31570616424316328</v>
      </c>
      <c r="AS129">
        <f t="shared" si="376"/>
        <v>7.4958902600954076</v>
      </c>
      <c r="AT129">
        <f t="shared" si="377"/>
        <v>0.76</v>
      </c>
      <c r="AU129">
        <f t="shared" si="319"/>
        <v>104284.36500000001</v>
      </c>
      <c r="AV129">
        <f t="shared" si="320"/>
        <v>5.2656502053072827E-3</v>
      </c>
      <c r="AW129">
        <f t="shared" si="378"/>
        <v>4.1232540174890777E-3</v>
      </c>
      <c r="AX129">
        <f t="shared" si="379"/>
        <v>1.3130850225208116E-2</v>
      </c>
      <c r="AY129">
        <f t="shared" si="380"/>
        <v>14.96208412625675</v>
      </c>
      <c r="AZ129">
        <f t="shared" si="551"/>
        <v>3.6742459127539373E-6</v>
      </c>
      <c r="BA129">
        <f t="shared" si="514"/>
        <v>6.3642275271011656E-2</v>
      </c>
      <c r="BB129">
        <f t="shared" si="381"/>
        <v>6636.8942637926539</v>
      </c>
      <c r="BC129">
        <f t="shared" si="515"/>
        <v>3.2044500795818026E-6</v>
      </c>
      <c r="BD129">
        <f t="shared" si="382"/>
        <v>5.3695111734456259E-4</v>
      </c>
      <c r="BE129">
        <f t="shared" si="383"/>
        <v>0.30539161625560141</v>
      </c>
      <c r="BG129">
        <f t="shared" si="384"/>
        <v>9.393583996828422</v>
      </c>
      <c r="BH129">
        <f t="shared" si="385"/>
        <v>0.76</v>
      </c>
      <c r="BI129">
        <f t="shared" si="321"/>
        <v>104284.36500000001</v>
      </c>
      <c r="BJ129">
        <f t="shared" si="322"/>
        <v>5.2656502053072827E-3</v>
      </c>
      <c r="BK129">
        <f t="shared" si="386"/>
        <v>4.1232540174890777E-3</v>
      </c>
      <c r="BL129">
        <f t="shared" si="387"/>
        <v>1.3130850225208116E-2</v>
      </c>
      <c r="BM129">
        <f t="shared" si="388"/>
        <v>14.96208412625675</v>
      </c>
      <c r="BN129">
        <f t="shared" si="552"/>
        <v>3.5566609073072366E-6</v>
      </c>
      <c r="BO129">
        <f t="shared" si="516"/>
        <v>6.0331597182545861E-2</v>
      </c>
      <c r="BP129">
        <f t="shared" si="389"/>
        <v>6291.642301617585</v>
      </c>
      <c r="BQ129">
        <f t="shared" si="517"/>
        <v>3.1199890718271413E-6</v>
      </c>
      <c r="BR129">
        <f t="shared" si="390"/>
        <v>4.9909218732475881E-4</v>
      </c>
      <c r="BS129">
        <f t="shared" si="391"/>
        <v>0.29561832516037462</v>
      </c>
      <c r="BU129">
        <f t="shared" si="392"/>
        <v>11.291277733561436</v>
      </c>
      <c r="BV129">
        <f t="shared" si="393"/>
        <v>0.76</v>
      </c>
      <c r="BW129">
        <f t="shared" si="323"/>
        <v>104284.36500000001</v>
      </c>
      <c r="BX129">
        <f t="shared" si="324"/>
        <v>5.2656502053072827E-3</v>
      </c>
      <c r="BY129">
        <f t="shared" si="394"/>
        <v>4.1232540174890777E-3</v>
      </c>
      <c r="BZ129">
        <f t="shared" si="395"/>
        <v>1.3130850225208116E-2</v>
      </c>
      <c r="CA129">
        <f t="shared" si="396"/>
        <v>14.96208412625675</v>
      </c>
      <c r="CB129">
        <f t="shared" si="553"/>
        <v>3.4451562662780352E-6</v>
      </c>
      <c r="CC129">
        <f t="shared" si="518"/>
        <v>5.7238792614675627E-2</v>
      </c>
      <c r="CD129">
        <f t="shared" si="397"/>
        <v>5969.1111411881375</v>
      </c>
      <c r="CE129">
        <f t="shared" si="519"/>
        <v>3.0389663666610684E-6</v>
      </c>
      <c r="CF129">
        <f t="shared" si="398"/>
        <v>4.6425299045488137E-4</v>
      </c>
      <c r="CG129">
        <f t="shared" si="399"/>
        <v>0.28635041458702237</v>
      </c>
      <c r="CI129">
        <f t="shared" si="400"/>
        <v>13.188971470294451</v>
      </c>
      <c r="CJ129">
        <f t="shared" si="401"/>
        <v>0.76</v>
      </c>
      <c r="CK129">
        <f t="shared" si="325"/>
        <v>104284.36500000001</v>
      </c>
      <c r="CL129">
        <f t="shared" si="326"/>
        <v>5.2656502053072827E-3</v>
      </c>
      <c r="CM129">
        <f t="shared" si="402"/>
        <v>4.1232540174890777E-3</v>
      </c>
      <c r="CN129">
        <f t="shared" si="403"/>
        <v>1.3130850225208116E-2</v>
      </c>
      <c r="CO129">
        <f t="shared" si="404"/>
        <v>14.96208412625675</v>
      </c>
      <c r="CP129">
        <f t="shared" si="554"/>
        <v>3.3393334747509358E-6</v>
      </c>
      <c r="CQ129">
        <f t="shared" si="520"/>
        <v>5.4347232859437399E-2</v>
      </c>
      <c r="CR129">
        <f t="shared" si="405"/>
        <v>5667.5666682535639</v>
      </c>
      <c r="CS129">
        <f t="shared" si="521"/>
        <v>2.961211175494218E-6</v>
      </c>
      <c r="CT129">
        <f t="shared" si="406"/>
        <v>4.3217324791469089E-4</v>
      </c>
      <c r="CU129">
        <f t="shared" si="407"/>
        <v>0.27755476124521383</v>
      </c>
      <c r="CW129">
        <f t="shared" si="408"/>
        <v>15.086665207027465</v>
      </c>
      <c r="CX129">
        <f t="shared" si="409"/>
        <v>0.76</v>
      </c>
      <c r="CY129">
        <f t="shared" si="327"/>
        <v>104284.36500000001</v>
      </c>
      <c r="CZ129">
        <f t="shared" si="328"/>
        <v>5.2656502053072827E-3</v>
      </c>
      <c r="DA129">
        <f t="shared" si="410"/>
        <v>4.1232540174890777E-3</v>
      </c>
      <c r="DB129">
        <f t="shared" si="411"/>
        <v>1.3130850225208116E-2</v>
      </c>
      <c r="DC129">
        <f t="shared" si="412"/>
        <v>14.96208412625675</v>
      </c>
      <c r="DD129">
        <f t="shared" si="555"/>
        <v>3.2388243248134989E-6</v>
      </c>
      <c r="DE129">
        <f t="shared" si="522"/>
        <v>5.1641697396228779E-2</v>
      </c>
      <c r="DF129">
        <f t="shared" si="413"/>
        <v>5385.4216204878721</v>
      </c>
      <c r="DG129">
        <f t="shared" si="523"/>
        <v>2.8865621706600845E-6</v>
      </c>
      <c r="DH129">
        <f t="shared" si="414"/>
        <v>4.0261650682111118E-4</v>
      </c>
      <c r="DI129">
        <f t="shared" si="415"/>
        <v>0.26920076086616351</v>
      </c>
      <c r="DK129">
        <f t="shared" si="416"/>
        <v>16.984358943760476</v>
      </c>
      <c r="DL129">
        <f t="shared" si="417"/>
        <v>0.76</v>
      </c>
      <c r="DM129">
        <f t="shared" si="329"/>
        <v>104284.36500000001</v>
      </c>
      <c r="DN129">
        <f t="shared" si="330"/>
        <v>5.2656502053072827E-3</v>
      </c>
      <c r="DO129">
        <f t="shared" si="418"/>
        <v>4.1232540174890777E-3</v>
      </c>
      <c r="DP129">
        <f t="shared" si="419"/>
        <v>1.3130850225208116E-2</v>
      </c>
      <c r="DQ129">
        <f t="shared" si="420"/>
        <v>14.96208412625675</v>
      </c>
      <c r="DR129">
        <f t="shared" si="556"/>
        <v>3.1432883576706295E-6</v>
      </c>
      <c r="DS129">
        <f t="shared" si="524"/>
        <v>4.9108245166025001E-2</v>
      </c>
      <c r="DT129">
        <f t="shared" si="421"/>
        <v>5121.2221634032367</v>
      </c>
      <c r="DU129">
        <f t="shared" si="525"/>
        <v>2.8148669320362101E-6</v>
      </c>
      <c r="DV129">
        <f t="shared" si="422"/>
        <v>3.7536784918584381E-4</v>
      </c>
      <c r="DW129">
        <f t="shared" si="423"/>
        <v>0.26126011559932705</v>
      </c>
      <c r="DY129">
        <f t="shared" si="424"/>
        <v>18.882052680493491</v>
      </c>
      <c r="DZ129">
        <f t="shared" si="425"/>
        <v>0.76</v>
      </c>
      <c r="EA129">
        <f t="shared" si="331"/>
        <v>104284.36500000001</v>
      </c>
      <c r="EB129">
        <f t="shared" si="332"/>
        <v>5.2656502053072827E-3</v>
      </c>
      <c r="EC129">
        <f t="shared" si="426"/>
        <v>4.1232540174890777E-3</v>
      </c>
      <c r="ED129">
        <f t="shared" si="427"/>
        <v>1.3130850225208116E-2</v>
      </c>
      <c r="EE129">
        <f t="shared" si="428"/>
        <v>14.96208412625675</v>
      </c>
      <c r="EF129">
        <f t="shared" si="557"/>
        <v>3.0524105388660451E-6</v>
      </c>
      <c r="EG129">
        <f t="shared" si="526"/>
        <v>4.6734098302001627E-2</v>
      </c>
      <c r="EH129">
        <f t="shared" si="429"/>
        <v>4873.6357652718179</v>
      </c>
      <c r="EI129">
        <f t="shared" si="527"/>
        <v>2.745981426251071E-6</v>
      </c>
      <c r="EJ129">
        <f t="shared" si="430"/>
        <v>3.5023183005802893E-4</v>
      </c>
      <c r="EK129">
        <f t="shared" si="431"/>
        <v>0.25370664078421484</v>
      </c>
      <c r="EM129">
        <f t="shared" si="432"/>
        <v>20.779746417226505</v>
      </c>
      <c r="EN129">
        <f t="shared" si="433"/>
        <v>0.76</v>
      </c>
      <c r="EO129">
        <f t="shared" si="333"/>
        <v>104284.36500000001</v>
      </c>
      <c r="EP129">
        <f t="shared" si="334"/>
        <v>5.2656502053072827E-3</v>
      </c>
      <c r="EQ129">
        <f t="shared" si="434"/>
        <v>4.1232540174890777E-3</v>
      </c>
      <c r="ER129">
        <f t="shared" si="435"/>
        <v>1.3130850225208116E-2</v>
      </c>
      <c r="ES129">
        <f t="shared" si="436"/>
        <v>14.96208412625675</v>
      </c>
      <c r="ET129">
        <f t="shared" si="558"/>
        <v>2.9658991441120194E-6</v>
      </c>
      <c r="EU129">
        <f t="shared" si="528"/>
        <v>4.4507537059840396E-2</v>
      </c>
      <c r="EV129">
        <f t="shared" si="437"/>
        <v>4641.4402399994233</v>
      </c>
      <c r="EW129">
        <f t="shared" si="529"/>
        <v>2.6797695166505799E-6</v>
      </c>
      <c r="EX129">
        <f t="shared" si="438"/>
        <v>3.270306212241565E-4</v>
      </c>
      <c r="EY129">
        <f t="shared" si="439"/>
        <v>0.24651608922729526</v>
      </c>
      <c r="FA129">
        <f t="shared" si="440"/>
        <v>22.67744015395952</v>
      </c>
      <c r="FB129">
        <f t="shared" si="441"/>
        <v>0.76</v>
      </c>
      <c r="FC129">
        <f t="shared" si="335"/>
        <v>104284.36500000001</v>
      </c>
      <c r="FD129">
        <f t="shared" si="336"/>
        <v>5.2656502053072827E-3</v>
      </c>
      <c r="FE129">
        <f t="shared" si="442"/>
        <v>4.1232540174890777E-3</v>
      </c>
      <c r="FF129">
        <f t="shared" si="443"/>
        <v>1.3130850225208116E-2</v>
      </c>
      <c r="FG129">
        <f t="shared" si="444"/>
        <v>14.96208412625675</v>
      </c>
      <c r="FH129">
        <f t="shared" si="559"/>
        <v>2.8834838354941035E-6</v>
      </c>
      <c r="FI129">
        <f t="shared" si="530"/>
        <v>4.2417804821524331E-2</v>
      </c>
      <c r="FJ129">
        <f t="shared" si="445"/>
        <v>4423.5138405066036</v>
      </c>
      <c r="FK129">
        <f t="shared" si="531"/>
        <v>2.6161025022873282E-6</v>
      </c>
      <c r="FL129">
        <f t="shared" si="446"/>
        <v>3.0560233932481904E-4</v>
      </c>
      <c r="FM129">
        <f t="shared" si="447"/>
        <v>0.23966599130225877</v>
      </c>
      <c r="FO129">
        <f t="shared" si="448"/>
        <v>24.575133890692534</v>
      </c>
      <c r="FP129">
        <f t="shared" si="449"/>
        <v>0.76</v>
      </c>
      <c r="FQ129">
        <f t="shared" si="337"/>
        <v>104284.36500000001</v>
      </c>
      <c r="FR129">
        <f t="shared" si="338"/>
        <v>5.2656502053072827E-3</v>
      </c>
      <c r="FS129">
        <f t="shared" si="450"/>
        <v>4.1232540174890777E-3</v>
      </c>
      <c r="FT129">
        <f t="shared" si="451"/>
        <v>1.3130850225208116E-2</v>
      </c>
      <c r="FU129">
        <f t="shared" si="452"/>
        <v>14.96208412625675</v>
      </c>
      <c r="FV129">
        <f t="shared" si="560"/>
        <v>2.8049139098478969E-6</v>
      </c>
      <c r="FW129">
        <f t="shared" si="532"/>
        <v>4.0455022163154573E-2</v>
      </c>
      <c r="FX129">
        <f t="shared" si="453"/>
        <v>4218.8262973455012</v>
      </c>
      <c r="FY129">
        <f t="shared" si="533"/>
        <v>2.5548586842816621E-6</v>
      </c>
      <c r="FZ129">
        <f t="shared" si="454"/>
        <v>2.8579953947024559E-4</v>
      </c>
      <c r="GA129">
        <f t="shared" si="455"/>
        <v>0.23313550936067504</v>
      </c>
      <c r="GC129">
        <f t="shared" si="456"/>
        <v>26.472827627425549</v>
      </c>
      <c r="GD129">
        <f t="shared" si="457"/>
        <v>0.76</v>
      </c>
      <c r="GE129">
        <f t="shared" si="339"/>
        <v>104284.36500000001</v>
      </c>
      <c r="GF129">
        <f t="shared" si="340"/>
        <v>5.2656502053072827E-3</v>
      </c>
      <c r="GG129">
        <f t="shared" si="458"/>
        <v>4.1232540174890777E-3</v>
      </c>
      <c r="GH129">
        <f t="shared" si="459"/>
        <v>1.3130850225208116E-2</v>
      </c>
      <c r="GI129">
        <f t="shared" si="460"/>
        <v>14.96208412625675</v>
      </c>
      <c r="GJ129">
        <f t="shared" si="561"/>
        <v>2.7299567029252272E-6</v>
      </c>
      <c r="GK129">
        <f t="shared" si="534"/>
        <v>3.8610109081713924E-2</v>
      </c>
      <c r="GL129">
        <f t="shared" si="461"/>
        <v>4026.43070816727</v>
      </c>
      <c r="GM129">
        <f t="shared" si="535"/>
        <v>2.4959229579866073E-6</v>
      </c>
      <c r="GN129">
        <f t="shared" si="462"/>
        <v>2.6748785742226964E-4</v>
      </c>
      <c r="GO129">
        <f t="shared" si="463"/>
        <v>0.22690530509136905</v>
      </c>
      <c r="GQ129">
        <f t="shared" si="464"/>
        <v>28.370521364158563</v>
      </c>
      <c r="GR129">
        <f t="shared" si="465"/>
        <v>0.76</v>
      </c>
      <c r="GS129">
        <f t="shared" si="341"/>
        <v>104284.36500000001</v>
      </c>
      <c r="GT129">
        <f t="shared" si="342"/>
        <v>5.2656502053072827E-3</v>
      </c>
      <c r="GU129">
        <f t="shared" si="466"/>
        <v>4.1232540174890777E-3</v>
      </c>
      <c r="GV129">
        <f t="shared" si="467"/>
        <v>1.3130850225208116E-2</v>
      </c>
      <c r="GW129">
        <f t="shared" si="468"/>
        <v>14.96208412625675</v>
      </c>
      <c r="GX129">
        <f t="shared" si="562"/>
        <v>2.6583961345994003E-6</v>
      </c>
      <c r="GY129">
        <f t="shared" si="536"/>
        <v>3.6874714569079599E-2</v>
      </c>
      <c r="GZ129">
        <f t="shared" si="469"/>
        <v>3845.4561933927148</v>
      </c>
      <c r="HA129">
        <f t="shared" si="537"/>
        <v>2.4391864294685427E-6</v>
      </c>
      <c r="HB129">
        <f t="shared" si="470"/>
        <v>2.5054478518471375E-4</v>
      </c>
      <c r="HC129">
        <f t="shared" si="471"/>
        <v>0.22095741860251572</v>
      </c>
      <c r="HE129">
        <f t="shared" si="472"/>
        <v>30.268215100891577</v>
      </c>
      <c r="HF129">
        <f t="shared" si="473"/>
        <v>0.76</v>
      </c>
      <c r="HG129">
        <f t="shared" si="343"/>
        <v>104284.36500000001</v>
      </c>
      <c r="HH129">
        <f t="shared" si="344"/>
        <v>5.2656502053072827E-3</v>
      </c>
      <c r="HI129">
        <f t="shared" si="568"/>
        <v>4.1232540174890777E-3</v>
      </c>
      <c r="HJ129">
        <f t="shared" si="474"/>
        <v>1.3130850225208116E-2</v>
      </c>
      <c r="HK129">
        <f t="shared" si="475"/>
        <v>14.96208412625675</v>
      </c>
      <c r="HL129">
        <f t="shared" si="563"/>
        <v>2.5900313818232673E-6</v>
      </c>
      <c r="HM129">
        <f t="shared" si="538"/>
        <v>3.5241152805120982E-2</v>
      </c>
      <c r="HN129">
        <f t="shared" si="476"/>
        <v>3675.1012421500104</v>
      </c>
      <c r="HO129">
        <f t="shared" si="539"/>
        <v>2.3845460548923731E-6</v>
      </c>
      <c r="HP129">
        <f t="shared" si="477"/>
        <v>2.3485856642970496E-4</v>
      </c>
      <c r="HQ129">
        <f t="shared" si="478"/>
        <v>0.2152751581221416</v>
      </c>
      <c r="HS129">
        <f t="shared" si="479"/>
        <v>32.165908837624592</v>
      </c>
      <c r="HT129">
        <f t="shared" si="480"/>
        <v>0.76</v>
      </c>
      <c r="HU129">
        <f t="shared" si="345"/>
        <v>104284.36500000001</v>
      </c>
      <c r="HV129">
        <f t="shared" si="346"/>
        <v>5.2656502053072827E-3</v>
      </c>
      <c r="HW129">
        <f t="shared" si="569"/>
        <v>4.1232540174890777E-3</v>
      </c>
      <c r="HX129">
        <f t="shared" si="481"/>
        <v>1.3130850225208116E-2</v>
      </c>
      <c r="HY129">
        <f t="shared" si="482"/>
        <v>14.96208412625675</v>
      </c>
      <c r="HZ129">
        <f t="shared" si="564"/>
        <v>2.5246756673676264E-6</v>
      </c>
      <c r="IA129">
        <f t="shared" si="540"/>
        <v>3.3702345316459499E-2</v>
      </c>
      <c r="IB129">
        <f t="shared" si="483"/>
        <v>3514.6276803377032</v>
      </c>
      <c r="IC129">
        <f t="shared" si="541"/>
        <v>2.3319043014738382E-6</v>
      </c>
      <c r="ID129">
        <f t="shared" si="484"/>
        <v>2.2032719960455912E-4</v>
      </c>
      <c r="IE129">
        <f t="shared" si="485"/>
        <v>0.20984299932191913</v>
      </c>
      <c r="IG129">
        <f t="shared" si="486"/>
        <v>34.06360257435761</v>
      </c>
      <c r="IH129">
        <f t="shared" si="487"/>
        <v>0.76</v>
      </c>
      <c r="II129">
        <f t="shared" si="347"/>
        <v>104284.36500000001</v>
      </c>
      <c r="IJ129">
        <f t="shared" si="348"/>
        <v>5.2656502053072827E-3</v>
      </c>
      <c r="IK129">
        <f t="shared" si="570"/>
        <v>4.1232540174890777E-3</v>
      </c>
      <c r="IL129">
        <f t="shared" si="488"/>
        <v>1.3130850225208116E-2</v>
      </c>
      <c r="IM129">
        <f t="shared" si="489"/>
        <v>14.96208412625675</v>
      </c>
      <c r="IN129">
        <f t="shared" si="565"/>
        <v>2.4621551535465063E-6</v>
      </c>
      <c r="IO129">
        <f t="shared" si="542"/>
        <v>3.2251768514351166E-2</v>
      </c>
      <c r="IP129">
        <f t="shared" si="490"/>
        <v>3363.3551996461051</v>
      </c>
      <c r="IQ129">
        <f t="shared" si="543"/>
        <v>2.2811688287325114E-6</v>
      </c>
      <c r="IR129">
        <f t="shared" si="491"/>
        <v>2.0685753783038156E-4</v>
      </c>
      <c r="IS129">
        <f t="shared" si="492"/>
        <v>0.20464649336713622</v>
      </c>
      <c r="IU129">
        <f t="shared" si="493"/>
        <v>35.961296311090621</v>
      </c>
      <c r="IV129">
        <f t="shared" si="494"/>
        <v>0.76</v>
      </c>
      <c r="IW129">
        <f t="shared" si="349"/>
        <v>104284.36500000001</v>
      </c>
      <c r="IX129">
        <f t="shared" si="350"/>
        <v>5.2656502053072827E-3</v>
      </c>
      <c r="IY129">
        <f t="shared" si="571"/>
        <v>4.1232540174890777E-3</v>
      </c>
      <c r="IZ129">
        <f t="shared" si="495"/>
        <v>1.3130850225208116E-2</v>
      </c>
      <c r="JA129">
        <f t="shared" si="496"/>
        <v>14.96208412625675</v>
      </c>
      <c r="JB129">
        <f t="shared" si="566"/>
        <v>2.40230793119451E-6</v>
      </c>
      <c r="JC129">
        <f t="shared" si="544"/>
        <v>3.0883406085018623E-2</v>
      </c>
      <c r="JD129">
        <f t="shared" si="497"/>
        <v>3220.6563926133031</v>
      </c>
      <c r="JE129">
        <f t="shared" si="545"/>
        <v>2.2322521888470977E-6</v>
      </c>
      <c r="JF129">
        <f t="shared" si="498"/>
        <v>1.9436447583570887E-4</v>
      </c>
      <c r="JG129">
        <f t="shared" si="499"/>
        <v>0.19967218288371366</v>
      </c>
      <c r="JI129">
        <f t="shared" si="500"/>
        <v>37.858990047823639</v>
      </c>
      <c r="JJ129">
        <f t="shared" si="501"/>
        <v>0.76</v>
      </c>
      <c r="JK129">
        <f t="shared" si="351"/>
        <v>104284.36500000001</v>
      </c>
      <c r="JL129">
        <f t="shared" si="352"/>
        <v>5.2656502053072827E-3</v>
      </c>
      <c r="JM129">
        <f t="shared" si="572"/>
        <v>4.1232540174890777E-3</v>
      </c>
      <c r="JN129">
        <f t="shared" si="502"/>
        <v>1.3130850225208116E-2</v>
      </c>
      <c r="JO129">
        <f t="shared" si="503"/>
        <v>14.96208412625675</v>
      </c>
      <c r="JP129">
        <f t="shared" si="567"/>
        <v>2.3449830951121486E-6</v>
      </c>
      <c r="JQ129">
        <f t="shared" si="546"/>
        <v>2.9591705759351532E-2</v>
      </c>
      <c r="JR129">
        <f t="shared" si="504"/>
        <v>3085.9522443808173</v>
      </c>
      <c r="JS129">
        <f t="shared" si="547"/>
        <v>2.1850715449797471E-6</v>
      </c>
      <c r="JT129">
        <f t="shared" si="505"/>
        <v>1.8277021518075693E-4</v>
      </c>
      <c r="JU129">
        <f t="shared" si="506"/>
        <v>0.19490752511216614</v>
      </c>
    </row>
    <row r="130" spans="2:281">
      <c r="B130">
        <v>0.96</v>
      </c>
      <c r="C130">
        <f t="shared" si="353"/>
        <v>1.8217859872636939</v>
      </c>
      <c r="D130">
        <f t="shared" si="354"/>
        <v>0.76800000000000002</v>
      </c>
      <c r="E130">
        <f t="shared" ref="E130:E161" si="573">$C$13+$C$18*$C$19*($C$3-D130)+4*$C$22/$C$11</f>
        <v>104099.93700000001</v>
      </c>
      <c r="F130">
        <f t="shared" ref="F130:F161" si="574">$C$11*($G$27/E130)^(1/3)</f>
        <v>5.2687579894458549E-3</v>
      </c>
      <c r="G130">
        <f t="shared" si="355"/>
        <v>4.1220377845899809E-3</v>
      </c>
      <c r="H130">
        <f t="shared" si="356"/>
        <v>1.3154113413593472E-2</v>
      </c>
      <c r="I130">
        <f t="shared" si="357"/>
        <v>14.979750567336607</v>
      </c>
      <c r="J130">
        <f t="shared" si="548"/>
        <v>4.0672960469309827E-6</v>
      </c>
      <c r="K130">
        <f t="shared" si="507"/>
        <v>7.5433355127860063E-2</v>
      </c>
      <c r="L130">
        <f t="shared" si="358"/>
        <v>7852.6075165088596</v>
      </c>
      <c r="M130">
        <f t="shared" si="508"/>
        <v>3.485603689905841E-6</v>
      </c>
      <c r="N130">
        <f t="shared" si="509"/>
        <v>6.6543143737458476E-4</v>
      </c>
      <c r="O130">
        <f t="shared" si="359"/>
        <v>0.33806069137905725</v>
      </c>
      <c r="Q130">
        <f t="shared" si="360"/>
        <v>3.7194797239967081</v>
      </c>
      <c r="R130">
        <f t="shared" si="361"/>
        <v>0.76800000000000002</v>
      </c>
      <c r="S130">
        <f t="shared" ref="S130:S161" si="575">$C$13+$C$18*$C$19*($C$3-R130)+4*$C$22/$C$11</f>
        <v>104099.93700000001</v>
      </c>
      <c r="T130">
        <f t="shared" ref="T130:T161" si="576">$C$11*($G$27/S130)^(1/3)</f>
        <v>5.2687579894458549E-3</v>
      </c>
      <c r="U130">
        <f t="shared" si="362"/>
        <v>4.1220377845899809E-3</v>
      </c>
      <c r="V130">
        <f t="shared" si="363"/>
        <v>1.3154113413593472E-2</v>
      </c>
      <c r="W130">
        <f t="shared" si="364"/>
        <v>14.979750567336607</v>
      </c>
      <c r="X130">
        <f t="shared" si="549"/>
        <v>3.9287817449777947E-6</v>
      </c>
      <c r="Y130">
        <f t="shared" si="510"/>
        <v>7.1326742092523709E-2</v>
      </c>
      <c r="Z130">
        <f t="shared" si="365"/>
        <v>7425.1093582469666</v>
      </c>
      <c r="AA130">
        <f t="shared" si="511"/>
        <v>3.3893973703893735E-6</v>
      </c>
      <c r="AB130">
        <f t="shared" si="366"/>
        <v>6.1703289607473969E-4</v>
      </c>
      <c r="AC130">
        <f t="shared" si="367"/>
        <v>0.3265478238267886</v>
      </c>
      <c r="AE130">
        <f t="shared" si="368"/>
        <v>5.617173460729723</v>
      </c>
      <c r="AF130">
        <f t="shared" si="369"/>
        <v>0.76800000000000002</v>
      </c>
      <c r="AG130">
        <f t="shared" ref="AG130:AG161" si="577">$C$13+$C$18*$C$19*($C$3-AF130)+4*$C$22/$C$11</f>
        <v>104099.93700000001</v>
      </c>
      <c r="AH130">
        <f t="shared" ref="AH130:AH161" si="578">$C$11*($G$27/AG130)^(1/3)</f>
        <v>5.2687579894458549E-3</v>
      </c>
      <c r="AI130">
        <f t="shared" si="370"/>
        <v>4.1220377845899809E-3</v>
      </c>
      <c r="AJ130">
        <f t="shared" si="371"/>
        <v>1.3154113413593472E-2</v>
      </c>
      <c r="AK130">
        <f t="shared" si="372"/>
        <v>14.979750567336607</v>
      </c>
      <c r="AL130">
        <f t="shared" si="550"/>
        <v>3.7977507483346923E-6</v>
      </c>
      <c r="AM130">
        <f t="shared" si="512"/>
        <v>6.7499978275153832E-2</v>
      </c>
      <c r="AN130">
        <f t="shared" si="373"/>
        <v>7026.7434859448831</v>
      </c>
      <c r="AO130">
        <f t="shared" si="513"/>
        <v>3.2972214072870148E-6</v>
      </c>
      <c r="AP130">
        <f t="shared" si="374"/>
        <v>5.7258438217216274E-4</v>
      </c>
      <c r="AQ130">
        <f t="shared" si="375"/>
        <v>0.31565694477443185</v>
      </c>
      <c r="AS130">
        <f t="shared" si="376"/>
        <v>7.5148671974627375</v>
      </c>
      <c r="AT130">
        <f t="shared" si="377"/>
        <v>0.76800000000000002</v>
      </c>
      <c r="AU130">
        <f t="shared" ref="AU130:AU161" si="579">$C$13+$C$18*$C$19*($C$3-AT130)+4*$C$22/$C$11</f>
        <v>104099.93700000001</v>
      </c>
      <c r="AV130">
        <f t="shared" ref="AV130:AV161" si="580">$C$11*($G$27/AU130)^(1/3)</f>
        <v>5.2687579894458549E-3</v>
      </c>
      <c r="AW130">
        <f t="shared" si="378"/>
        <v>4.1220377845899809E-3</v>
      </c>
      <c r="AX130">
        <f t="shared" si="379"/>
        <v>1.3154113413593472E-2</v>
      </c>
      <c r="AY130">
        <f t="shared" si="380"/>
        <v>14.979750567336607</v>
      </c>
      <c r="AZ130">
        <f t="shared" si="551"/>
        <v>3.6736959067025192E-6</v>
      </c>
      <c r="BA130">
        <f t="shared" si="514"/>
        <v>6.3931104143420237E-2</v>
      </c>
      <c r="BB130">
        <f t="shared" si="381"/>
        <v>6655.2239136704857</v>
      </c>
      <c r="BC130">
        <f t="shared" si="515"/>
        <v>3.2088720235872913E-6</v>
      </c>
      <c r="BD130">
        <f t="shared" si="382"/>
        <v>5.3173884946546295E-4</v>
      </c>
      <c r="BE130">
        <f t="shared" si="383"/>
        <v>0.30534590150460722</v>
      </c>
      <c r="BG130">
        <f t="shared" si="384"/>
        <v>9.412560934195751</v>
      </c>
      <c r="BH130">
        <f t="shared" si="385"/>
        <v>0.76800000000000002</v>
      </c>
      <c r="BI130">
        <f t="shared" ref="BI130:BI161" si="581">$C$13+$C$18*$C$19*($C$3-BH130)+4*$C$22/$C$11</f>
        <v>104099.93700000001</v>
      </c>
      <c r="BJ130">
        <f t="shared" ref="BJ130:BJ161" si="582">$C$11*($G$27/BI130)^(1/3)</f>
        <v>5.2687579894458549E-3</v>
      </c>
      <c r="BK130">
        <f t="shared" si="386"/>
        <v>4.1220377845899809E-3</v>
      </c>
      <c r="BL130">
        <f t="shared" si="387"/>
        <v>1.3154113413593472E-2</v>
      </c>
      <c r="BM130">
        <f t="shared" si="388"/>
        <v>14.979750567336607</v>
      </c>
      <c r="BN130">
        <f t="shared" si="552"/>
        <v>3.556149680652934E-6</v>
      </c>
      <c r="BO130">
        <f t="shared" si="516"/>
        <v>6.0600061534395656E-2</v>
      </c>
      <c r="BP130">
        <f t="shared" si="389"/>
        <v>6308.4625879267114</v>
      </c>
      <c r="BQ130">
        <f t="shared" si="517"/>
        <v>3.124156829537451E-6</v>
      </c>
      <c r="BR130">
        <f t="shared" si="390"/>
        <v>4.9418153837097151E-4</v>
      </c>
      <c r="BS130">
        <f t="shared" si="391"/>
        <v>0.29557583362934003</v>
      </c>
      <c r="BU130">
        <f t="shared" si="392"/>
        <v>11.310254670928765</v>
      </c>
      <c r="BV130">
        <f t="shared" si="393"/>
        <v>0.76800000000000002</v>
      </c>
      <c r="BW130">
        <f t="shared" ref="BW130:BW161" si="583">$C$13+$C$18*$C$19*($C$3-BV130)+4*$C$22/$C$11</f>
        <v>104099.93700000001</v>
      </c>
      <c r="BX130">
        <f t="shared" ref="BX130:BX161" si="584">$C$11*($G$27/BW130)^(1/3)</f>
        <v>5.2687579894458549E-3</v>
      </c>
      <c r="BY130">
        <f t="shared" si="394"/>
        <v>4.1220377845899809E-3</v>
      </c>
      <c r="BZ130">
        <f t="shared" si="395"/>
        <v>1.3154113413593472E-2</v>
      </c>
      <c r="CA130">
        <f t="shared" si="396"/>
        <v>14.979750567336607</v>
      </c>
      <c r="CB130">
        <f t="shared" si="553"/>
        <v>3.4446807258686925E-6</v>
      </c>
      <c r="CC130">
        <f t="shared" si="518"/>
        <v>5.7488516776548149E-2</v>
      </c>
      <c r="CD130">
        <f t="shared" si="397"/>
        <v>5984.5509746621055</v>
      </c>
      <c r="CE130">
        <f t="shared" si="519"/>
        <v>3.0428941568206776E-6</v>
      </c>
      <c r="CF130">
        <f t="shared" si="398"/>
        <v>4.596268301112776E-4</v>
      </c>
      <c r="CG130">
        <f t="shared" si="399"/>
        <v>0.28631088918299324</v>
      </c>
      <c r="CI130">
        <f t="shared" si="400"/>
        <v>13.20794840766178</v>
      </c>
      <c r="CJ130">
        <f t="shared" si="401"/>
        <v>0.76800000000000002</v>
      </c>
      <c r="CK130">
        <f t="shared" ref="CK130:CK161" si="585">$C$13+$C$18*$C$19*($C$3-CJ130)+4*$C$22/$C$11</f>
        <v>104099.93700000001</v>
      </c>
      <c r="CL130">
        <f t="shared" ref="CL130:CL161" si="586">$C$11*($G$27/CK130)^(1/3)</f>
        <v>5.2687579894458549E-3</v>
      </c>
      <c r="CM130">
        <f t="shared" si="402"/>
        <v>4.1220377845899809E-3</v>
      </c>
      <c r="CN130">
        <f t="shared" si="403"/>
        <v>1.3154113413593472E-2</v>
      </c>
      <c r="CO130">
        <f t="shared" si="404"/>
        <v>14.979750567336607</v>
      </c>
      <c r="CP130">
        <f t="shared" si="554"/>
        <v>3.3388907940413964E-6</v>
      </c>
      <c r="CQ130">
        <f t="shared" si="520"/>
        <v>5.4579701156547297E-2</v>
      </c>
      <c r="CR130">
        <f t="shared" si="405"/>
        <v>5681.7434518754008</v>
      </c>
      <c r="CS130">
        <f t="shared" si="521"/>
        <v>2.9649124315166444E-6</v>
      </c>
      <c r="CT130">
        <f t="shared" si="406"/>
        <v>4.2781541878000515E-4</v>
      </c>
      <c r="CU130">
        <f t="shared" si="407"/>
        <v>0.27751796703476045</v>
      </c>
      <c r="CW130">
        <f t="shared" si="408"/>
        <v>15.105642144394794</v>
      </c>
      <c r="CX130">
        <f t="shared" si="409"/>
        <v>0.76800000000000002</v>
      </c>
      <c r="CY130">
        <f t="shared" ref="CY130:CY161" si="587">$C$13+$C$18*$C$19*($C$3-CX130)+4*$C$22/$C$11</f>
        <v>104099.93700000001</v>
      </c>
      <c r="CZ130">
        <f t="shared" ref="CZ130:CZ161" si="588">$C$11*($G$27/CY130)^(1/3)</f>
        <v>5.2687579894458549E-3</v>
      </c>
      <c r="DA130">
        <f t="shared" si="410"/>
        <v>4.1220377845899809E-3</v>
      </c>
      <c r="DB130">
        <f t="shared" si="411"/>
        <v>1.3154113413593472E-2</v>
      </c>
      <c r="DC130">
        <f t="shared" si="412"/>
        <v>14.979750567336607</v>
      </c>
      <c r="DD130">
        <f t="shared" si="555"/>
        <v>3.2384119194603869E-6</v>
      </c>
      <c r="DE130">
        <f t="shared" si="522"/>
        <v>5.1858266964522635E-2</v>
      </c>
      <c r="DF130">
        <f t="shared" si="413"/>
        <v>5398.4423239359876</v>
      </c>
      <c r="DG130">
        <f t="shared" si="523"/>
        <v>2.8900495837241817E-6</v>
      </c>
      <c r="DH130">
        <f t="shared" si="414"/>
        <v>3.985117682852613E-4</v>
      </c>
      <c r="DI130">
        <f t="shared" si="415"/>
        <v>0.26916648304689667</v>
      </c>
      <c r="DK130">
        <f t="shared" si="416"/>
        <v>17.003335881127811</v>
      </c>
      <c r="DL130">
        <f t="shared" si="417"/>
        <v>0.76800000000000002</v>
      </c>
      <c r="DM130">
        <f t="shared" ref="DM130:DM161" si="589">$C$13+$C$18*$C$19*($C$3-DL130)+4*$C$22/$C$11</f>
        <v>104099.93700000001</v>
      </c>
      <c r="DN130">
        <f t="shared" ref="DN130:DN161" si="590">$C$11*($G$27/DM130)^(1/3)</f>
        <v>5.2687579894458549E-3</v>
      </c>
      <c r="DO130">
        <f t="shared" si="418"/>
        <v>4.1220377845899809E-3</v>
      </c>
      <c r="DP130">
        <f t="shared" si="419"/>
        <v>1.3154113413593472E-2</v>
      </c>
      <c r="DQ130">
        <f t="shared" si="420"/>
        <v>14.979750567336607</v>
      </c>
      <c r="DR130">
        <f t="shared" si="556"/>
        <v>3.1429038634738749E-6</v>
      </c>
      <c r="DS130">
        <f t="shared" si="524"/>
        <v>4.931015753591627E-2</v>
      </c>
      <c r="DT130">
        <f t="shared" si="421"/>
        <v>5133.1842929489594</v>
      </c>
      <c r="DU130">
        <f t="shared" si="525"/>
        <v>2.8181524918242085E-6</v>
      </c>
      <c r="DV130">
        <f t="shared" si="422"/>
        <v>3.7150182466101292E-4</v>
      </c>
      <c r="DW130">
        <f t="shared" si="423"/>
        <v>0.2612281576664679</v>
      </c>
      <c r="DY130">
        <f t="shared" si="424"/>
        <v>18.901029617860825</v>
      </c>
      <c r="DZ130">
        <f t="shared" si="425"/>
        <v>0.76800000000000002</v>
      </c>
      <c r="EA130">
        <f t="shared" ref="EA130:EA161" si="591">$C$13+$C$18*$C$19*($C$3-DZ130)+4*$C$22/$C$11</f>
        <v>104099.93700000001</v>
      </c>
      <c r="EB130">
        <f t="shared" ref="EB130:EB161" si="592">$C$11*($G$27/EA130)^(1/3)</f>
        <v>5.2687579894458549E-3</v>
      </c>
      <c r="EC130">
        <f t="shared" si="426"/>
        <v>4.1220377845899809E-3</v>
      </c>
      <c r="ED130">
        <f t="shared" si="427"/>
        <v>1.3154113413593472E-2</v>
      </c>
      <c r="EE130">
        <f t="shared" si="428"/>
        <v>14.979750567336607</v>
      </c>
      <c r="EF130">
        <f t="shared" si="557"/>
        <v>3.0520517918223967E-6</v>
      </c>
      <c r="EG130">
        <f t="shared" si="526"/>
        <v>4.6922489873021236E-2</v>
      </c>
      <c r="EH130">
        <f t="shared" si="429"/>
        <v>4884.6282396646493</v>
      </c>
      <c r="EI130">
        <f t="shared" si="527"/>
        <v>2.7490764594571711E-6</v>
      </c>
      <c r="EJ130">
        <f t="shared" si="430"/>
        <v>3.4659095735053769E-4</v>
      </c>
      <c r="EK130">
        <f t="shared" si="431"/>
        <v>0.25367682287270643</v>
      </c>
      <c r="EM130">
        <f t="shared" si="432"/>
        <v>20.798723354593839</v>
      </c>
      <c r="EN130">
        <f t="shared" si="433"/>
        <v>0.76800000000000002</v>
      </c>
      <c r="EO130">
        <f t="shared" ref="EO130:EO161" si="593">$C$13+$C$18*$C$19*($C$3-EN130)+4*$C$22/$C$11</f>
        <v>104099.93700000001</v>
      </c>
      <c r="EP130">
        <f t="shared" ref="EP130:EP161" si="594">$C$11*($G$27/EO130)^(1/3)</f>
        <v>5.2687579894458549E-3</v>
      </c>
      <c r="EQ130">
        <f t="shared" si="434"/>
        <v>4.1220377845899809E-3</v>
      </c>
      <c r="ER130">
        <f t="shared" si="435"/>
        <v>1.3154113413593472E-2</v>
      </c>
      <c r="ES130">
        <f t="shared" si="436"/>
        <v>14.979750567336607</v>
      </c>
      <c r="ET130">
        <f t="shared" si="558"/>
        <v>2.9655641623699906E-6</v>
      </c>
      <c r="EU130">
        <f t="shared" si="528"/>
        <v>4.468344857677399E-2</v>
      </c>
      <c r="EV130">
        <f t="shared" si="437"/>
        <v>4651.5441817849123</v>
      </c>
      <c r="EW130">
        <f t="shared" si="529"/>
        <v>2.6826847233819271E-6</v>
      </c>
      <c r="EX130">
        <f t="shared" si="438"/>
        <v>3.2360210584889533E-4</v>
      </c>
      <c r="EY130">
        <f t="shared" si="439"/>
        <v>0.24648824661195501</v>
      </c>
      <c r="FA130">
        <f t="shared" si="440"/>
        <v>22.696417091326854</v>
      </c>
      <c r="FB130">
        <f t="shared" si="441"/>
        <v>0.76800000000000002</v>
      </c>
      <c r="FC130">
        <f t="shared" ref="FC130:FC161" si="595">$C$13+$C$18*$C$19*($C$3-FB130)+4*$C$22/$C$11</f>
        <v>104099.93700000001</v>
      </c>
      <c r="FD130">
        <f t="shared" ref="FD130:FD161" si="596">$C$11*($G$27/FC130)^(1/3)</f>
        <v>5.2687579894458549E-3</v>
      </c>
      <c r="FE130">
        <f t="shared" si="442"/>
        <v>4.1220377845899809E-3</v>
      </c>
      <c r="FF130">
        <f t="shared" si="443"/>
        <v>1.3154113413593472E-2</v>
      </c>
      <c r="FG130">
        <f t="shared" si="444"/>
        <v>14.979750567336607</v>
      </c>
      <c r="FH130">
        <f t="shared" si="559"/>
        <v>2.8831708030214505E-6</v>
      </c>
      <c r="FI130">
        <f t="shared" si="530"/>
        <v>4.2582189951234362E-2</v>
      </c>
      <c r="FJ130">
        <f t="shared" si="445"/>
        <v>4432.8032912455301</v>
      </c>
      <c r="FK130">
        <f t="shared" si="531"/>
        <v>2.6188479904725106E-6</v>
      </c>
      <c r="FL130">
        <f t="shared" si="446"/>
        <v>3.0237411057771875E-4</v>
      </c>
      <c r="FM130">
        <f t="shared" si="447"/>
        <v>0.23963997304027143</v>
      </c>
      <c r="FO130">
        <f t="shared" si="448"/>
        <v>24.594110828059868</v>
      </c>
      <c r="FP130">
        <f t="shared" si="449"/>
        <v>0.76800000000000002</v>
      </c>
      <c r="FQ130">
        <f t="shared" ref="FQ130:FQ161" si="597">$C$13+$C$18*$C$19*($C$3-FP130)+4*$C$22/$C$11</f>
        <v>104099.93700000001</v>
      </c>
      <c r="FR130">
        <f t="shared" ref="FR130:FR161" si="598">$C$11*($G$27/FQ130)^(1/3)</f>
        <v>5.2687579894458549E-3</v>
      </c>
      <c r="FS130">
        <f t="shared" si="450"/>
        <v>4.1220377845899809E-3</v>
      </c>
      <c r="FT130">
        <f t="shared" si="451"/>
        <v>1.3154113413593472E-2</v>
      </c>
      <c r="FU130">
        <f t="shared" si="452"/>
        <v>14.979750567336607</v>
      </c>
      <c r="FV130">
        <f t="shared" si="560"/>
        <v>2.8046211616421041E-6</v>
      </c>
      <c r="FW130">
        <f t="shared" si="532"/>
        <v>4.0608755261110172E-2</v>
      </c>
      <c r="FX130">
        <f t="shared" si="453"/>
        <v>4227.3688643299874</v>
      </c>
      <c r="FY130">
        <f t="shared" si="533"/>
        <v>2.5574440021956375E-6</v>
      </c>
      <c r="FZ130">
        <f t="shared" si="454"/>
        <v>2.8276020908681141E-4</v>
      </c>
      <c r="GA130">
        <f t="shared" si="455"/>
        <v>0.23311117706233522</v>
      </c>
      <c r="GC130">
        <f t="shared" si="456"/>
        <v>26.491804564792883</v>
      </c>
      <c r="GD130">
        <f t="shared" si="457"/>
        <v>0.76800000000000002</v>
      </c>
      <c r="GE130">
        <f t="shared" ref="GE130:GE161" si="599">$C$13+$C$18*$C$19*($C$3-GD130)+4*$C$22/$C$11</f>
        <v>104099.93700000001</v>
      </c>
      <c r="GF130">
        <f t="shared" ref="GF130:GF161" si="600">$C$11*($G$27/GE130)^(1/3)</f>
        <v>5.2687579894458549E-3</v>
      </c>
      <c r="GG130">
        <f t="shared" si="458"/>
        <v>4.1220377845899809E-3</v>
      </c>
      <c r="GH130">
        <f t="shared" si="459"/>
        <v>1.3154113413593472E-2</v>
      </c>
      <c r="GI130">
        <f t="shared" si="460"/>
        <v>14.979750567336607</v>
      </c>
      <c r="GJ130">
        <f t="shared" si="561"/>
        <v>2.7296827116148252E-6</v>
      </c>
      <c r="GK130">
        <f t="shared" si="534"/>
        <v>3.8753992228143248E-2</v>
      </c>
      <c r="GL130">
        <f t="shared" si="461"/>
        <v>4034.2881494482021</v>
      </c>
      <c r="GM130">
        <f t="shared" si="535"/>
        <v>2.4983571249950172E-6</v>
      </c>
      <c r="GN130">
        <f t="shared" si="462"/>
        <v>2.6462668066186174E-4</v>
      </c>
      <c r="GO130">
        <f t="shared" si="463"/>
        <v>0.22688253180642554</v>
      </c>
      <c r="GQ130">
        <f t="shared" si="464"/>
        <v>28.389498301525897</v>
      </c>
      <c r="GR130">
        <f t="shared" si="465"/>
        <v>0.76800000000000002</v>
      </c>
      <c r="GS130">
        <f t="shared" ref="GS130:GS161" si="601">$C$13+$C$18*$C$19*($C$3-GR130)+4*$C$22/$C$11</f>
        <v>104099.93700000001</v>
      </c>
      <c r="GT130">
        <f t="shared" ref="GT130:GT161" si="602">$C$11*($G$27/GS130)^(1/3)</f>
        <v>5.2687579894458549E-3</v>
      </c>
      <c r="GU130">
        <f t="shared" si="466"/>
        <v>4.1220377845899809E-3</v>
      </c>
      <c r="GV130">
        <f t="shared" si="467"/>
        <v>1.3154113413593472E-2</v>
      </c>
      <c r="GW130">
        <f t="shared" si="468"/>
        <v>14.979750567336607</v>
      </c>
      <c r="GX130">
        <f t="shared" si="562"/>
        <v>2.6581394982994625E-6</v>
      </c>
      <c r="GY130">
        <f t="shared" si="536"/>
        <v>3.7009483946505682E-2</v>
      </c>
      <c r="GZ130">
        <f t="shared" si="469"/>
        <v>3852.6849472337531</v>
      </c>
      <c r="HA130">
        <f t="shared" si="537"/>
        <v>2.4414779650887613E-6</v>
      </c>
      <c r="HB130">
        <f t="shared" si="470"/>
        <v>2.4785162419101007E-4</v>
      </c>
      <c r="HC130">
        <f t="shared" si="471"/>
        <v>0.22093608781075902</v>
      </c>
      <c r="HE130">
        <f t="shared" si="472"/>
        <v>30.287192038258912</v>
      </c>
      <c r="HF130">
        <f t="shared" si="473"/>
        <v>0.76800000000000002</v>
      </c>
      <c r="HG130">
        <f t="shared" si="343"/>
        <v>104099.93700000001</v>
      </c>
      <c r="HH130">
        <f t="shared" si="344"/>
        <v>5.2687579894458549E-3</v>
      </c>
      <c r="HI130">
        <f t="shared" si="568"/>
        <v>4.1220377845899809E-3</v>
      </c>
      <c r="HJ130">
        <f t="shared" si="474"/>
        <v>1.3154113413593472E-2</v>
      </c>
      <c r="HK130">
        <f t="shared" si="475"/>
        <v>14.979750567336607</v>
      </c>
      <c r="HL130">
        <f t="shared" si="563"/>
        <v>2.5897908131223351E-6</v>
      </c>
      <c r="HM130">
        <f t="shared" si="538"/>
        <v>3.5367484481741505E-2</v>
      </c>
      <c r="HN130">
        <f t="shared" si="476"/>
        <v>3681.7529063977686</v>
      </c>
      <c r="HO130">
        <f t="shared" si="539"/>
        <v>2.3867030062633295E-6</v>
      </c>
      <c r="HP130">
        <f t="shared" si="477"/>
        <v>2.3232385572774362E-4</v>
      </c>
      <c r="HQ130">
        <f t="shared" si="478"/>
        <v>0.2152551628180322</v>
      </c>
      <c r="HS130">
        <f t="shared" si="479"/>
        <v>32.184885774991926</v>
      </c>
      <c r="HT130">
        <f t="shared" si="480"/>
        <v>0.76800000000000002</v>
      </c>
      <c r="HU130">
        <f t="shared" si="345"/>
        <v>104099.93700000001</v>
      </c>
      <c r="HV130">
        <f t="shared" si="346"/>
        <v>5.2687579894458549E-3</v>
      </c>
      <c r="HW130">
        <f t="shared" si="569"/>
        <v>4.1220377845899809E-3</v>
      </c>
      <c r="HX130">
        <f t="shared" si="481"/>
        <v>1.3154113413593472E-2</v>
      </c>
      <c r="HY130">
        <f t="shared" si="482"/>
        <v>14.979750567336607</v>
      </c>
      <c r="HZ130">
        <f t="shared" si="564"/>
        <v>2.5244499833357656E-6</v>
      </c>
      <c r="IA130">
        <f t="shared" si="540"/>
        <v>3.3820860493292443E-2</v>
      </c>
      <c r="IB130">
        <f t="shared" si="483"/>
        <v>3520.7494466375324</v>
      </c>
      <c r="IC130">
        <f t="shared" si="541"/>
        <v>2.333934269321634E-6</v>
      </c>
      <c r="ID130">
        <f t="shared" si="484"/>
        <v>2.1794191360398007E-4</v>
      </c>
      <c r="IE130">
        <f t="shared" si="485"/>
        <v>0.20982424118408904</v>
      </c>
      <c r="IG130">
        <f t="shared" si="486"/>
        <v>34.082579511724944</v>
      </c>
      <c r="IH130">
        <f t="shared" si="487"/>
        <v>0.76800000000000002</v>
      </c>
      <c r="II130">
        <f t="shared" si="347"/>
        <v>104099.93700000001</v>
      </c>
      <c r="IJ130">
        <f t="shared" si="348"/>
        <v>5.2687579894458549E-3</v>
      </c>
      <c r="IK130">
        <f t="shared" si="570"/>
        <v>4.1220377845899809E-3</v>
      </c>
      <c r="IL130">
        <f t="shared" si="488"/>
        <v>1.3154113413593472E-2</v>
      </c>
      <c r="IM130">
        <f t="shared" si="489"/>
        <v>14.979750567336607</v>
      </c>
      <c r="IN130">
        <f t="shared" si="565"/>
        <v>2.4619432666653487E-6</v>
      </c>
      <c r="IO130">
        <f t="shared" si="542"/>
        <v>3.2363038288211118E-2</v>
      </c>
      <c r="IP130">
        <f t="shared" si="490"/>
        <v>3368.9902469313656</v>
      </c>
      <c r="IQ130">
        <f t="shared" si="543"/>
        <v>2.2830789919141115E-6</v>
      </c>
      <c r="IR130">
        <f t="shared" si="491"/>
        <v>2.0461316021302671E-4</v>
      </c>
      <c r="IS130">
        <f t="shared" si="492"/>
        <v>0.20462888200452289</v>
      </c>
      <c r="IU130">
        <f t="shared" si="493"/>
        <v>35.980273248457955</v>
      </c>
      <c r="IV130">
        <f t="shared" si="494"/>
        <v>0.76800000000000002</v>
      </c>
      <c r="IW130">
        <f t="shared" si="349"/>
        <v>104099.93700000001</v>
      </c>
      <c r="IX130">
        <f t="shared" si="350"/>
        <v>5.2687579894458549E-3</v>
      </c>
      <c r="IY130">
        <f t="shared" si="571"/>
        <v>4.1220377845899809E-3</v>
      </c>
      <c r="IZ130">
        <f t="shared" si="495"/>
        <v>1.3154113413593472E-2</v>
      </c>
      <c r="JA130">
        <f t="shared" si="496"/>
        <v>14.979750567336607</v>
      </c>
      <c r="JB130">
        <f t="shared" si="566"/>
        <v>2.4021088411201305E-6</v>
      </c>
      <c r="JC130">
        <f t="shared" si="544"/>
        <v>3.0987955774140326E-2</v>
      </c>
      <c r="JD130">
        <f t="shared" si="497"/>
        <v>3225.8442438467941</v>
      </c>
      <c r="JE130">
        <f t="shared" si="545"/>
        <v>2.2340493275498705E-6</v>
      </c>
      <c r="JF130">
        <f t="shared" si="498"/>
        <v>1.9225297071368959E-4</v>
      </c>
      <c r="JG130">
        <f t="shared" si="499"/>
        <v>0.19965563515091653</v>
      </c>
      <c r="JI130">
        <f t="shared" si="500"/>
        <v>37.877966985190973</v>
      </c>
      <c r="JJ130">
        <f t="shared" si="501"/>
        <v>0.76800000000000002</v>
      </c>
      <c r="JK130">
        <f t="shared" si="351"/>
        <v>104099.93700000001</v>
      </c>
      <c r="JL130">
        <f t="shared" si="352"/>
        <v>5.2687579894458549E-3</v>
      </c>
      <c r="JM130">
        <f t="shared" si="572"/>
        <v>4.1220377845899809E-3</v>
      </c>
      <c r="JN130">
        <f t="shared" si="502"/>
        <v>1.3154113413593472E-2</v>
      </c>
      <c r="JO130">
        <f t="shared" si="503"/>
        <v>14.979750567336607</v>
      </c>
      <c r="JP130">
        <f t="shared" si="567"/>
        <v>2.3447958811905805E-6</v>
      </c>
      <c r="JQ130">
        <f t="shared" si="546"/>
        <v>2.9690018833773663E-2</v>
      </c>
      <c r="JR130">
        <f t="shared" si="504"/>
        <v>3090.729090124652</v>
      </c>
      <c r="JS130">
        <f t="shared" si="547"/>
        <v>2.1867620626504017E-6</v>
      </c>
      <c r="JT130">
        <f t="shared" si="505"/>
        <v>1.8078399991843162E-4</v>
      </c>
      <c r="JU130">
        <f t="shared" si="506"/>
        <v>0.19489196448736015</v>
      </c>
    </row>
    <row r="131" spans="2:281">
      <c r="B131">
        <v>0.97</v>
      </c>
      <c r="C131">
        <f t="shared" si="353"/>
        <v>1.840762924631024</v>
      </c>
      <c r="D131">
        <f t="shared" si="354"/>
        <v>0.77600000000000002</v>
      </c>
      <c r="E131">
        <f t="shared" si="573"/>
        <v>103915.50900000001</v>
      </c>
      <c r="F131">
        <f t="shared" si="574"/>
        <v>5.2718731234499975E-3</v>
      </c>
      <c r="G131">
        <f t="shared" si="355"/>
        <v>4.1208197547539221E-3</v>
      </c>
      <c r="H131">
        <f t="shared" si="356"/>
        <v>1.3177459176434725E-2</v>
      </c>
      <c r="I131">
        <f t="shared" si="357"/>
        <v>14.997469249955531</v>
      </c>
      <c r="J131">
        <f t="shared" si="548"/>
        <v>4.0666144368075701E-6</v>
      </c>
      <c r="K131">
        <f t="shared" si="507"/>
        <v>7.5791294250275171E-2</v>
      </c>
      <c r="L131">
        <f t="shared" ref="L131:L162" si="603">K131*E131</f>
        <v>7875.8909197861185</v>
      </c>
      <c r="M131">
        <f t="shared" si="508"/>
        <v>3.4907673662211045E-6</v>
      </c>
      <c r="N131">
        <f t="shared" si="509"/>
        <v>6.5932898401854323E-4</v>
      </c>
      <c r="O131">
        <f t="shared" si="359"/>
        <v>0.33800403811681301</v>
      </c>
      <c r="Q131">
        <f t="shared" si="360"/>
        <v>3.7384566613640384</v>
      </c>
      <c r="R131">
        <f t="shared" si="361"/>
        <v>0.77600000000000002</v>
      </c>
      <c r="S131">
        <f t="shared" si="575"/>
        <v>103915.50900000001</v>
      </c>
      <c r="T131">
        <f t="shared" si="576"/>
        <v>5.2718731234499975E-3</v>
      </c>
      <c r="U131">
        <f t="shared" si="362"/>
        <v>4.1208197547539221E-3</v>
      </c>
      <c r="V131">
        <f t="shared" si="363"/>
        <v>1.3177459176434725E-2</v>
      </c>
      <c r="W131">
        <f t="shared" si="364"/>
        <v>14.997469249955531</v>
      </c>
      <c r="X131">
        <f t="shared" si="549"/>
        <v>3.9281497101131626E-6</v>
      </c>
      <c r="Y131">
        <f t="shared" si="510"/>
        <v>7.1658647381209251E-2</v>
      </c>
      <c r="Z131">
        <f t="shared" ref="Z131:Z162" si="604">Y131*S131</f>
        <v>7446.4448168698764</v>
      </c>
      <c r="AA131">
        <f t="shared" si="511"/>
        <v>3.394263458617197E-6</v>
      </c>
      <c r="AB131">
        <f t="shared" si="366"/>
        <v>6.1128500562103374E-4</v>
      </c>
      <c r="AC131">
        <f t="shared" si="367"/>
        <v>0.32649529110213621</v>
      </c>
      <c r="AE131">
        <f t="shared" si="368"/>
        <v>5.6361503980970529</v>
      </c>
      <c r="AF131">
        <f t="shared" si="369"/>
        <v>0.77600000000000002</v>
      </c>
      <c r="AG131">
        <f t="shared" si="577"/>
        <v>103915.50900000001</v>
      </c>
      <c r="AH131">
        <f t="shared" si="578"/>
        <v>5.2718731234499975E-3</v>
      </c>
      <c r="AI131">
        <f t="shared" si="370"/>
        <v>4.1208197547539221E-3</v>
      </c>
      <c r="AJ131">
        <f t="shared" si="371"/>
        <v>1.3177459176434725E-2</v>
      </c>
      <c r="AK131">
        <f t="shared" si="372"/>
        <v>14.997469249955531</v>
      </c>
      <c r="AL131">
        <f t="shared" si="550"/>
        <v>3.7971642426641212E-6</v>
      </c>
      <c r="AM131">
        <f t="shared" si="512"/>
        <v>6.7807974470933091E-2</v>
      </c>
      <c r="AN131">
        <f t="shared" ref="AN131:AN162" si="605">AM131*AG131</f>
        <v>7046.3001814060181</v>
      </c>
      <c r="AO131">
        <f t="shared" si="513"/>
        <v>3.3018066003142231E-6</v>
      </c>
      <c r="AP131">
        <f t="shared" si="374"/>
        <v>5.671708127710939E-4</v>
      </c>
      <c r="AQ131">
        <f t="shared" si="375"/>
        <v>0.31560819629136022</v>
      </c>
      <c r="AS131">
        <f t="shared" si="376"/>
        <v>7.5338441348300673</v>
      </c>
      <c r="AT131">
        <f t="shared" si="377"/>
        <v>0.77600000000000002</v>
      </c>
      <c r="AU131">
        <f t="shared" si="579"/>
        <v>103915.50900000001</v>
      </c>
      <c r="AV131">
        <f t="shared" si="580"/>
        <v>5.2718731234499975E-3</v>
      </c>
      <c r="AW131">
        <f t="shared" si="378"/>
        <v>4.1208197547539221E-3</v>
      </c>
      <c r="AX131">
        <f t="shared" si="379"/>
        <v>1.3177459176434725E-2</v>
      </c>
      <c r="AY131">
        <f t="shared" si="380"/>
        <v>14.997469249955531</v>
      </c>
      <c r="AZ131">
        <f t="shared" si="551"/>
        <v>3.6731512396452528E-6</v>
      </c>
      <c r="BA131">
        <f t="shared" si="514"/>
        <v>6.4217129309112164E-2</v>
      </c>
      <c r="BB131">
        <f t="shared" ref="BB131:BB162" si="606">BA131*AU131</f>
        <v>6673.1556786752089</v>
      </c>
      <c r="BC131">
        <f t="shared" si="515"/>
        <v>3.2131920909991303E-6</v>
      </c>
      <c r="BD131">
        <f t="shared" si="382"/>
        <v>5.2664051561124639E-4</v>
      </c>
      <c r="BE131">
        <f t="shared" si="383"/>
        <v>0.30530063051380002</v>
      </c>
      <c r="BG131">
        <f t="shared" si="384"/>
        <v>9.4315378715630818</v>
      </c>
      <c r="BH131">
        <f t="shared" si="385"/>
        <v>0.77600000000000002</v>
      </c>
      <c r="BI131">
        <f t="shared" si="581"/>
        <v>103915.50900000001</v>
      </c>
      <c r="BJ131">
        <f t="shared" si="582"/>
        <v>5.2718731234499975E-3</v>
      </c>
      <c r="BK131">
        <f t="shared" si="386"/>
        <v>4.1208197547539221E-3</v>
      </c>
      <c r="BL131">
        <f t="shared" si="387"/>
        <v>1.3177459176434725E-2</v>
      </c>
      <c r="BM131">
        <f t="shared" si="388"/>
        <v>14.997469249955531</v>
      </c>
      <c r="BN131">
        <f t="shared" si="552"/>
        <v>3.5556434840405734E-6</v>
      </c>
      <c r="BO131">
        <f t="shared" si="516"/>
        <v>6.086588442195888E-2</v>
      </c>
      <c r="BP131">
        <f t="shared" ref="BP131:BP162" si="607">BO131*BI131</f>
        <v>6324.9093604430282</v>
      </c>
      <c r="BQ131">
        <f t="shared" si="517"/>
        <v>3.1282266682576066E-6</v>
      </c>
      <c r="BR131">
        <f t="shared" si="390"/>
        <v>4.8938044369248855E-4</v>
      </c>
      <c r="BS131">
        <f t="shared" si="391"/>
        <v>0.29553376017936889</v>
      </c>
      <c r="BU131">
        <f t="shared" si="392"/>
        <v>11.329231608296096</v>
      </c>
      <c r="BV131">
        <f t="shared" si="393"/>
        <v>0.77600000000000002</v>
      </c>
      <c r="BW131">
        <f t="shared" si="583"/>
        <v>103915.50900000001</v>
      </c>
      <c r="BX131">
        <f t="shared" si="584"/>
        <v>5.2718731234499975E-3</v>
      </c>
      <c r="BY131">
        <f t="shared" si="394"/>
        <v>4.1208197547539221E-3</v>
      </c>
      <c r="BZ131">
        <f t="shared" si="395"/>
        <v>1.3177459176434725E-2</v>
      </c>
      <c r="CA131">
        <f t="shared" si="396"/>
        <v>14.997469249955531</v>
      </c>
      <c r="CB131">
        <f t="shared" si="553"/>
        <v>3.4442099240958879E-6</v>
      </c>
      <c r="CC131">
        <f t="shared" si="518"/>
        <v>5.7735752502076187E-2</v>
      </c>
      <c r="CD131">
        <f t="shared" ref="CD131:CD162" si="608">CC131*BW131</f>
        <v>5999.6401087512713</v>
      </c>
      <c r="CE131">
        <f t="shared" si="519"/>
        <v>3.0467278389868196E-6</v>
      </c>
      <c r="CF131">
        <f t="shared" si="398"/>
        <v>4.5510600422718158E-4</v>
      </c>
      <c r="CG131">
        <f t="shared" si="399"/>
        <v>0.2862717576393386</v>
      </c>
      <c r="CI131">
        <f t="shared" si="400"/>
        <v>13.226925345029111</v>
      </c>
      <c r="CJ131">
        <f t="shared" si="401"/>
        <v>0.77600000000000002</v>
      </c>
      <c r="CK131">
        <f t="shared" si="585"/>
        <v>103915.50900000001</v>
      </c>
      <c r="CL131">
        <f t="shared" si="586"/>
        <v>5.2718731234499975E-3</v>
      </c>
      <c r="CM131">
        <f t="shared" si="402"/>
        <v>4.1208197547539221E-3</v>
      </c>
      <c r="CN131">
        <f t="shared" si="403"/>
        <v>1.3177459176434725E-2</v>
      </c>
      <c r="CO131">
        <f t="shared" si="404"/>
        <v>14.997469249955531</v>
      </c>
      <c r="CP131">
        <f t="shared" si="554"/>
        <v>3.3384525771132289E-6</v>
      </c>
      <c r="CQ131">
        <f t="shared" si="520"/>
        <v>5.4809825354102407E-2</v>
      </c>
      <c r="CR131">
        <f t="shared" ref="CR131:CR162" si="609">CQ131*CK131</f>
        <v>5695.5908998726572</v>
      </c>
      <c r="CS131">
        <f t="shared" si="521"/>
        <v>2.9685232497421266E-6</v>
      </c>
      <c r="CT131">
        <f t="shared" si="406"/>
        <v>4.2355885795485466E-4</v>
      </c>
      <c r="CU131">
        <f t="shared" si="407"/>
        <v>0.27748154383959567</v>
      </c>
      <c r="CW131">
        <f t="shared" si="408"/>
        <v>15.124619081762125</v>
      </c>
      <c r="CX131">
        <f t="shared" si="409"/>
        <v>0.77600000000000002</v>
      </c>
      <c r="CY131">
        <f t="shared" si="587"/>
        <v>103915.50900000001</v>
      </c>
      <c r="CZ131">
        <f t="shared" si="588"/>
        <v>5.2718731234499975E-3</v>
      </c>
      <c r="DA131">
        <f t="shared" si="410"/>
        <v>4.1208197547539221E-3</v>
      </c>
      <c r="DB131">
        <f t="shared" si="411"/>
        <v>1.3177459176434725E-2</v>
      </c>
      <c r="DC131">
        <f t="shared" si="412"/>
        <v>14.997469249955531</v>
      </c>
      <c r="DD131">
        <f t="shared" si="555"/>
        <v>3.2380037186446364E-6</v>
      </c>
      <c r="DE131">
        <f t="shared" si="522"/>
        <v>5.2072628572045886E-2</v>
      </c>
      <c r="DF131">
        <f t="shared" ref="DF131:DF162" si="610">DE131*CY131</f>
        <v>5411.1537030320915</v>
      </c>
      <c r="DG131">
        <f t="shared" si="523"/>
        <v>2.8934500938882945E-6</v>
      </c>
      <c r="DH131">
        <f t="shared" si="414"/>
        <v>3.9450437964222348E-4</v>
      </c>
      <c r="DI131">
        <f t="shared" si="415"/>
        <v>0.26913255469538211</v>
      </c>
      <c r="DK131">
        <f t="shared" si="416"/>
        <v>17.022312818495141</v>
      </c>
      <c r="DL131">
        <f t="shared" si="417"/>
        <v>0.77600000000000002</v>
      </c>
      <c r="DM131">
        <f t="shared" si="589"/>
        <v>103915.50900000001</v>
      </c>
      <c r="DN131">
        <f t="shared" si="590"/>
        <v>5.2718731234499975E-3</v>
      </c>
      <c r="DO131">
        <f t="shared" si="418"/>
        <v>4.1208197547539221E-3</v>
      </c>
      <c r="DP131">
        <f t="shared" si="419"/>
        <v>1.3177459176434725E-2</v>
      </c>
      <c r="DQ131">
        <f t="shared" si="420"/>
        <v>14.997469249955531</v>
      </c>
      <c r="DR131">
        <f t="shared" si="556"/>
        <v>3.1425233292965985E-6</v>
      </c>
      <c r="DS131">
        <f t="shared" si="524"/>
        <v>4.9509990350577716E-2</v>
      </c>
      <c r="DT131">
        <f t="shared" ref="DT131:DT162" si="611">DS131*DM131</f>
        <v>5144.8558478653722</v>
      </c>
      <c r="DU131">
        <f t="shared" si="525"/>
        <v>2.8213545535256411E-6</v>
      </c>
      <c r="DV131">
        <f t="shared" si="422"/>
        <v>3.677293737239716E-4</v>
      </c>
      <c r="DW131">
        <f t="shared" si="423"/>
        <v>0.26119652887781347</v>
      </c>
      <c r="DY131">
        <f t="shared" si="424"/>
        <v>18.920006555228156</v>
      </c>
      <c r="DZ131">
        <f t="shared" si="425"/>
        <v>0.77600000000000002</v>
      </c>
      <c r="EA131">
        <f t="shared" si="591"/>
        <v>103915.50900000001</v>
      </c>
      <c r="EB131">
        <f t="shared" si="592"/>
        <v>5.2718731234499975E-3</v>
      </c>
      <c r="EC131">
        <f t="shared" si="426"/>
        <v>4.1208197547539221E-3</v>
      </c>
      <c r="ED131">
        <f t="shared" si="427"/>
        <v>1.3177459176434725E-2</v>
      </c>
      <c r="EE131">
        <f t="shared" si="428"/>
        <v>14.997469249955531</v>
      </c>
      <c r="EF131">
        <f t="shared" si="557"/>
        <v>3.0516967741722758E-6</v>
      </c>
      <c r="EG131">
        <f t="shared" si="526"/>
        <v>4.7108922999175497E-2</v>
      </c>
      <c r="EH131">
        <f t="shared" ref="EH131:EH162" si="612">EG131*EA131</f>
        <v>4895.3477119011286</v>
      </c>
      <c r="EI131">
        <f t="shared" si="527"/>
        <v>2.7520912742579785E-6</v>
      </c>
      <c r="EJ131">
        <f t="shared" si="430"/>
        <v>3.4304001870441087E-4</v>
      </c>
      <c r="EK131">
        <f t="shared" si="431"/>
        <v>0.25364731493650833</v>
      </c>
      <c r="EM131">
        <f t="shared" si="432"/>
        <v>20.81770029196117</v>
      </c>
      <c r="EN131">
        <f t="shared" si="433"/>
        <v>0.77600000000000002</v>
      </c>
      <c r="EO131">
        <f t="shared" si="593"/>
        <v>103915.50900000001</v>
      </c>
      <c r="EP131">
        <f t="shared" si="594"/>
        <v>5.2718731234499975E-3</v>
      </c>
      <c r="EQ131">
        <f t="shared" si="434"/>
        <v>4.1208197547539221E-3</v>
      </c>
      <c r="ER131">
        <f t="shared" si="435"/>
        <v>1.3177459176434725E-2</v>
      </c>
      <c r="ES131">
        <f t="shared" si="436"/>
        <v>14.997469249955531</v>
      </c>
      <c r="ET131">
        <f t="shared" si="558"/>
        <v>2.9652326925010971E-6</v>
      </c>
      <c r="EU131">
        <f t="shared" si="528"/>
        <v>4.4857515876984867E-2</v>
      </c>
      <c r="EV131">
        <f t="shared" ref="EV131:EV162" si="613">EU131*EO131</f>
        <v>4661.3915948324639</v>
      </c>
      <c r="EW131">
        <f t="shared" si="529"/>
        <v>2.6855228709623841E-6</v>
      </c>
      <c r="EX131">
        <f t="shared" si="438"/>
        <v>3.202600167216378E-4</v>
      </c>
      <c r="EY131">
        <f t="shared" si="439"/>
        <v>0.24646069589232297</v>
      </c>
      <c r="FA131">
        <f t="shared" si="440"/>
        <v>22.715394028694185</v>
      </c>
      <c r="FB131">
        <f t="shared" si="441"/>
        <v>0.77600000000000002</v>
      </c>
      <c r="FC131">
        <f t="shared" si="595"/>
        <v>103915.50900000001</v>
      </c>
      <c r="FD131">
        <f t="shared" si="596"/>
        <v>5.2718731234499975E-3</v>
      </c>
      <c r="FE131">
        <f t="shared" si="442"/>
        <v>4.1208197547539221E-3</v>
      </c>
      <c r="FF131">
        <f t="shared" si="443"/>
        <v>1.3177459176434725E-2</v>
      </c>
      <c r="FG131">
        <f t="shared" si="444"/>
        <v>14.997469249955531</v>
      </c>
      <c r="FH131">
        <f t="shared" si="559"/>
        <v>2.8828610772657199E-6</v>
      </c>
      <c r="FI131">
        <f t="shared" si="530"/>
        <v>4.2744838599468142E-2</v>
      </c>
      <c r="FJ131">
        <f t="shared" ref="FJ131:FJ162" si="614">FI131*FC131</f>
        <v>4441.8516601865795</v>
      </c>
      <c r="FK131">
        <f t="shared" si="531"/>
        <v>2.6215194628106629E-6</v>
      </c>
      <c r="FL131">
        <f t="shared" si="446"/>
        <v>2.9922892716104473E-4</v>
      </c>
      <c r="FM131">
        <f t="shared" si="447"/>
        <v>0.23961422962206139</v>
      </c>
      <c r="FO131">
        <f t="shared" si="448"/>
        <v>24.613087765427199</v>
      </c>
      <c r="FP131">
        <f t="shared" si="449"/>
        <v>0.77600000000000002</v>
      </c>
      <c r="FQ131">
        <f t="shared" si="597"/>
        <v>103915.50900000001</v>
      </c>
      <c r="FR131">
        <f t="shared" si="598"/>
        <v>5.2718731234499975E-3</v>
      </c>
      <c r="FS131">
        <f t="shared" si="450"/>
        <v>4.1208197547539221E-3</v>
      </c>
      <c r="FT131">
        <f t="shared" si="451"/>
        <v>1.3177459176434725E-2</v>
      </c>
      <c r="FU131">
        <f t="shared" si="452"/>
        <v>14.997469249955531</v>
      </c>
      <c r="FV131">
        <f t="shared" si="560"/>
        <v>2.8043315266621695E-6</v>
      </c>
      <c r="FW131">
        <f t="shared" si="532"/>
        <v>4.0760853487027737E-2</v>
      </c>
      <c r="FX131">
        <f t="shared" ref="FX131:FX162" si="615">FW131*FQ131</f>
        <v>4235.6848373789126</v>
      </c>
      <c r="FY131">
        <f t="shared" si="533"/>
        <v>2.559958235879173E-6</v>
      </c>
      <c r="FZ131">
        <f t="shared" si="454"/>
        <v>2.7980066542515809E-4</v>
      </c>
      <c r="GA131">
        <f t="shared" si="455"/>
        <v>0.23308710352541182</v>
      </c>
      <c r="GC131">
        <f t="shared" si="456"/>
        <v>26.510781502160214</v>
      </c>
      <c r="GD131">
        <f t="shared" si="457"/>
        <v>0.77600000000000002</v>
      </c>
      <c r="GE131">
        <f t="shared" si="599"/>
        <v>103915.50900000001</v>
      </c>
      <c r="GF131">
        <f t="shared" si="600"/>
        <v>5.2718731234499975E-3</v>
      </c>
      <c r="GG131">
        <f t="shared" si="458"/>
        <v>4.1208197547539221E-3</v>
      </c>
      <c r="GH131">
        <f t="shared" si="459"/>
        <v>1.3177459176434725E-2</v>
      </c>
      <c r="GI131">
        <f t="shared" si="460"/>
        <v>14.997469249955531</v>
      </c>
      <c r="GJ131">
        <f t="shared" si="561"/>
        <v>2.7294116510451957E-6</v>
      </c>
      <c r="GK131">
        <f t="shared" si="534"/>
        <v>3.8896336332319398E-2</v>
      </c>
      <c r="GL131">
        <f t="shared" ref="GL131:GL162" si="616">GK131*GE131</f>
        <v>4041.9325882081635</v>
      </c>
      <c r="GM131">
        <f t="shared" si="535"/>
        <v>2.5007230317672203E-6</v>
      </c>
      <c r="GN131">
        <f t="shared" si="462"/>
        <v>2.6184214995066227E-4</v>
      </c>
      <c r="GO131">
        <f t="shared" si="463"/>
        <v>0.2268600021153194</v>
      </c>
      <c r="GQ131">
        <f t="shared" si="464"/>
        <v>28.408475238893228</v>
      </c>
      <c r="GR131">
        <f t="shared" si="465"/>
        <v>0.77600000000000002</v>
      </c>
      <c r="GS131">
        <f t="shared" si="601"/>
        <v>103915.50900000001</v>
      </c>
      <c r="GT131">
        <f t="shared" si="602"/>
        <v>5.2718731234499975E-3</v>
      </c>
      <c r="GU131">
        <f t="shared" si="466"/>
        <v>4.1208197547539221E-3</v>
      </c>
      <c r="GV131">
        <f t="shared" si="467"/>
        <v>1.3177459176434725E-2</v>
      </c>
      <c r="GW131">
        <f t="shared" si="468"/>
        <v>14.997469249955531</v>
      </c>
      <c r="GX131">
        <f t="shared" si="562"/>
        <v>2.65788562063955E-6</v>
      </c>
      <c r="GY131">
        <f t="shared" si="536"/>
        <v>3.7142804658256409E-2</v>
      </c>
      <c r="GZ131">
        <f t="shared" ref="GZ131:GZ162" si="617">GY131*GS131</f>
        <v>3859.7134517502859</v>
      </c>
      <c r="HA131">
        <f t="shared" si="537"/>
        <v>2.4437039607247768E-6</v>
      </c>
      <c r="HB131">
        <f t="shared" si="470"/>
        <v>2.4523208233601389E-4</v>
      </c>
      <c r="HC131">
        <f t="shared" si="471"/>
        <v>0.22091498630837381</v>
      </c>
      <c r="HE131">
        <f t="shared" si="472"/>
        <v>30.306168975626242</v>
      </c>
      <c r="HF131">
        <f t="shared" si="473"/>
        <v>0.77600000000000002</v>
      </c>
      <c r="HG131">
        <f t="shared" si="343"/>
        <v>103915.50900000001</v>
      </c>
      <c r="HH131">
        <f t="shared" si="344"/>
        <v>5.2718731234499975E-3</v>
      </c>
      <c r="HI131">
        <f t="shared" si="568"/>
        <v>4.1208197547539221E-3</v>
      </c>
      <c r="HJ131">
        <f t="shared" si="474"/>
        <v>1.3177459176434725E-2</v>
      </c>
      <c r="HK131">
        <f t="shared" si="475"/>
        <v>14.997469249955531</v>
      </c>
      <c r="HL131">
        <f t="shared" si="563"/>
        <v>2.5895528407587223E-6</v>
      </c>
      <c r="HM131">
        <f t="shared" si="538"/>
        <v>3.5492452723944454E-2</v>
      </c>
      <c r="HN131">
        <f t="shared" si="476"/>
        <v>3688.2162904671245</v>
      </c>
      <c r="HO131">
        <f t="shared" si="539"/>
        <v>2.3887970378677218E-6</v>
      </c>
      <c r="HP131">
        <f t="shared" si="477"/>
        <v>2.2985984702699868E-4</v>
      </c>
      <c r="HQ131">
        <f t="shared" si="478"/>
        <v>0.2152353833132104</v>
      </c>
      <c r="HS131">
        <f t="shared" si="479"/>
        <v>32.203862712359253</v>
      </c>
      <c r="HT131">
        <f t="shared" si="480"/>
        <v>0.77600000000000002</v>
      </c>
      <c r="HU131">
        <f t="shared" si="345"/>
        <v>103915.50900000001</v>
      </c>
      <c r="HV131">
        <f t="shared" si="346"/>
        <v>5.2718731234499975E-3</v>
      </c>
      <c r="HW131">
        <f t="shared" si="569"/>
        <v>4.1208197547539221E-3</v>
      </c>
      <c r="HX131">
        <f t="shared" si="481"/>
        <v>1.3177459176434725E-2</v>
      </c>
      <c r="HY131">
        <f t="shared" si="482"/>
        <v>14.997469249955531</v>
      </c>
      <c r="HZ131">
        <f t="shared" si="564"/>
        <v>2.5242267425835487E-6</v>
      </c>
      <c r="IA131">
        <f t="shared" si="540"/>
        <v>3.3938092612052335E-2</v>
      </c>
      <c r="IB131">
        <f t="shared" si="483"/>
        <v>3526.6941682705583</v>
      </c>
      <c r="IC131">
        <f t="shared" si="541"/>
        <v>2.3359038411332821E-6</v>
      </c>
      <c r="ID131">
        <f t="shared" si="484"/>
        <v>2.1562451842321973E-4</v>
      </c>
      <c r="IE131">
        <f t="shared" si="485"/>
        <v>0.20980568612388009</v>
      </c>
      <c r="IG131">
        <f t="shared" si="486"/>
        <v>34.101556449092264</v>
      </c>
      <c r="IH131">
        <f t="shared" si="487"/>
        <v>0.77600000000000002</v>
      </c>
      <c r="II131">
        <f t="shared" si="347"/>
        <v>103915.50900000001</v>
      </c>
      <c r="IJ131">
        <f t="shared" si="348"/>
        <v>5.2718731234499975E-3</v>
      </c>
      <c r="IK131">
        <f t="shared" si="570"/>
        <v>4.1208197547539221E-3</v>
      </c>
      <c r="IL131">
        <f t="shared" si="488"/>
        <v>1.3177459176434725E-2</v>
      </c>
      <c r="IM131">
        <f t="shared" si="489"/>
        <v>14.997469249955531</v>
      </c>
      <c r="IN131">
        <f t="shared" si="565"/>
        <v>2.4617336787295356E-6</v>
      </c>
      <c r="IO131">
        <f t="shared" si="542"/>
        <v>3.247310079936952E-2</v>
      </c>
      <c r="IP131">
        <f t="shared" si="490"/>
        <v>3374.4587983747906</v>
      </c>
      <c r="IQ131">
        <f t="shared" si="543"/>
        <v>2.2849311896997969E-6</v>
      </c>
      <c r="IR131">
        <f t="shared" si="491"/>
        <v>2.0243396453368542E-4</v>
      </c>
      <c r="IS131">
        <f t="shared" si="492"/>
        <v>0.20461146172292349</v>
      </c>
      <c r="IU131">
        <f t="shared" si="493"/>
        <v>35.999250185825282</v>
      </c>
      <c r="IV131">
        <f t="shared" si="494"/>
        <v>0.77600000000000002</v>
      </c>
      <c r="IW131">
        <f t="shared" si="349"/>
        <v>103915.50900000001</v>
      </c>
      <c r="IX131">
        <f t="shared" si="350"/>
        <v>5.2718731234499975E-3</v>
      </c>
      <c r="IY131">
        <f t="shared" si="571"/>
        <v>4.1208197547539221E-3</v>
      </c>
      <c r="IZ131">
        <f t="shared" si="495"/>
        <v>1.3177459176434725E-2</v>
      </c>
      <c r="JA131">
        <f t="shared" si="496"/>
        <v>14.997469249955531</v>
      </c>
      <c r="JB131">
        <f t="shared" si="566"/>
        <v>2.4019119138880604E-6</v>
      </c>
      <c r="JC131">
        <f t="shared" si="544"/>
        <v>3.1091369673385074E-2</v>
      </c>
      <c r="JD131">
        <f t="shared" si="497"/>
        <v>3230.8755051169737</v>
      </c>
      <c r="JE131">
        <f t="shared" si="545"/>
        <v>2.235790841663494E-6</v>
      </c>
      <c r="JF131">
        <f t="shared" si="498"/>
        <v>1.9020403744061124E-4</v>
      </c>
      <c r="JG131">
        <f t="shared" si="499"/>
        <v>0.1996392671866826</v>
      </c>
      <c r="JI131">
        <f t="shared" si="500"/>
        <v>37.896943922558293</v>
      </c>
      <c r="JJ131">
        <f t="shared" si="501"/>
        <v>0.77600000000000002</v>
      </c>
      <c r="JK131">
        <f t="shared" si="351"/>
        <v>103915.50900000001</v>
      </c>
      <c r="JL131">
        <f t="shared" si="352"/>
        <v>5.2718731234499975E-3</v>
      </c>
      <c r="JM131">
        <f t="shared" si="572"/>
        <v>4.1208197547539221E-3</v>
      </c>
      <c r="JN131">
        <f t="shared" si="502"/>
        <v>1.3177459176434725E-2</v>
      </c>
      <c r="JO131">
        <f t="shared" si="503"/>
        <v>14.997469249955531</v>
      </c>
      <c r="JP131">
        <f t="shared" si="567"/>
        <v>2.3446107017752805E-6</v>
      </c>
      <c r="JQ131">
        <f t="shared" si="546"/>
        <v>2.978726351240317E-2</v>
      </c>
      <c r="JR131">
        <f t="shared" si="504"/>
        <v>3095.3586496085036</v>
      </c>
      <c r="JS131">
        <f t="shared" si="547"/>
        <v>2.1883992098305485E-6</v>
      </c>
      <c r="JT131">
        <f t="shared" si="505"/>
        <v>1.7885784184166643E-4</v>
      </c>
      <c r="JU131">
        <f t="shared" si="506"/>
        <v>0.19487657296423444</v>
      </c>
    </row>
    <row r="132" spans="2:281">
      <c r="B132">
        <v>0.98</v>
      </c>
      <c r="C132">
        <f t="shared" si="353"/>
        <v>1.8597398619983541</v>
      </c>
      <c r="D132">
        <f t="shared" si="354"/>
        <v>0.78400000000000003</v>
      </c>
      <c r="E132">
        <f t="shared" si="573"/>
        <v>103731.08100000001</v>
      </c>
      <c r="F132">
        <f t="shared" si="574"/>
        <v>5.2749956377928396E-3</v>
      </c>
      <c r="G132">
        <f t="shared" si="355"/>
        <v>4.1195999221297361E-3</v>
      </c>
      <c r="H132">
        <f t="shared" si="356"/>
        <v>1.3200887954170026E-2</v>
      </c>
      <c r="I132">
        <f t="shared" si="357"/>
        <v>15.015240421726906</v>
      </c>
      <c r="J132">
        <f t="shared" si="548"/>
        <v>4.0659390775069345E-6</v>
      </c>
      <c r="K132">
        <f t="shared" si="507"/>
        <v>7.6145950830453529E-2</v>
      </c>
      <c r="L132">
        <f t="shared" si="603"/>
        <v>7898.701793415793</v>
      </c>
      <c r="M132">
        <f t="shared" si="508"/>
        <v>3.4958188506399597E-6</v>
      </c>
      <c r="N132">
        <f t="shared" si="509"/>
        <v>6.5335194427959987E-4</v>
      </c>
      <c r="O132">
        <f t="shared" si="359"/>
        <v>0.33794790440304645</v>
      </c>
      <c r="Q132">
        <f t="shared" si="360"/>
        <v>3.7574335987313687</v>
      </c>
      <c r="R132">
        <f t="shared" si="361"/>
        <v>0.78400000000000003</v>
      </c>
      <c r="S132">
        <f t="shared" si="575"/>
        <v>103731.08100000001</v>
      </c>
      <c r="T132">
        <f t="shared" si="576"/>
        <v>5.2749956377928396E-3</v>
      </c>
      <c r="U132">
        <f t="shared" si="362"/>
        <v>4.1195999221297361E-3</v>
      </c>
      <c r="V132">
        <f t="shared" si="363"/>
        <v>1.3200887954170026E-2</v>
      </c>
      <c r="W132">
        <f t="shared" si="364"/>
        <v>15.015240421726906</v>
      </c>
      <c r="X132">
        <f t="shared" si="549"/>
        <v>3.9275235628878894E-6</v>
      </c>
      <c r="Y132">
        <f t="shared" si="510"/>
        <v>7.1987460848935966E-2</v>
      </c>
      <c r="Z132">
        <f t="shared" si="604"/>
        <v>7467.3371323053061</v>
      </c>
      <c r="AA132">
        <f t="shared" si="511"/>
        <v>3.3990217260719688E-6</v>
      </c>
      <c r="AB132">
        <f t="shared" si="366"/>
        <v>6.0565769528396203E-4</v>
      </c>
      <c r="AC132">
        <f t="shared" si="367"/>
        <v>0.32644324773931271</v>
      </c>
      <c r="AE132">
        <f t="shared" si="368"/>
        <v>5.6551273354643827</v>
      </c>
      <c r="AF132">
        <f t="shared" si="369"/>
        <v>0.78400000000000003</v>
      </c>
      <c r="AG132">
        <f t="shared" si="577"/>
        <v>103731.08100000001</v>
      </c>
      <c r="AH132">
        <f t="shared" si="578"/>
        <v>5.2749956377928396E-3</v>
      </c>
      <c r="AI132">
        <f t="shared" si="370"/>
        <v>4.1195999221297361E-3</v>
      </c>
      <c r="AJ132">
        <f t="shared" si="371"/>
        <v>1.3200887954170026E-2</v>
      </c>
      <c r="AK132">
        <f t="shared" si="372"/>
        <v>15.015240421726906</v>
      </c>
      <c r="AL132">
        <f t="shared" si="550"/>
        <v>3.7965832821834829E-6</v>
      </c>
      <c r="AM132">
        <f t="shared" si="512"/>
        <v>6.8113058678832425E-2</v>
      </c>
      <c r="AN132">
        <f t="shared" si="605"/>
        <v>7065.44120697172</v>
      </c>
      <c r="AO132">
        <f t="shared" si="513"/>
        <v>3.3062881793700746E-6</v>
      </c>
      <c r="AP132">
        <f t="shared" si="374"/>
        <v>5.6187316919848547E-4</v>
      </c>
      <c r="AQ132">
        <f t="shared" si="375"/>
        <v>0.31555990870681211</v>
      </c>
      <c r="AS132">
        <f t="shared" si="376"/>
        <v>7.5528210721973972</v>
      </c>
      <c r="AT132">
        <f t="shared" si="377"/>
        <v>0.78400000000000003</v>
      </c>
      <c r="AU132">
        <f t="shared" si="579"/>
        <v>103731.08100000001</v>
      </c>
      <c r="AV132">
        <f t="shared" si="580"/>
        <v>5.2749956377928396E-3</v>
      </c>
      <c r="AW132">
        <f t="shared" si="378"/>
        <v>4.1195999221297361E-3</v>
      </c>
      <c r="AX132">
        <f t="shared" si="379"/>
        <v>1.3200887954170026E-2</v>
      </c>
      <c r="AY132">
        <f t="shared" si="380"/>
        <v>15.015240421726906</v>
      </c>
      <c r="AZ132">
        <f t="shared" si="551"/>
        <v>3.6726117948780263E-6</v>
      </c>
      <c r="BA132">
        <f t="shared" si="514"/>
        <v>6.4500412053807632E-2</v>
      </c>
      <c r="BB132">
        <f t="shared" si="606"/>
        <v>6690.6974672868964</v>
      </c>
      <c r="BC132">
        <f t="shared" si="515"/>
        <v>3.2174125937008085E-6</v>
      </c>
      <c r="BD132">
        <f t="shared" si="382"/>
        <v>5.2165362516255547E-4</v>
      </c>
      <c r="BE132">
        <f t="shared" si="383"/>
        <v>0.30525579358310573</v>
      </c>
      <c r="BG132">
        <f t="shared" si="384"/>
        <v>9.4505148089304125</v>
      </c>
      <c r="BH132">
        <f t="shared" si="385"/>
        <v>0.78400000000000003</v>
      </c>
      <c r="BI132">
        <f t="shared" si="581"/>
        <v>103731.08100000001</v>
      </c>
      <c r="BJ132">
        <f t="shared" si="582"/>
        <v>5.2749956377928396E-3</v>
      </c>
      <c r="BK132">
        <f t="shared" si="386"/>
        <v>4.1195999221297361E-3</v>
      </c>
      <c r="BL132">
        <f t="shared" si="387"/>
        <v>1.3200887954170026E-2</v>
      </c>
      <c r="BM132">
        <f t="shared" si="388"/>
        <v>15.015240421726906</v>
      </c>
      <c r="BN132">
        <f t="shared" si="552"/>
        <v>3.5551422052522779E-6</v>
      </c>
      <c r="BO132">
        <f t="shared" si="516"/>
        <v>6.1129124775065012E-2</v>
      </c>
      <c r="BP132">
        <f t="shared" si="607"/>
        <v>6340.9901935013759</v>
      </c>
      <c r="BQ132">
        <f t="shared" si="517"/>
        <v>3.1322008403952073E-6</v>
      </c>
      <c r="BR132">
        <f t="shared" si="390"/>
        <v>4.8468647492857722E-4</v>
      </c>
      <c r="BS132">
        <f t="shared" si="391"/>
        <v>0.29549209548326871</v>
      </c>
      <c r="BU132">
        <f t="shared" si="392"/>
        <v>11.348208545663427</v>
      </c>
      <c r="BV132">
        <f t="shared" si="393"/>
        <v>0.78400000000000003</v>
      </c>
      <c r="BW132">
        <f t="shared" si="583"/>
        <v>103731.08100000001</v>
      </c>
      <c r="BX132">
        <f t="shared" si="584"/>
        <v>5.2749956377928396E-3</v>
      </c>
      <c r="BY132">
        <f t="shared" si="394"/>
        <v>4.1195999221297361E-3</v>
      </c>
      <c r="BZ132">
        <f t="shared" si="395"/>
        <v>1.3200887954170026E-2</v>
      </c>
      <c r="CA132">
        <f t="shared" si="396"/>
        <v>15.015240421726906</v>
      </c>
      <c r="CB132">
        <f t="shared" si="553"/>
        <v>3.4437437530641568E-6</v>
      </c>
      <c r="CC132">
        <f t="shared" si="518"/>
        <v>5.7980556451227794E-2</v>
      </c>
      <c r="CD132">
        <f t="shared" si="608"/>
        <v>6014.3857976673835</v>
      </c>
      <c r="CE132">
        <f t="shared" si="519"/>
        <v>3.0504696076232572E-6</v>
      </c>
      <c r="CF132">
        <f t="shared" si="398"/>
        <v>4.5068814514918573E-4</v>
      </c>
      <c r="CG132">
        <f t="shared" si="399"/>
        <v>0.28623301098813114</v>
      </c>
      <c r="CI132">
        <f t="shared" si="400"/>
        <v>13.245902282396441</v>
      </c>
      <c r="CJ132">
        <f t="shared" si="401"/>
        <v>0.78400000000000003</v>
      </c>
      <c r="CK132">
        <f t="shared" si="585"/>
        <v>103731.08100000001</v>
      </c>
      <c r="CL132">
        <f t="shared" si="586"/>
        <v>5.2749956377928396E-3</v>
      </c>
      <c r="CM132">
        <f t="shared" si="402"/>
        <v>4.1195999221297361E-3</v>
      </c>
      <c r="CN132">
        <f t="shared" si="403"/>
        <v>1.3200887954170026E-2</v>
      </c>
      <c r="CO132">
        <f t="shared" si="404"/>
        <v>15.015240421726906</v>
      </c>
      <c r="CP132">
        <f t="shared" si="554"/>
        <v>3.3380187202359793E-6</v>
      </c>
      <c r="CQ132">
        <f t="shared" si="520"/>
        <v>5.5037659924867005E-2</v>
      </c>
      <c r="CR132">
        <f t="shared" si="609"/>
        <v>5709.1159597168335</v>
      </c>
      <c r="CS132">
        <f t="shared" si="521"/>
        <v>2.9720457681511751E-6</v>
      </c>
      <c r="CT132">
        <f t="shared" si="406"/>
        <v>4.1940125701616721E-4</v>
      </c>
      <c r="CU132">
        <f t="shared" si="407"/>
        <v>0.27744548303797462</v>
      </c>
      <c r="CW132">
        <f t="shared" si="408"/>
        <v>15.143596019129456</v>
      </c>
      <c r="CX132">
        <f t="shared" si="409"/>
        <v>0.78400000000000003</v>
      </c>
      <c r="CY132">
        <f t="shared" si="587"/>
        <v>103731.08100000001</v>
      </c>
      <c r="CZ132">
        <f t="shared" si="588"/>
        <v>5.2749956377928396E-3</v>
      </c>
      <c r="DA132">
        <f t="shared" si="410"/>
        <v>4.1195999221297361E-3</v>
      </c>
      <c r="DB132">
        <f t="shared" si="411"/>
        <v>1.3200887954170026E-2</v>
      </c>
      <c r="DC132">
        <f t="shared" si="412"/>
        <v>15.015240421726906</v>
      </c>
      <c r="DD132">
        <f t="shared" si="555"/>
        <v>3.2375996226494793E-6</v>
      </c>
      <c r="DE132">
        <f t="shared" si="522"/>
        <v>5.2284834583825532E-2</v>
      </c>
      <c r="DF132">
        <f t="shared" si="610"/>
        <v>5423.562411286408</v>
      </c>
      <c r="DG132">
        <f t="shared" si="523"/>
        <v>2.896765784043944E-6</v>
      </c>
      <c r="DH132">
        <f t="shared" si="414"/>
        <v>3.9059209029109648E-4</v>
      </c>
      <c r="DI132">
        <f t="shared" si="415"/>
        <v>0.26909896752347967</v>
      </c>
      <c r="DK132">
        <f t="shared" si="416"/>
        <v>17.041289755862472</v>
      </c>
      <c r="DL132">
        <f t="shared" si="417"/>
        <v>0.78400000000000003</v>
      </c>
      <c r="DM132">
        <f t="shared" si="589"/>
        <v>103731.08100000001</v>
      </c>
      <c r="DN132">
        <f t="shared" si="590"/>
        <v>5.2749956377928396E-3</v>
      </c>
      <c r="DO132">
        <f t="shared" si="418"/>
        <v>4.1195999221297361E-3</v>
      </c>
      <c r="DP132">
        <f t="shared" si="419"/>
        <v>1.3200887954170026E-2</v>
      </c>
      <c r="DQ132">
        <f t="shared" si="420"/>
        <v>15.015240421726906</v>
      </c>
      <c r="DR132">
        <f t="shared" si="556"/>
        <v>3.1421466592901506E-6</v>
      </c>
      <c r="DS132">
        <f t="shared" si="524"/>
        <v>4.9707793943741779E-2</v>
      </c>
      <c r="DT132">
        <f t="shared" si="611"/>
        <v>5156.2431999095879</v>
      </c>
      <c r="DU132">
        <f t="shared" si="525"/>
        <v>2.8244751462758131E-6</v>
      </c>
      <c r="DV132">
        <f t="shared" si="422"/>
        <v>3.6404830225149554E-4</v>
      </c>
      <c r="DW132">
        <f t="shared" si="423"/>
        <v>0.26116522126672925</v>
      </c>
      <c r="DY132">
        <f t="shared" si="424"/>
        <v>18.938983492595487</v>
      </c>
      <c r="DZ132">
        <f t="shared" si="425"/>
        <v>0.78400000000000003</v>
      </c>
      <c r="EA132">
        <f t="shared" si="591"/>
        <v>103731.08100000001</v>
      </c>
      <c r="EB132">
        <f t="shared" si="592"/>
        <v>5.2749956377928396E-3</v>
      </c>
      <c r="EC132">
        <f t="shared" si="426"/>
        <v>4.1195999221297361E-3</v>
      </c>
      <c r="ED132">
        <f t="shared" si="427"/>
        <v>1.3200887954170026E-2</v>
      </c>
      <c r="EE132">
        <f t="shared" si="428"/>
        <v>15.015240421726906</v>
      </c>
      <c r="EF132">
        <f t="shared" si="557"/>
        <v>3.0513453937950469E-6</v>
      </c>
      <c r="EG132">
        <f t="shared" si="526"/>
        <v>4.7293446056476139E-2</v>
      </c>
      <c r="EH132">
        <f t="shared" si="612"/>
        <v>4905.800283653457</v>
      </c>
      <c r="EI132">
        <f t="shared" si="527"/>
        <v>2.7550278473084172E-6</v>
      </c>
      <c r="EJ132">
        <f t="shared" si="430"/>
        <v>3.3957687518841969E-4</v>
      </c>
      <c r="EK132">
        <f t="shared" si="431"/>
        <v>0.25361810931884676</v>
      </c>
      <c r="EM132">
        <f t="shared" si="432"/>
        <v>20.836677229328501</v>
      </c>
      <c r="EN132">
        <f t="shared" si="433"/>
        <v>0.78400000000000003</v>
      </c>
      <c r="EO132">
        <f t="shared" si="593"/>
        <v>103731.08100000001</v>
      </c>
      <c r="EP132">
        <f t="shared" si="594"/>
        <v>5.2749956377928396E-3</v>
      </c>
      <c r="EQ132">
        <f t="shared" si="434"/>
        <v>4.1195999221297361E-3</v>
      </c>
      <c r="ER132">
        <f t="shared" si="435"/>
        <v>1.3200887954170026E-2</v>
      </c>
      <c r="ES132">
        <f t="shared" si="436"/>
        <v>15.015240421726906</v>
      </c>
      <c r="ET132">
        <f t="shared" si="558"/>
        <v>2.9649046459778021E-6</v>
      </c>
      <c r="EU132">
        <f t="shared" si="528"/>
        <v>4.5029785449613224E-2</v>
      </c>
      <c r="EV132">
        <f t="shared" si="613"/>
        <v>4670.9883218864506</v>
      </c>
      <c r="EW132">
        <f t="shared" si="529"/>
        <v>2.6882858847896708E-6</v>
      </c>
      <c r="EX132">
        <f t="shared" si="438"/>
        <v>3.1700226887170098E-4</v>
      </c>
      <c r="EY132">
        <f t="shared" si="439"/>
        <v>0.24643342971027232</v>
      </c>
      <c r="FA132">
        <f t="shared" si="440"/>
        <v>22.734370966061515</v>
      </c>
      <c r="FB132">
        <f t="shared" si="441"/>
        <v>0.78400000000000003</v>
      </c>
      <c r="FC132">
        <f t="shared" si="595"/>
        <v>103731.08100000001</v>
      </c>
      <c r="FD132">
        <f t="shared" si="596"/>
        <v>5.2749956377928396E-3</v>
      </c>
      <c r="FE132">
        <f t="shared" si="442"/>
        <v>4.1195999221297361E-3</v>
      </c>
      <c r="FF132">
        <f t="shared" si="443"/>
        <v>1.3200887954170026E-2</v>
      </c>
      <c r="FG132">
        <f t="shared" si="444"/>
        <v>15.015240421726906</v>
      </c>
      <c r="FH132">
        <f t="shared" si="559"/>
        <v>2.882554573162494E-6</v>
      </c>
      <c r="FI132">
        <f t="shared" si="530"/>
        <v>4.2905795436752263E-2</v>
      </c>
      <c r="FJ132">
        <f t="shared" si="614"/>
        <v>4450.6645418191792</v>
      </c>
      <c r="FK132">
        <f t="shared" si="531"/>
        <v>2.6241187946168253E-6</v>
      </c>
      <c r="FL132">
        <f t="shared" si="446"/>
        <v>2.9616475688315144E-4</v>
      </c>
      <c r="FM132">
        <f t="shared" si="447"/>
        <v>0.23958875397734522</v>
      </c>
      <c r="FO132">
        <f t="shared" si="448"/>
        <v>24.63206470279453</v>
      </c>
      <c r="FP132">
        <f t="shared" si="449"/>
        <v>0.78400000000000003</v>
      </c>
      <c r="FQ132">
        <f t="shared" si="597"/>
        <v>103731.08100000001</v>
      </c>
      <c r="FR132">
        <f t="shared" si="598"/>
        <v>5.2749956377928396E-3</v>
      </c>
      <c r="FS132">
        <f t="shared" si="450"/>
        <v>4.1195999221297361E-3</v>
      </c>
      <c r="FT132">
        <f t="shared" si="451"/>
        <v>1.3200887954170026E-2</v>
      </c>
      <c r="FU132">
        <f t="shared" si="452"/>
        <v>15.015240421726906</v>
      </c>
      <c r="FV132">
        <f t="shared" si="560"/>
        <v>2.8040449231815105E-6</v>
      </c>
      <c r="FW132">
        <f t="shared" si="532"/>
        <v>4.0911359758610856E-2</v>
      </c>
      <c r="FX132">
        <f t="shared" si="615"/>
        <v>4243.7795729406034</v>
      </c>
      <c r="FY132">
        <f t="shared" si="533"/>
        <v>2.5624032116942592E-6</v>
      </c>
      <c r="FZ132">
        <f t="shared" si="454"/>
        <v>2.7691892793707686E-4</v>
      </c>
      <c r="GA132">
        <f t="shared" si="455"/>
        <v>0.23306328195705159</v>
      </c>
      <c r="GC132">
        <f t="shared" si="456"/>
        <v>26.529758439527544</v>
      </c>
      <c r="GD132">
        <f t="shared" si="457"/>
        <v>0.78400000000000003</v>
      </c>
      <c r="GE132">
        <f t="shared" si="599"/>
        <v>103731.08100000001</v>
      </c>
      <c r="GF132">
        <f t="shared" si="600"/>
        <v>5.2749956377928396E-3</v>
      </c>
      <c r="GG132">
        <f t="shared" si="458"/>
        <v>4.1195999221297361E-3</v>
      </c>
      <c r="GH132">
        <f t="shared" si="459"/>
        <v>1.3200887954170026E-2</v>
      </c>
      <c r="GI132">
        <f t="shared" si="460"/>
        <v>15.015240421726906</v>
      </c>
      <c r="GJ132">
        <f t="shared" si="561"/>
        <v>2.7291434427067881E-6</v>
      </c>
      <c r="GK132">
        <f t="shared" si="534"/>
        <v>3.9037182622561423E-2</v>
      </c>
      <c r="GL132">
        <f t="shared" si="616"/>
        <v>4049.3691526327116</v>
      </c>
      <c r="GM132">
        <f t="shared" si="535"/>
        <v>2.5030224568004027E-6</v>
      </c>
      <c r="GN132">
        <f t="shared" si="462"/>
        <v>2.5913233529044403E-4</v>
      </c>
      <c r="GO132">
        <f t="shared" si="463"/>
        <v>0.22683770949258689</v>
      </c>
      <c r="GQ132">
        <f t="shared" si="464"/>
        <v>28.427452176260559</v>
      </c>
      <c r="GR132">
        <f t="shared" si="465"/>
        <v>0.78400000000000003</v>
      </c>
      <c r="GS132">
        <f t="shared" si="601"/>
        <v>103731.08100000001</v>
      </c>
      <c r="GT132">
        <f t="shared" si="602"/>
        <v>5.2749956377928396E-3</v>
      </c>
      <c r="GU132">
        <f t="shared" si="466"/>
        <v>4.1195999221297361E-3</v>
      </c>
      <c r="GV132">
        <f t="shared" si="467"/>
        <v>1.3200887954170026E-2</v>
      </c>
      <c r="GW132">
        <f t="shared" si="468"/>
        <v>15.015240421726906</v>
      </c>
      <c r="GX132">
        <f t="shared" si="562"/>
        <v>2.6576344262106164E-6</v>
      </c>
      <c r="GY132">
        <f t="shared" si="536"/>
        <v>3.727471630445952E-2</v>
      </c>
      <c r="GZ132">
        <f t="shared" si="617"/>
        <v>3866.5466162299113</v>
      </c>
      <c r="HA132">
        <f t="shared" si="537"/>
        <v>2.4458661480591006E-6</v>
      </c>
      <c r="HB132">
        <f t="shared" si="470"/>
        <v>2.4268427911665555E-4</v>
      </c>
      <c r="HC132">
        <f t="shared" si="471"/>
        <v>0.22089410782760033</v>
      </c>
      <c r="HE132">
        <f t="shared" si="472"/>
        <v>30.325145912993573</v>
      </c>
      <c r="HF132">
        <f t="shared" si="473"/>
        <v>0.78400000000000003</v>
      </c>
      <c r="HG132">
        <f t="shared" si="343"/>
        <v>103731.08100000001</v>
      </c>
      <c r="HH132">
        <f t="shared" si="344"/>
        <v>5.2749956377928396E-3</v>
      </c>
      <c r="HI132">
        <f t="shared" si="568"/>
        <v>4.1195999221297361E-3</v>
      </c>
      <c r="HJ132">
        <f t="shared" si="474"/>
        <v>1.3200887954170026E-2</v>
      </c>
      <c r="HK132">
        <f t="shared" si="475"/>
        <v>15.015240421726906</v>
      </c>
      <c r="HL132">
        <f t="shared" si="563"/>
        <v>2.5893173923114446E-6</v>
      </c>
      <c r="HM132">
        <f t="shared" si="538"/>
        <v>3.5616095562713737E-2</v>
      </c>
      <c r="HN132">
        <f t="shared" si="476"/>
        <v>3694.4960937195992</v>
      </c>
      <c r="HO132">
        <f t="shared" si="539"/>
        <v>2.3908298355884545E-6</v>
      </c>
      <c r="HP132">
        <f t="shared" si="477"/>
        <v>2.2746470830008192E-4</v>
      </c>
      <c r="HQ132">
        <f t="shared" si="478"/>
        <v>0.2152158135882746</v>
      </c>
      <c r="HS132">
        <f t="shared" si="479"/>
        <v>32.222839649726588</v>
      </c>
      <c r="HT132">
        <f t="shared" si="480"/>
        <v>0.78400000000000003</v>
      </c>
      <c r="HU132">
        <f t="shared" si="345"/>
        <v>103731.08100000001</v>
      </c>
      <c r="HV132">
        <f t="shared" si="346"/>
        <v>5.2749956377928396E-3</v>
      </c>
      <c r="HW132">
        <f t="shared" si="569"/>
        <v>4.1195999221297361E-3</v>
      </c>
      <c r="HX132">
        <f t="shared" si="481"/>
        <v>1.3200887954170026E-2</v>
      </c>
      <c r="HY132">
        <f t="shared" si="482"/>
        <v>15.015240421726906</v>
      </c>
      <c r="HZ132">
        <f t="shared" si="564"/>
        <v>2.5240058755695205E-6</v>
      </c>
      <c r="IA132">
        <f t="shared" si="540"/>
        <v>3.4054078191573668E-2</v>
      </c>
      <c r="IB132">
        <f t="shared" si="483"/>
        <v>3532.4663432704619</v>
      </c>
      <c r="IC132">
        <f t="shared" si="541"/>
        <v>2.3378146579749159E-6</v>
      </c>
      <c r="ID132">
        <f t="shared" si="484"/>
        <v>2.1337322952340193E-4</v>
      </c>
      <c r="IE132">
        <f t="shared" si="485"/>
        <v>0.20978732836122804</v>
      </c>
      <c r="IG132">
        <f t="shared" si="486"/>
        <v>34.120533386459599</v>
      </c>
      <c r="IH132">
        <f t="shared" si="487"/>
        <v>0.78400000000000003</v>
      </c>
      <c r="II132">
        <f t="shared" si="347"/>
        <v>103731.08100000001</v>
      </c>
      <c r="IJ132">
        <f t="shared" si="348"/>
        <v>5.2749956377928396E-3</v>
      </c>
      <c r="IK132">
        <f t="shared" si="570"/>
        <v>4.1195999221297361E-3</v>
      </c>
      <c r="IL132">
        <f t="shared" si="488"/>
        <v>1.3200887954170026E-2</v>
      </c>
      <c r="IM132">
        <f t="shared" si="489"/>
        <v>15.015240421726906</v>
      </c>
      <c r="IN132">
        <f t="shared" si="565"/>
        <v>2.4615263229723549E-6</v>
      </c>
      <c r="IO132">
        <f t="shared" si="542"/>
        <v>3.2581991109538959E-2</v>
      </c>
      <c r="IP132">
        <f t="shared" si="490"/>
        <v>3379.7651589248658</v>
      </c>
      <c r="IQ132">
        <f t="shared" si="543"/>
        <v>2.2867270192921585E-6</v>
      </c>
      <c r="IR132">
        <f t="shared" si="491"/>
        <v>2.0031821278430786E-4</v>
      </c>
      <c r="IS132">
        <f t="shared" si="492"/>
        <v>0.20459422697290158</v>
      </c>
      <c r="IU132">
        <f t="shared" si="493"/>
        <v>36.018227123192617</v>
      </c>
      <c r="IV132">
        <f t="shared" si="494"/>
        <v>0.78400000000000003</v>
      </c>
      <c r="IW132">
        <f t="shared" si="349"/>
        <v>103731.08100000001</v>
      </c>
      <c r="IX132">
        <f t="shared" si="350"/>
        <v>5.2749956377928396E-3</v>
      </c>
      <c r="IY132">
        <f t="shared" si="571"/>
        <v>4.1195999221297361E-3</v>
      </c>
      <c r="IZ132">
        <f t="shared" si="495"/>
        <v>1.3200887954170026E-2</v>
      </c>
      <c r="JA132">
        <f t="shared" si="496"/>
        <v>15.015240421726906</v>
      </c>
      <c r="JB132">
        <f t="shared" si="566"/>
        <v>2.4017170854051365E-6</v>
      </c>
      <c r="JC132">
        <f t="shared" si="544"/>
        <v>3.1193681440484518E-2</v>
      </c>
      <c r="JD132">
        <f t="shared" si="497"/>
        <v>3235.7542961910963</v>
      </c>
      <c r="JE132">
        <f t="shared" si="545"/>
        <v>2.2374782854530484E-6</v>
      </c>
      <c r="JF132">
        <f t="shared" si="498"/>
        <v>1.8821598360845834E-4</v>
      </c>
      <c r="JG132">
        <f t="shared" si="499"/>
        <v>0.19962307366379228</v>
      </c>
      <c r="JI132">
        <f t="shared" si="500"/>
        <v>37.915920859925627</v>
      </c>
      <c r="JJ132">
        <f t="shared" si="501"/>
        <v>0.78400000000000003</v>
      </c>
      <c r="JK132">
        <f t="shared" si="351"/>
        <v>103731.08100000001</v>
      </c>
      <c r="JL132">
        <f t="shared" si="352"/>
        <v>5.2749956377928396E-3</v>
      </c>
      <c r="JM132">
        <f t="shared" si="572"/>
        <v>4.1195999221297361E-3</v>
      </c>
      <c r="JN132">
        <f t="shared" si="502"/>
        <v>1.3200887954170026E-2</v>
      </c>
      <c r="JO132">
        <f t="shared" si="503"/>
        <v>15.015240421726906</v>
      </c>
      <c r="JP132">
        <f t="shared" si="567"/>
        <v>2.3444274953488872E-6</v>
      </c>
      <c r="JQ132">
        <f t="shared" si="546"/>
        <v>2.9883472100320909E-2</v>
      </c>
      <c r="JR132">
        <f t="shared" si="504"/>
        <v>3099.8448649996285</v>
      </c>
      <c r="JS132">
        <f t="shared" si="547"/>
        <v>2.1899844987488543E-6</v>
      </c>
      <c r="JT132">
        <f t="shared" si="505"/>
        <v>1.7699009323614699E-4</v>
      </c>
      <c r="JU132">
        <f t="shared" si="506"/>
        <v>0.19486134542966185</v>
      </c>
    </row>
    <row r="133" spans="2:281">
      <c r="B133">
        <v>0.99</v>
      </c>
      <c r="C133">
        <f t="shared" si="353"/>
        <v>1.8787167993656844</v>
      </c>
      <c r="D133">
        <f t="shared" si="354"/>
        <v>0.79200000000000004</v>
      </c>
      <c r="E133">
        <f t="shared" si="573"/>
        <v>103546.65300000001</v>
      </c>
      <c r="F133">
        <f t="shared" si="574"/>
        <v>5.2781255631283285E-3</v>
      </c>
      <c r="G133">
        <f t="shared" si="355"/>
        <v>4.1183782808367582E-3</v>
      </c>
      <c r="H133">
        <f t="shared" si="356"/>
        <v>1.3224400190375397E-2</v>
      </c>
      <c r="I133">
        <f t="shared" si="357"/>
        <v>15.033064331880734</v>
      </c>
      <c r="J133">
        <f t="shared" si="548"/>
        <v>4.0652698405662675E-6</v>
      </c>
      <c r="K133">
        <f t="shared" si="507"/>
        <v>7.6497392329049271E-2</v>
      </c>
      <c r="L133">
        <f t="shared" si="603"/>
        <v>7921.0489389009272</v>
      </c>
      <c r="M133">
        <f t="shared" si="508"/>
        <v>3.5007605737726758E-6</v>
      </c>
      <c r="N133">
        <f t="shared" si="509"/>
        <v>6.47497704709732E-4</v>
      </c>
      <c r="O133">
        <f t="shared" si="359"/>
        <v>0.33789227956033824</v>
      </c>
      <c r="Q133">
        <f t="shared" si="360"/>
        <v>3.7764105360986986</v>
      </c>
      <c r="R133">
        <f t="shared" si="361"/>
        <v>0.79200000000000004</v>
      </c>
      <c r="S133">
        <f t="shared" si="575"/>
        <v>103546.65300000001</v>
      </c>
      <c r="T133">
        <f t="shared" si="576"/>
        <v>5.2781255631283285E-3</v>
      </c>
      <c r="U133">
        <f t="shared" si="362"/>
        <v>4.1183782808367582E-3</v>
      </c>
      <c r="V133">
        <f t="shared" si="363"/>
        <v>1.3224400190375397E-2</v>
      </c>
      <c r="W133">
        <f t="shared" si="364"/>
        <v>15.033064331880734</v>
      </c>
      <c r="X133">
        <f t="shared" si="549"/>
        <v>3.9269031797901854E-6</v>
      </c>
      <c r="Y133">
        <f t="shared" si="510"/>
        <v>7.2313247356392274E-2</v>
      </c>
      <c r="Z133">
        <f t="shared" si="604"/>
        <v>7487.7947313155182</v>
      </c>
      <c r="AA133">
        <f t="shared" si="511"/>
        <v>3.40367454019545E-6</v>
      </c>
      <c r="AB133">
        <f t="shared" si="366"/>
        <v>6.0014841758100385E-4</v>
      </c>
      <c r="AC133">
        <f t="shared" si="367"/>
        <v>0.32639168347241165</v>
      </c>
      <c r="AE133">
        <f t="shared" si="368"/>
        <v>5.6741042728317135</v>
      </c>
      <c r="AF133">
        <f t="shared" si="369"/>
        <v>0.79200000000000004</v>
      </c>
      <c r="AG133">
        <f t="shared" si="577"/>
        <v>103546.65300000001</v>
      </c>
      <c r="AH133">
        <f t="shared" si="578"/>
        <v>5.2781255631283285E-3</v>
      </c>
      <c r="AI133">
        <f t="shared" si="370"/>
        <v>4.1183782808367582E-3</v>
      </c>
      <c r="AJ133">
        <f t="shared" si="371"/>
        <v>1.3224400190375397E-2</v>
      </c>
      <c r="AK133">
        <f t="shared" si="372"/>
        <v>15.033064331880734</v>
      </c>
      <c r="AL133">
        <f t="shared" si="550"/>
        <v>3.7960077481484356E-6</v>
      </c>
      <c r="AM133">
        <f t="shared" si="512"/>
        <v>6.8415293255973827E-2</v>
      </c>
      <c r="AN133">
        <f t="shared" si="605"/>
        <v>7084.1746306695622</v>
      </c>
      <c r="AO133">
        <f t="shared" si="513"/>
        <v>3.3106684504629222E-6</v>
      </c>
      <c r="AP133">
        <f t="shared" si="374"/>
        <v>5.5668896817544808E-4</v>
      </c>
      <c r="AQ133">
        <f t="shared" si="375"/>
        <v>0.31551207215113597</v>
      </c>
      <c r="AS133">
        <f t="shared" si="376"/>
        <v>7.5717980095647279</v>
      </c>
      <c r="AT133">
        <f t="shared" si="377"/>
        <v>0.79200000000000004</v>
      </c>
      <c r="AU133">
        <f t="shared" si="579"/>
        <v>103546.65300000001</v>
      </c>
      <c r="AV133">
        <f t="shared" si="580"/>
        <v>5.2781255631283285E-3</v>
      </c>
      <c r="AW133">
        <f t="shared" si="378"/>
        <v>4.1183782808367582E-3</v>
      </c>
      <c r="AX133">
        <f t="shared" si="379"/>
        <v>1.3224400190375397E-2</v>
      </c>
      <c r="AY133">
        <f t="shared" si="380"/>
        <v>15.033064331880734</v>
      </c>
      <c r="AZ133">
        <f t="shared" si="551"/>
        <v>3.6720774582479017E-6</v>
      </c>
      <c r="BA133">
        <f t="shared" si="514"/>
        <v>6.4781012323509413E-2</v>
      </c>
      <c r="BB133">
        <f t="shared" si="606"/>
        <v>6707.8570040511531</v>
      </c>
      <c r="BC133">
        <f t="shared" si="515"/>
        <v>3.2215357779162517E-6</v>
      </c>
      <c r="BD133">
        <f t="shared" si="382"/>
        <v>5.1677575737206797E-4</v>
      </c>
      <c r="BE133">
        <f t="shared" si="383"/>
        <v>0.30521138122449581</v>
      </c>
      <c r="BG133">
        <f t="shared" si="384"/>
        <v>9.4694917462977433</v>
      </c>
      <c r="BH133">
        <f t="shared" si="385"/>
        <v>0.79200000000000004</v>
      </c>
      <c r="BI133">
        <f t="shared" si="581"/>
        <v>103546.65300000001</v>
      </c>
      <c r="BJ133">
        <f t="shared" si="582"/>
        <v>5.2781255631283285E-3</v>
      </c>
      <c r="BK133">
        <f t="shared" si="386"/>
        <v>4.1183782808367582E-3</v>
      </c>
      <c r="BL133">
        <f t="shared" si="387"/>
        <v>1.3224400190375397E-2</v>
      </c>
      <c r="BM133">
        <f t="shared" si="388"/>
        <v>15.033064331880734</v>
      </c>
      <c r="BN133">
        <f t="shared" si="552"/>
        <v>3.5546457345575721E-6</v>
      </c>
      <c r="BO133">
        <f t="shared" si="516"/>
        <v>6.1389840217315375E-2</v>
      </c>
      <c r="BP133">
        <f t="shared" si="607"/>
        <v>6356.7124827078005</v>
      </c>
      <c r="BQ133">
        <f t="shared" si="517"/>
        <v>3.1360815339585861E-6</v>
      </c>
      <c r="BR133">
        <f t="shared" si="390"/>
        <v>4.8009727227490008E-4</v>
      </c>
      <c r="BS133">
        <f t="shared" si="391"/>
        <v>0.29545083042059189</v>
      </c>
      <c r="BU133">
        <f t="shared" si="392"/>
        <v>11.367185483030758</v>
      </c>
      <c r="BV133">
        <f t="shared" si="393"/>
        <v>0.79200000000000004</v>
      </c>
      <c r="BW133">
        <f t="shared" si="583"/>
        <v>103546.65300000001</v>
      </c>
      <c r="BX133">
        <f t="shared" si="584"/>
        <v>5.2781255631283285E-3</v>
      </c>
      <c r="BY133">
        <f t="shared" si="394"/>
        <v>4.1183782808367582E-3</v>
      </c>
      <c r="BZ133">
        <f t="shared" si="395"/>
        <v>1.3224400190375397E-2</v>
      </c>
      <c r="CA133">
        <f t="shared" si="396"/>
        <v>15.033064331880734</v>
      </c>
      <c r="CB133">
        <f t="shared" si="553"/>
        <v>3.4432821073032536E-6</v>
      </c>
      <c r="CC133">
        <f t="shared" si="518"/>
        <v>5.8222984010397626E-2</v>
      </c>
      <c r="CD133">
        <f t="shared" si="608"/>
        <v>6028.7951219491915</v>
      </c>
      <c r="CE133">
        <f t="shared" si="519"/>
        <v>3.0541215940170591E-6</v>
      </c>
      <c r="CF133">
        <f t="shared" si="398"/>
        <v>4.4637095250485361E-4</v>
      </c>
      <c r="CG133">
        <f t="shared" si="399"/>
        <v>0.28619464046302001</v>
      </c>
      <c r="CI133">
        <f t="shared" si="400"/>
        <v>13.264879219763772</v>
      </c>
      <c r="CJ133">
        <f t="shared" si="401"/>
        <v>0.79200000000000004</v>
      </c>
      <c r="CK133">
        <f t="shared" si="585"/>
        <v>103546.65300000001</v>
      </c>
      <c r="CL133">
        <f t="shared" si="586"/>
        <v>5.2781255631283285E-3</v>
      </c>
      <c r="CM133">
        <f t="shared" si="402"/>
        <v>4.1183782808367582E-3</v>
      </c>
      <c r="CN133">
        <f t="shared" si="403"/>
        <v>1.3224400190375397E-2</v>
      </c>
      <c r="CO133">
        <f t="shared" si="404"/>
        <v>15.033064331880734</v>
      </c>
      <c r="CP133">
        <f t="shared" si="554"/>
        <v>3.3375891220437418E-6</v>
      </c>
      <c r="CQ133">
        <f t="shared" si="520"/>
        <v>5.5263258099892298E-2</v>
      </c>
      <c r="CR133">
        <f t="shared" si="609"/>
        <v>5722.3254101189877</v>
      </c>
      <c r="CS133">
        <f t="shared" si="521"/>
        <v>2.9754820627347546E-6</v>
      </c>
      <c r="CT133">
        <f t="shared" si="406"/>
        <v>4.1534037358414115E-4</v>
      </c>
      <c r="CU133">
        <f t="shared" si="407"/>
        <v>0.27740977620468604</v>
      </c>
      <c r="CW133">
        <f t="shared" si="408"/>
        <v>15.162572956496787</v>
      </c>
      <c r="CX133">
        <f t="shared" si="409"/>
        <v>0.79200000000000004</v>
      </c>
      <c r="CY133">
        <f t="shared" si="587"/>
        <v>103546.65300000001</v>
      </c>
      <c r="CZ133">
        <f t="shared" si="588"/>
        <v>5.2781255631283285E-3</v>
      </c>
      <c r="DA133">
        <f t="shared" si="410"/>
        <v>4.1183782808367582E-3</v>
      </c>
      <c r="DB133">
        <f t="shared" si="411"/>
        <v>1.3224400190375397E-2</v>
      </c>
      <c r="DC133">
        <f t="shared" si="412"/>
        <v>15.033064331880734</v>
      </c>
      <c r="DD133">
        <f t="shared" si="555"/>
        <v>3.2371995340634668E-6</v>
      </c>
      <c r="DE133">
        <f t="shared" si="522"/>
        <v>5.2494936154278353E-2</v>
      </c>
      <c r="DF133">
        <f t="shared" si="610"/>
        <v>5435.6749382242151</v>
      </c>
      <c r="DG133">
        <f t="shared" si="523"/>
        <v>2.8999986762469821E-6</v>
      </c>
      <c r="DH133">
        <f t="shared" si="414"/>
        <v>3.8677271447194788E-4</v>
      </c>
      <c r="DI133">
        <f t="shared" si="415"/>
        <v>0.26906571343466007</v>
      </c>
      <c r="DK133">
        <f t="shared" si="416"/>
        <v>17.060266693229799</v>
      </c>
      <c r="DL133">
        <f t="shared" si="417"/>
        <v>0.79200000000000004</v>
      </c>
      <c r="DM133">
        <f t="shared" si="589"/>
        <v>103546.65300000001</v>
      </c>
      <c r="DN133">
        <f t="shared" si="590"/>
        <v>5.2781255631283285E-3</v>
      </c>
      <c r="DO133">
        <f t="shared" si="418"/>
        <v>4.1183782808367582E-3</v>
      </c>
      <c r="DP133">
        <f t="shared" si="419"/>
        <v>1.3224400190375397E-2</v>
      </c>
      <c r="DQ133">
        <f t="shared" si="420"/>
        <v>15.033064331880734</v>
      </c>
      <c r="DR133">
        <f t="shared" si="556"/>
        <v>3.1417737598533509E-6</v>
      </c>
      <c r="DS133">
        <f t="shared" si="524"/>
        <v>4.9903617468910214E-2</v>
      </c>
      <c r="DT133">
        <f t="shared" si="611"/>
        <v>5167.3525614979844</v>
      </c>
      <c r="DU133">
        <f t="shared" si="525"/>
        <v>2.8275162394970247E-6</v>
      </c>
      <c r="DV133">
        <f t="shared" si="422"/>
        <v>3.6045647979219848E-4</v>
      </c>
      <c r="DW133">
        <f t="shared" si="423"/>
        <v>0.26113422705338341</v>
      </c>
      <c r="DY133">
        <f t="shared" si="424"/>
        <v>18.957960429962814</v>
      </c>
      <c r="DZ133">
        <f t="shared" si="425"/>
        <v>0.79200000000000004</v>
      </c>
      <c r="EA133">
        <f t="shared" si="591"/>
        <v>103546.65300000001</v>
      </c>
      <c r="EB133">
        <f t="shared" si="592"/>
        <v>5.2781255631283285E-3</v>
      </c>
      <c r="EC133">
        <f t="shared" si="426"/>
        <v>4.1183782808367582E-3</v>
      </c>
      <c r="ED133">
        <f t="shared" si="427"/>
        <v>1.3224400190375397E-2</v>
      </c>
      <c r="EE133">
        <f t="shared" si="428"/>
        <v>15.033064331880734</v>
      </c>
      <c r="EF133">
        <f t="shared" si="557"/>
        <v>3.0509975607610105E-6</v>
      </c>
      <c r="EG133">
        <f t="shared" si="526"/>
        <v>4.747610627039231E-2</v>
      </c>
      <c r="EH133">
        <f t="shared" si="612"/>
        <v>4915.9919017714374</v>
      </c>
      <c r="EI133">
        <f t="shared" si="527"/>
        <v>2.7578880966438068E-6</v>
      </c>
      <c r="EJ133">
        <f t="shared" si="430"/>
        <v>3.3619945040509551E-4</v>
      </c>
      <c r="EK133">
        <f t="shared" si="431"/>
        <v>0.25358919854505158</v>
      </c>
      <c r="EM133">
        <f t="shared" si="432"/>
        <v>20.855654166695828</v>
      </c>
      <c r="EN133">
        <f t="shared" si="433"/>
        <v>0.79200000000000004</v>
      </c>
      <c r="EO133">
        <f t="shared" si="593"/>
        <v>103546.65300000001</v>
      </c>
      <c r="EP133">
        <f t="shared" si="594"/>
        <v>5.2781255631283285E-3</v>
      </c>
      <c r="EQ133">
        <f t="shared" si="434"/>
        <v>4.1183782808367582E-3</v>
      </c>
      <c r="ER133">
        <f t="shared" si="435"/>
        <v>1.3224400190375397E-2</v>
      </c>
      <c r="ES133">
        <f t="shared" si="436"/>
        <v>15.033064331880734</v>
      </c>
      <c r="ET133">
        <f t="shared" si="558"/>
        <v>2.9645799364082331E-6</v>
      </c>
      <c r="EU133">
        <f t="shared" si="528"/>
        <v>4.5200302662282338E-2</v>
      </c>
      <c r="EV133">
        <f t="shared" si="613"/>
        <v>4680.3400552663261</v>
      </c>
      <c r="EW133">
        <f t="shared" si="529"/>
        <v>2.6909756327078712E-6</v>
      </c>
      <c r="EX133">
        <f t="shared" si="438"/>
        <v>3.1382683875314513E-4</v>
      </c>
      <c r="EY133">
        <f t="shared" si="439"/>
        <v>0.24640644088518573</v>
      </c>
      <c r="FA133">
        <f t="shared" si="440"/>
        <v>22.753347903428843</v>
      </c>
      <c r="FB133">
        <f t="shared" si="441"/>
        <v>0.79200000000000004</v>
      </c>
      <c r="FC133">
        <f t="shared" si="595"/>
        <v>103546.65300000001</v>
      </c>
      <c r="FD133">
        <f t="shared" si="596"/>
        <v>5.2781255631283285E-3</v>
      </c>
      <c r="FE133">
        <f t="shared" si="442"/>
        <v>4.1183782808367582E-3</v>
      </c>
      <c r="FF133">
        <f t="shared" si="443"/>
        <v>1.3224400190375397E-2</v>
      </c>
      <c r="FG133">
        <f t="shared" si="444"/>
        <v>15.033064331880734</v>
      </c>
      <c r="FH133">
        <f t="shared" si="559"/>
        <v>2.8822512077289549E-6</v>
      </c>
      <c r="FI133">
        <f t="shared" si="530"/>
        <v>4.3065104040486517E-2</v>
      </c>
      <c r="FJ133">
        <f t="shared" si="614"/>
        <v>4459.2473844891556</v>
      </c>
      <c r="FK133">
        <f t="shared" si="531"/>
        <v>2.6266478046926838E-6</v>
      </c>
      <c r="FL133">
        <f t="shared" si="446"/>
        <v>2.9317962789527914E-4</v>
      </c>
      <c r="FM133">
        <f t="shared" si="447"/>
        <v>0.23956353920885545</v>
      </c>
      <c r="FO133">
        <f t="shared" si="448"/>
        <v>24.651041640161857</v>
      </c>
      <c r="FP133">
        <f t="shared" si="449"/>
        <v>0.79200000000000004</v>
      </c>
      <c r="FQ133">
        <f t="shared" si="597"/>
        <v>103546.65300000001</v>
      </c>
      <c r="FR133">
        <f t="shared" si="598"/>
        <v>5.2781255631283285E-3</v>
      </c>
      <c r="FS133">
        <f t="shared" si="450"/>
        <v>4.1183782808367582E-3</v>
      </c>
      <c r="FT133">
        <f t="shared" si="451"/>
        <v>1.3224400190375397E-2</v>
      </c>
      <c r="FU133">
        <f t="shared" si="452"/>
        <v>15.033064331880734</v>
      </c>
      <c r="FV133">
        <f t="shared" si="560"/>
        <v>2.8037612715022465E-6</v>
      </c>
      <c r="FW133">
        <f t="shared" si="532"/>
        <v>4.1060315928215622E-2</v>
      </c>
      <c r="FX133">
        <f t="shared" si="615"/>
        <v>4251.6582854893159</v>
      </c>
      <c r="FY133">
        <f t="shared" si="533"/>
        <v>2.5647807005057628E-6</v>
      </c>
      <c r="FZ133">
        <f t="shared" si="454"/>
        <v>2.7411307536076904E-4</v>
      </c>
      <c r="GA133">
        <f t="shared" si="455"/>
        <v>0.23303970573302057</v>
      </c>
      <c r="GC133">
        <f t="shared" si="456"/>
        <v>26.548735376894872</v>
      </c>
      <c r="GD133">
        <f t="shared" si="457"/>
        <v>0.79200000000000004</v>
      </c>
      <c r="GE133">
        <f t="shared" si="599"/>
        <v>103546.65300000001</v>
      </c>
      <c r="GF133">
        <f t="shared" si="600"/>
        <v>5.2781255631283285E-3</v>
      </c>
      <c r="GG133">
        <f t="shared" si="458"/>
        <v>4.1183782808367582E-3</v>
      </c>
      <c r="GH133">
        <f t="shared" si="459"/>
        <v>1.3224400190375397E-2</v>
      </c>
      <c r="GI133">
        <f t="shared" si="460"/>
        <v>15.033064331880734</v>
      </c>
      <c r="GJ133">
        <f t="shared" si="561"/>
        <v>2.7288780100669744E-6</v>
      </c>
      <c r="GK133">
        <f t="shared" si="534"/>
        <v>3.9176571289031972E-2</v>
      </c>
      <c r="GL133">
        <f t="shared" si="616"/>
        <v>4056.6028329951564</v>
      </c>
      <c r="GM133">
        <f t="shared" si="535"/>
        <v>2.5052571240883488E-6</v>
      </c>
      <c r="GN133">
        <f t="shared" si="462"/>
        <v>2.5649536493660343E-4</v>
      </c>
      <c r="GO133">
        <f t="shared" si="463"/>
        <v>0.22681564757707973</v>
      </c>
      <c r="GQ133">
        <f t="shared" si="464"/>
        <v>28.446429113627886</v>
      </c>
      <c r="GR133">
        <f t="shared" si="465"/>
        <v>0.79200000000000004</v>
      </c>
      <c r="GS133">
        <f t="shared" si="601"/>
        <v>103546.65300000001</v>
      </c>
      <c r="GT133">
        <f t="shared" si="602"/>
        <v>5.2781255631283285E-3</v>
      </c>
      <c r="GU133">
        <f t="shared" si="466"/>
        <v>4.1183782808367582E-3</v>
      </c>
      <c r="GV133">
        <f t="shared" si="467"/>
        <v>1.3224400190375397E-2</v>
      </c>
      <c r="GW133">
        <f t="shared" si="468"/>
        <v>15.033064331880734</v>
      </c>
      <c r="GX133">
        <f t="shared" si="562"/>
        <v>2.657385841529839E-6</v>
      </c>
      <c r="GY133">
        <f t="shared" si="536"/>
        <v>3.7405257473710055E-2</v>
      </c>
      <c r="GZ133">
        <f t="shared" si="617"/>
        <v>3873.1892160059119</v>
      </c>
      <c r="HA133">
        <f t="shared" si="537"/>
        <v>2.4479662052435226E-6</v>
      </c>
      <c r="HB133">
        <f t="shared" si="470"/>
        <v>2.4020639127278899E-4</v>
      </c>
      <c r="HC133">
        <f t="shared" si="471"/>
        <v>0.22087344626078045</v>
      </c>
      <c r="HE133">
        <f t="shared" si="472"/>
        <v>30.3441228503609</v>
      </c>
      <c r="HF133">
        <f t="shared" si="473"/>
        <v>0.79200000000000004</v>
      </c>
      <c r="HG133">
        <f t="shared" si="343"/>
        <v>103546.65300000001</v>
      </c>
      <c r="HH133">
        <f t="shared" si="344"/>
        <v>5.2781255631283285E-3</v>
      </c>
      <c r="HI133">
        <f t="shared" si="568"/>
        <v>4.1183782808367582E-3</v>
      </c>
      <c r="HJ133">
        <f t="shared" si="474"/>
        <v>1.3224400190375397E-2</v>
      </c>
      <c r="HK133">
        <f t="shared" si="475"/>
        <v>15.033064331880734</v>
      </c>
      <c r="HL133">
        <f t="shared" si="563"/>
        <v>2.5890843972360871E-6</v>
      </c>
      <c r="HM133">
        <f t="shared" si="538"/>
        <v>3.5738450043575891E-2</v>
      </c>
      <c r="HN133">
        <f t="shared" si="476"/>
        <v>3700.5968854199878</v>
      </c>
      <c r="HO133">
        <f t="shared" si="539"/>
        <v>2.3928030327307109E-6</v>
      </c>
      <c r="HP133">
        <f t="shared" si="477"/>
        <v>2.2513666377242198E-4</v>
      </c>
      <c r="HQ133">
        <f t="shared" si="478"/>
        <v>0.21519644777979782</v>
      </c>
      <c r="HS133">
        <f t="shared" si="479"/>
        <v>32.241816587093915</v>
      </c>
      <c r="HT133">
        <f t="shared" si="480"/>
        <v>0.79200000000000004</v>
      </c>
      <c r="HU133">
        <f t="shared" si="345"/>
        <v>103546.65300000001</v>
      </c>
      <c r="HV133">
        <f t="shared" si="346"/>
        <v>5.2781255631283285E-3</v>
      </c>
      <c r="HW133">
        <f t="shared" si="569"/>
        <v>4.1183782808367582E-3</v>
      </c>
      <c r="HX133">
        <f t="shared" si="481"/>
        <v>1.3224400190375397E-2</v>
      </c>
      <c r="HY133">
        <f t="shared" si="482"/>
        <v>15.033064331880734</v>
      </c>
      <c r="HZ133">
        <f t="shared" si="564"/>
        <v>2.5237873145801538E-6</v>
      </c>
      <c r="IA133">
        <f t="shared" si="540"/>
        <v>3.4168852790777762E-2</v>
      </c>
      <c r="IB133">
        <f t="shared" si="483"/>
        <v>3538.0703433347467</v>
      </c>
      <c r="IC133">
        <f t="shared" si="541"/>
        <v>2.3396683092695495E-6</v>
      </c>
      <c r="ID133">
        <f t="shared" si="484"/>
        <v>2.1118631764754686E-4</v>
      </c>
      <c r="IE133">
        <f t="shared" si="485"/>
        <v>0.20976916226800021</v>
      </c>
      <c r="IG133">
        <f t="shared" si="486"/>
        <v>34.139510323826926</v>
      </c>
      <c r="IH133">
        <f t="shared" si="487"/>
        <v>0.79200000000000004</v>
      </c>
      <c r="II133">
        <f t="shared" si="347"/>
        <v>103546.65300000001</v>
      </c>
      <c r="IJ133">
        <f t="shared" si="348"/>
        <v>5.2781255631283285E-3</v>
      </c>
      <c r="IK133">
        <f t="shared" si="570"/>
        <v>4.1183782808367582E-3</v>
      </c>
      <c r="IL133">
        <f t="shared" si="488"/>
        <v>1.3224400190375397E-2</v>
      </c>
      <c r="IM133">
        <f t="shared" si="489"/>
        <v>15.033064331880734</v>
      </c>
      <c r="IN133">
        <f t="shared" si="565"/>
        <v>2.4613211344073596E-6</v>
      </c>
      <c r="IO133">
        <f t="shared" si="542"/>
        <v>3.2689743345547917E-2</v>
      </c>
      <c r="IP133">
        <f t="shared" si="490"/>
        <v>3384.9135108605096</v>
      </c>
      <c r="IQ133">
        <f t="shared" si="543"/>
        <v>2.2884680271680703E-6</v>
      </c>
      <c r="IR133">
        <f t="shared" si="491"/>
        <v>1.9826422128568585E-4</v>
      </c>
      <c r="IS133">
        <f t="shared" si="492"/>
        <v>0.20457717235299072</v>
      </c>
      <c r="IU133">
        <f t="shared" si="493"/>
        <v>36.037204060559944</v>
      </c>
      <c r="IV133">
        <f t="shared" si="494"/>
        <v>0.79200000000000004</v>
      </c>
      <c r="IW133">
        <f t="shared" si="349"/>
        <v>103546.65300000001</v>
      </c>
      <c r="IX133">
        <f t="shared" si="350"/>
        <v>5.2781255631283285E-3</v>
      </c>
      <c r="IY133">
        <f t="shared" si="571"/>
        <v>4.1183782808367582E-3</v>
      </c>
      <c r="IZ133">
        <f t="shared" si="495"/>
        <v>1.3224400190375397E-2</v>
      </c>
      <c r="JA133">
        <f t="shared" si="496"/>
        <v>15.033064331880734</v>
      </c>
      <c r="JB133">
        <f t="shared" si="566"/>
        <v>2.4015242933117515E-6</v>
      </c>
      <c r="JC133">
        <f t="shared" si="544"/>
        <v>3.1294923822814846E-2</v>
      </c>
      <c r="JD133">
        <f t="shared" si="497"/>
        <v>3240.4846177424424</v>
      </c>
      <c r="JE133">
        <f t="shared" si="545"/>
        <v>2.2391131633592392E-6</v>
      </c>
      <c r="JF133">
        <f t="shared" si="498"/>
        <v>1.8628717020161313E-4</v>
      </c>
      <c r="JG133">
        <f t="shared" si="499"/>
        <v>0.19960704939911372</v>
      </c>
      <c r="JI133">
        <f t="shared" si="500"/>
        <v>37.934897797292955</v>
      </c>
      <c r="JJ133">
        <f t="shared" si="501"/>
        <v>0.79200000000000004</v>
      </c>
      <c r="JK133">
        <f t="shared" si="351"/>
        <v>103546.65300000001</v>
      </c>
      <c r="JL133">
        <f t="shared" si="352"/>
        <v>5.2781255631283285E-3</v>
      </c>
      <c r="JM133">
        <f t="shared" si="572"/>
        <v>4.1183782808367582E-3</v>
      </c>
      <c r="JN133">
        <f t="shared" si="502"/>
        <v>1.3224400190375397E-2</v>
      </c>
      <c r="JO133">
        <f t="shared" si="503"/>
        <v>15.033064331880734</v>
      </c>
      <c r="JP133">
        <f t="shared" si="567"/>
        <v>2.3442462020818162E-6</v>
      </c>
      <c r="JQ133">
        <f t="shared" si="546"/>
        <v>2.9978676016293161E-2</v>
      </c>
      <c r="JR133">
        <f t="shared" si="504"/>
        <v>3104.1915628585302</v>
      </c>
      <c r="JS133">
        <f t="shared" si="547"/>
        <v>2.1915193926959127E-6</v>
      </c>
      <c r="JT133">
        <f t="shared" si="505"/>
        <v>1.7517915885900188E-4</v>
      </c>
      <c r="JU133">
        <f t="shared" si="506"/>
        <v>0.19484627691079792</v>
      </c>
    </row>
    <row r="134" spans="2:281">
      <c r="B134">
        <v>1</v>
      </c>
      <c r="C134">
        <f t="shared" si="353"/>
        <v>1.8976937367330144</v>
      </c>
      <c r="D134">
        <f t="shared" si="354"/>
        <v>0.8</v>
      </c>
      <c r="E134">
        <f t="shared" si="573"/>
        <v>103362.22500000001</v>
      </c>
      <c r="F134">
        <f t="shared" si="574"/>
        <v>5.2812629302926148E-3</v>
      </c>
      <c r="G134">
        <f t="shared" si="355"/>
        <v>4.1171548249646275E-3</v>
      </c>
      <c r="H134">
        <f t="shared" si="356"/>
        <v>1.3247996331792734E-2</v>
      </c>
      <c r="I134">
        <f t="shared" si="357"/>
        <v>15.050941231277095</v>
      </c>
      <c r="J134">
        <f t="shared" si="548"/>
        <v>4.0646066001997501E-6</v>
      </c>
      <c r="K134">
        <f t="shared" si="507"/>
        <v>7.6845684800928876E-2</v>
      </c>
      <c r="L134">
        <f t="shared" si="603"/>
        <v>7942.9409626726911</v>
      </c>
      <c r="M134">
        <f t="shared" si="508"/>
        <v>3.5055948990130246E-6</v>
      </c>
      <c r="N134">
        <f t="shared" si="509"/>
        <v>6.4176372333070398E-4</v>
      </c>
      <c r="O134">
        <f t="shared" si="359"/>
        <v>0.33783715313377172</v>
      </c>
      <c r="Q134">
        <f t="shared" si="360"/>
        <v>3.7953874734660289</v>
      </c>
      <c r="R134">
        <f t="shared" si="361"/>
        <v>0.8</v>
      </c>
      <c r="S134">
        <f t="shared" si="575"/>
        <v>103362.22500000001</v>
      </c>
      <c r="T134">
        <f t="shared" si="576"/>
        <v>5.2812629302926148E-3</v>
      </c>
      <c r="U134">
        <f t="shared" si="362"/>
        <v>4.1171548249646275E-3</v>
      </c>
      <c r="V134">
        <f t="shared" si="363"/>
        <v>1.3247996331792734E-2</v>
      </c>
      <c r="W134">
        <f t="shared" si="364"/>
        <v>15.050941231277095</v>
      </c>
      <c r="X134">
        <f t="shared" si="549"/>
        <v>3.926288439917679E-6</v>
      </c>
      <c r="Y134">
        <f t="shared" si="510"/>
        <v>7.2636070393962165E-2</v>
      </c>
      <c r="Z134">
        <f t="shared" si="604"/>
        <v>7507.8258511765562</v>
      </c>
      <c r="AA134">
        <f t="shared" si="511"/>
        <v>3.4082242025557232E-6</v>
      </c>
      <c r="AB134">
        <f t="shared" si="366"/>
        <v>5.9475469509507543E-4</v>
      </c>
      <c r="AC134">
        <f t="shared" si="367"/>
        <v>0.32634058825241297</v>
      </c>
      <c r="AE134">
        <f t="shared" si="368"/>
        <v>5.6930812101990433</v>
      </c>
      <c r="AF134">
        <f t="shared" si="369"/>
        <v>0.8</v>
      </c>
      <c r="AG134">
        <f t="shared" si="577"/>
        <v>103362.22500000001</v>
      </c>
      <c r="AH134">
        <f t="shared" si="578"/>
        <v>5.2812629302926148E-3</v>
      </c>
      <c r="AI134">
        <f t="shared" si="370"/>
        <v>4.1171548249646275E-3</v>
      </c>
      <c r="AJ134">
        <f t="shared" si="371"/>
        <v>1.3247996331792734E-2</v>
      </c>
      <c r="AK134">
        <f t="shared" si="372"/>
        <v>15.050941231277095</v>
      </c>
      <c r="AL134">
        <f t="shared" si="550"/>
        <v>3.7954375243582918E-6</v>
      </c>
      <c r="AM134">
        <f t="shared" si="512"/>
        <v>6.8714739223710269E-2</v>
      </c>
      <c r="AN134">
        <f t="shared" si="605"/>
        <v>7102.5083364574666</v>
      </c>
      <c r="AO134">
        <f t="shared" si="513"/>
        <v>3.3149496550266596E-6</v>
      </c>
      <c r="AP134">
        <f t="shared" si="374"/>
        <v>5.5161579513074335E-4</v>
      </c>
      <c r="AQ134">
        <f t="shared" si="375"/>
        <v>0.31546467696610087</v>
      </c>
      <c r="AS134">
        <f t="shared" si="376"/>
        <v>7.5907749469320578</v>
      </c>
      <c r="AT134">
        <f t="shared" si="377"/>
        <v>0.8</v>
      </c>
      <c r="AU134">
        <f t="shared" si="579"/>
        <v>103362.22500000001</v>
      </c>
      <c r="AV134">
        <f t="shared" si="580"/>
        <v>5.2812629302926148E-3</v>
      </c>
      <c r="AW134">
        <f t="shared" si="378"/>
        <v>4.1171548249646275E-3</v>
      </c>
      <c r="AX134">
        <f t="shared" si="379"/>
        <v>1.3247996331792734E-2</v>
      </c>
      <c r="AY134">
        <f t="shared" si="380"/>
        <v>15.050941231277095</v>
      </c>
      <c r="AZ134">
        <f t="shared" si="551"/>
        <v>3.6715481180815449E-6</v>
      </c>
      <c r="BA134">
        <f t="shared" si="514"/>
        <v>6.5058988762087308E-2</v>
      </c>
      <c r="BB134">
        <f t="shared" si="606"/>
        <v>6724.6418346993405</v>
      </c>
      <c r="BC134">
        <f t="shared" si="515"/>
        <v>3.225563826553137E-6</v>
      </c>
      <c r="BD134">
        <f t="shared" si="382"/>
        <v>5.1200455888609901E-4</v>
      </c>
      <c r="BE134">
        <f t="shared" si="383"/>
        <v>0.30516738415603839</v>
      </c>
      <c r="BG134">
        <f t="shared" si="384"/>
        <v>9.4884686836650722</v>
      </c>
      <c r="BH134">
        <f t="shared" si="385"/>
        <v>0.8</v>
      </c>
      <c r="BI134">
        <f t="shared" si="581"/>
        <v>103362.22500000001</v>
      </c>
      <c r="BJ134">
        <f t="shared" si="582"/>
        <v>5.2812629302926148E-3</v>
      </c>
      <c r="BK134">
        <f t="shared" si="386"/>
        <v>4.1171548249646275E-3</v>
      </c>
      <c r="BL134">
        <f t="shared" si="387"/>
        <v>1.3247996331792734E-2</v>
      </c>
      <c r="BM134">
        <f t="shared" si="388"/>
        <v>15.050941231277095</v>
      </c>
      <c r="BN134">
        <f t="shared" si="552"/>
        <v>3.554153964643159E-6</v>
      </c>
      <c r="BO134">
        <f t="shared" si="516"/>
        <v>6.1648087102959909E-2</v>
      </c>
      <c r="BP134">
        <f t="shared" si="607"/>
        <v>6372.0834499557404</v>
      </c>
      <c r="BQ134">
        <f t="shared" si="517"/>
        <v>3.1398708748594841E-6</v>
      </c>
      <c r="BR134">
        <f t="shared" si="390"/>
        <v>4.756105420478683E-4</v>
      </c>
      <c r="BS134">
        <f t="shared" si="391"/>
        <v>0.2954099560717991</v>
      </c>
      <c r="BU134">
        <f t="shared" si="392"/>
        <v>11.386162420398087</v>
      </c>
      <c r="BV134">
        <f t="shared" si="393"/>
        <v>0.8</v>
      </c>
      <c r="BW134">
        <f t="shared" si="583"/>
        <v>103362.22500000001</v>
      </c>
      <c r="BX134">
        <f t="shared" si="584"/>
        <v>5.2812629302926148E-3</v>
      </c>
      <c r="BY134">
        <f t="shared" si="394"/>
        <v>4.1171548249646275E-3</v>
      </c>
      <c r="BZ134">
        <f t="shared" si="395"/>
        <v>1.3247996331792734E-2</v>
      </c>
      <c r="CA134">
        <f t="shared" si="396"/>
        <v>15.050941231277095</v>
      </c>
      <c r="CB134">
        <f t="shared" si="553"/>
        <v>3.4428248836992338E-6</v>
      </c>
      <c r="CC134">
        <f t="shared" si="518"/>
        <v>5.8463089328597721E-2</v>
      </c>
      <c r="CD134">
        <f t="shared" si="608"/>
        <v>6042.8749933776171</v>
      </c>
      <c r="CE134">
        <f t="shared" si="519"/>
        <v>3.0576858685421476E-6</v>
      </c>
      <c r="CF134">
        <f t="shared" si="398"/>
        <v>4.4215219080820449E-4</v>
      </c>
      <c r="CG134">
        <f t="shared" si="399"/>
        <v>0.28615663749350262</v>
      </c>
      <c r="CI134">
        <f t="shared" si="400"/>
        <v>13.283856157131101</v>
      </c>
      <c r="CJ134">
        <f t="shared" si="401"/>
        <v>0.8</v>
      </c>
      <c r="CK134">
        <f t="shared" si="585"/>
        <v>103362.22500000001</v>
      </c>
      <c r="CL134">
        <f t="shared" si="586"/>
        <v>5.2812629302926148E-3</v>
      </c>
      <c r="CM134">
        <f t="shared" si="402"/>
        <v>4.1171548249646275E-3</v>
      </c>
      <c r="CN134">
        <f t="shared" si="403"/>
        <v>1.3247996331792734E-2</v>
      </c>
      <c r="CO134">
        <f t="shared" si="404"/>
        <v>15.050941231277095</v>
      </c>
      <c r="CP134">
        <f t="shared" si="554"/>
        <v>3.3371636834675093E-6</v>
      </c>
      <c r="CQ134">
        <f t="shared" si="520"/>
        <v>5.5486671904041399E-2</v>
      </c>
      <c r="CR134">
        <f t="shared" si="609"/>
        <v>5735.2258658467053</v>
      </c>
      <c r="CS134">
        <f t="shared" si="521"/>
        <v>2.9788341497201032E-6</v>
      </c>
      <c r="CT134">
        <f t="shared" si="406"/>
        <v>4.1137402896737662E-4</v>
      </c>
      <c r="CU134">
        <f t="shared" si="407"/>
        <v>0.27737441510542965</v>
      </c>
      <c r="CW134">
        <f t="shared" si="408"/>
        <v>15.181549893864116</v>
      </c>
      <c r="CX134">
        <f t="shared" si="409"/>
        <v>0.8</v>
      </c>
      <c r="CY134">
        <f t="shared" si="587"/>
        <v>103362.22500000001</v>
      </c>
      <c r="CZ134">
        <f t="shared" si="588"/>
        <v>5.2812629302926148E-3</v>
      </c>
      <c r="DA134">
        <f t="shared" si="410"/>
        <v>4.1171548249646275E-3</v>
      </c>
      <c r="DB134">
        <f t="shared" si="411"/>
        <v>1.3247996331792734E-2</v>
      </c>
      <c r="DC134">
        <f t="shared" si="412"/>
        <v>15.050941231277095</v>
      </c>
      <c r="DD134">
        <f t="shared" si="555"/>
        <v>3.2368033577140537E-6</v>
      </c>
      <c r="DE134">
        <f t="shared" si="522"/>
        <v>5.2702983262089186E-2</v>
      </c>
      <c r="DF134">
        <f t="shared" si="610"/>
        <v>5447.4976141072966</v>
      </c>
      <c r="DG134">
        <f t="shared" si="523"/>
        <v>2.9031507339070451E-6</v>
      </c>
      <c r="DH134">
        <f t="shared" si="414"/>
        <v>3.8304412894913699E-4</v>
      </c>
      <c r="DI134">
        <f t="shared" si="415"/>
        <v>0.2690327845184845</v>
      </c>
      <c r="DK134">
        <f t="shared" si="416"/>
        <v>17.07924363059713</v>
      </c>
      <c r="DL134">
        <f t="shared" si="417"/>
        <v>0.8</v>
      </c>
      <c r="DM134">
        <f t="shared" si="589"/>
        <v>103362.22500000001</v>
      </c>
      <c r="DN134">
        <f t="shared" si="590"/>
        <v>5.2812629302926148E-3</v>
      </c>
      <c r="DO134">
        <f t="shared" si="418"/>
        <v>4.1171548249646275E-3</v>
      </c>
      <c r="DP134">
        <f t="shared" si="419"/>
        <v>1.3247996331792734E-2</v>
      </c>
      <c r="DQ134">
        <f t="shared" si="420"/>
        <v>15.050941231277095</v>
      </c>
      <c r="DR134">
        <f t="shared" si="556"/>
        <v>3.1414045395672679E-6</v>
      </c>
      <c r="DS134">
        <f t="shared" si="524"/>
        <v>5.0097508933603714E-2</v>
      </c>
      <c r="DT134">
        <f t="shared" si="611"/>
        <v>5178.1899903346575</v>
      </c>
      <c r="DU134">
        <f t="shared" si="525"/>
        <v>2.8304797450529412E-6</v>
      </c>
      <c r="DV134">
        <f t="shared" si="422"/>
        <v>3.5695183728666946E-4</v>
      </c>
      <c r="DW134">
        <f t="shared" si="423"/>
        <v>0.26110353863932545</v>
      </c>
      <c r="DY134">
        <f t="shared" si="424"/>
        <v>18.976937367330144</v>
      </c>
      <c r="DZ134">
        <f t="shared" si="425"/>
        <v>0.8</v>
      </c>
      <c r="EA134">
        <f t="shared" si="591"/>
        <v>103362.22500000001</v>
      </c>
      <c r="EB134">
        <f t="shared" si="592"/>
        <v>5.2812629302926148E-3</v>
      </c>
      <c r="EC134">
        <f t="shared" si="426"/>
        <v>4.1171548249646275E-3</v>
      </c>
      <c r="ED134">
        <f t="shared" si="427"/>
        <v>1.3247996331792734E-2</v>
      </c>
      <c r="EE134">
        <f t="shared" si="428"/>
        <v>15.050941231277095</v>
      </c>
      <c r="EF134">
        <f t="shared" si="557"/>
        <v>3.0506531872673477E-6</v>
      </c>
      <c r="EG134">
        <f t="shared" si="526"/>
        <v>4.7656949749487969E-2</v>
      </c>
      <c r="EH134">
        <f t="shared" si="612"/>
        <v>4925.9283628202693</v>
      </c>
      <c r="EI134">
        <f t="shared" si="527"/>
        <v>2.7606738838003495E-6</v>
      </c>
      <c r="EJ134">
        <f t="shared" si="430"/>
        <v>3.3290572824639839E-4</v>
      </c>
      <c r="EK134">
        <f t="shared" si="431"/>
        <v>0.2535605753172322</v>
      </c>
      <c r="EM134">
        <f t="shared" si="432"/>
        <v>20.874631104063159</v>
      </c>
      <c r="EN134">
        <f t="shared" si="433"/>
        <v>0.8</v>
      </c>
      <c r="EO134">
        <f t="shared" si="593"/>
        <v>103362.22500000001</v>
      </c>
      <c r="EP134">
        <f t="shared" si="594"/>
        <v>5.2812629302926148E-3</v>
      </c>
      <c r="EQ134">
        <f t="shared" si="434"/>
        <v>4.1171548249646275E-3</v>
      </c>
      <c r="ER134">
        <f t="shared" si="435"/>
        <v>1.3247996331792734E-2</v>
      </c>
      <c r="ES134">
        <f t="shared" si="436"/>
        <v>15.050941231277095</v>
      </c>
      <c r="ET134">
        <f t="shared" si="558"/>
        <v>2.9642584794732606E-6</v>
      </c>
      <c r="EU134">
        <f t="shared" si="528"/>
        <v>4.5369111794139418E-2</v>
      </c>
      <c r="EV134">
        <f t="shared" si="613"/>
        <v>4689.4523413159923</v>
      </c>
      <c r="EW134">
        <f t="shared" si="529"/>
        <v>2.6935939270951951E-6</v>
      </c>
      <c r="EX134">
        <f t="shared" si="438"/>
        <v>3.1073176203473443E-4</v>
      </c>
      <c r="EY134">
        <f t="shared" si="439"/>
        <v>0.24637972240872585</v>
      </c>
      <c r="FA134">
        <f t="shared" si="440"/>
        <v>22.772324840796173</v>
      </c>
      <c r="FB134">
        <f t="shared" si="441"/>
        <v>0.8</v>
      </c>
      <c r="FC134">
        <f t="shared" si="595"/>
        <v>103362.22500000001</v>
      </c>
      <c r="FD134">
        <f t="shared" si="596"/>
        <v>5.2812629302926148E-3</v>
      </c>
      <c r="FE134">
        <f t="shared" si="442"/>
        <v>4.1171548249646275E-3</v>
      </c>
      <c r="FF134">
        <f t="shared" si="443"/>
        <v>1.3247996331792734E-2</v>
      </c>
      <c r="FG134">
        <f t="shared" si="444"/>
        <v>15.050941231277095</v>
      </c>
      <c r="FH134">
        <f t="shared" si="559"/>
        <v>2.8819509000020759E-6</v>
      </c>
      <c r="FI134">
        <f t="shared" si="530"/>
        <v>4.3222806927402803E-2</v>
      </c>
      <c r="FJ134">
        <f t="shared" si="614"/>
        <v>4467.6054947617677</v>
      </c>
      <c r="FK134">
        <f t="shared" si="531"/>
        <v>2.6291082573826879E-6</v>
      </c>
      <c r="FL134">
        <f t="shared" si="446"/>
        <v>2.9027162651465123E-4</v>
      </c>
      <c r="FM134">
        <f t="shared" si="447"/>
        <v>0.2395385785872032</v>
      </c>
      <c r="FO134">
        <f t="shared" si="448"/>
        <v>24.670018577529188</v>
      </c>
      <c r="FP134">
        <f t="shared" si="449"/>
        <v>0.8</v>
      </c>
      <c r="FQ134">
        <f t="shared" si="597"/>
        <v>103362.22500000001</v>
      </c>
      <c r="FR134">
        <f t="shared" si="598"/>
        <v>5.2812629302926148E-3</v>
      </c>
      <c r="FS134">
        <f t="shared" si="450"/>
        <v>4.1171548249646275E-3</v>
      </c>
      <c r="FT134">
        <f t="shared" si="451"/>
        <v>1.3247996331792734E-2</v>
      </c>
      <c r="FU134">
        <f t="shared" si="452"/>
        <v>15.050941231277095</v>
      </c>
      <c r="FV134">
        <f t="shared" si="560"/>
        <v>2.8034804938944695E-6</v>
      </c>
      <c r="FW134">
        <f t="shared" si="532"/>
        <v>4.1207762814741228E-2</v>
      </c>
      <c r="FX134">
        <f t="shared" si="615"/>
        <v>4259.326051803916</v>
      </c>
      <c r="FY134">
        <f t="shared" si="533"/>
        <v>2.5670924197069329E-6</v>
      </c>
      <c r="FZ134">
        <f t="shared" si="454"/>
        <v>2.7138124357596296E-4</v>
      </c>
      <c r="GA134">
        <f t="shared" si="455"/>
        <v>0.23301636839265646</v>
      </c>
      <c r="GC134">
        <f t="shared" si="456"/>
        <v>26.567712314262202</v>
      </c>
      <c r="GD134">
        <f t="shared" si="457"/>
        <v>0.8</v>
      </c>
      <c r="GE134">
        <f t="shared" si="599"/>
        <v>103362.22500000001</v>
      </c>
      <c r="GF134">
        <f t="shared" si="600"/>
        <v>5.2812629302926148E-3</v>
      </c>
      <c r="GG134">
        <f t="shared" si="458"/>
        <v>4.1171548249646275E-3</v>
      </c>
      <c r="GH134">
        <f t="shared" si="459"/>
        <v>1.3247996331792734E-2</v>
      </c>
      <c r="GI134">
        <f t="shared" si="460"/>
        <v>15.050941231277095</v>
      </c>
      <c r="GJ134">
        <f t="shared" si="561"/>
        <v>2.7286152785103786E-6</v>
      </c>
      <c r="GK134">
        <f t="shared" si="534"/>
        <v>3.9314541515072361E-2</v>
      </c>
      <c r="GL134">
        <f t="shared" si="616"/>
        <v>4063.6384858527504</v>
      </c>
      <c r="GM134">
        <f t="shared" si="535"/>
        <v>2.507428705117321E-6</v>
      </c>
      <c r="GN134">
        <f t="shared" si="462"/>
        <v>2.5392942328424279E-4</v>
      </c>
      <c r="GO134">
        <f t="shared" si="463"/>
        <v>0.22679381016700556</v>
      </c>
      <c r="GQ134">
        <f t="shared" si="464"/>
        <v>28.465406050995217</v>
      </c>
      <c r="GR134">
        <f t="shared" si="465"/>
        <v>0.8</v>
      </c>
      <c r="GS134">
        <f t="shared" si="601"/>
        <v>103362.22500000001</v>
      </c>
      <c r="GT134">
        <f t="shared" si="602"/>
        <v>5.2812629302926148E-3</v>
      </c>
      <c r="GU134">
        <f t="shared" si="466"/>
        <v>4.1171548249646275E-3</v>
      </c>
      <c r="GV134">
        <f t="shared" si="467"/>
        <v>1.3247996331792734E-2</v>
      </c>
      <c r="GW134">
        <f t="shared" si="468"/>
        <v>15.050941231277095</v>
      </c>
      <c r="GX134">
        <f t="shared" si="562"/>
        <v>2.6571397949819844E-6</v>
      </c>
      <c r="GY134">
        <f t="shared" si="536"/>
        <v>3.7534465773861769E-2</v>
      </c>
      <c r="GZ134">
        <f t="shared" si="617"/>
        <v>3879.6458965726997</v>
      </c>
      <c r="HA134">
        <f t="shared" si="537"/>
        <v>2.4500057588662743E-6</v>
      </c>
      <c r="HB134">
        <f t="shared" si="470"/>
        <v>2.3779665070325947E-4</v>
      </c>
      <c r="HC134">
        <f t="shared" si="471"/>
        <v>0.22085299565548414</v>
      </c>
      <c r="HE134">
        <f t="shared" si="472"/>
        <v>30.363099787728231</v>
      </c>
      <c r="HF134">
        <f t="shared" si="473"/>
        <v>0.8</v>
      </c>
      <c r="HG134">
        <f t="shared" si="343"/>
        <v>103362.22500000001</v>
      </c>
      <c r="HH134">
        <f t="shared" si="344"/>
        <v>5.2812629302926148E-3</v>
      </c>
      <c r="HI134">
        <f t="shared" si="568"/>
        <v>4.1171548249646275E-3</v>
      </c>
      <c r="HJ134">
        <f t="shared" si="474"/>
        <v>1.3247996331792734E-2</v>
      </c>
      <c r="HK134">
        <f t="shared" si="475"/>
        <v>15.050941231277095</v>
      </c>
      <c r="HL134">
        <f t="shared" si="563"/>
        <v>2.588853786807184E-6</v>
      </c>
      <c r="HM134">
        <f t="shared" si="538"/>
        <v>3.5859552256858919E-2</v>
      </c>
      <c r="HN134">
        <f t="shared" si="476"/>
        <v>3706.5231087727097</v>
      </c>
      <c r="HO134">
        <f t="shared" si="539"/>
        <v>2.3947182119612695E-6</v>
      </c>
      <c r="HP134">
        <f t="shared" si="477"/>
        <v>2.2287399186738023E-4</v>
      </c>
      <c r="HQ134">
        <f t="shared" si="478"/>
        <v>0.21517728017553822</v>
      </c>
      <c r="HS134">
        <f t="shared" si="479"/>
        <v>32.260793524461249</v>
      </c>
      <c r="HT134">
        <f t="shared" si="480"/>
        <v>0.8</v>
      </c>
      <c r="HU134">
        <f t="shared" si="345"/>
        <v>103362.22500000001</v>
      </c>
      <c r="HV134">
        <f t="shared" si="346"/>
        <v>5.2812629302926148E-3</v>
      </c>
      <c r="HW134">
        <f t="shared" si="569"/>
        <v>4.1171548249646275E-3</v>
      </c>
      <c r="HX134">
        <f t="shared" si="481"/>
        <v>1.3247996331792734E-2</v>
      </c>
      <c r="HY134">
        <f t="shared" si="482"/>
        <v>15.050941231277095</v>
      </c>
      <c r="HZ134">
        <f t="shared" si="564"/>
        <v>2.5235709936732205E-6</v>
      </c>
      <c r="IA134">
        <f t="shared" si="540"/>
        <v>3.4282451038409552E-2</v>
      </c>
      <c r="IB134">
        <f t="shared" si="483"/>
        <v>3543.5104177835719</v>
      </c>
      <c r="IC134">
        <f t="shared" si="541"/>
        <v>2.3414663347093693E-6</v>
      </c>
      <c r="ID134">
        <f t="shared" si="484"/>
        <v>2.0906210679384678E-4</v>
      </c>
      <c r="IE134">
        <f t="shared" si="485"/>
        <v>0.2097511823632886</v>
      </c>
      <c r="IG134">
        <f t="shared" si="486"/>
        <v>34.15848726119426</v>
      </c>
      <c r="IH134">
        <f t="shared" si="487"/>
        <v>0.8</v>
      </c>
      <c r="II134">
        <f t="shared" si="347"/>
        <v>103362.22500000001</v>
      </c>
      <c r="IJ134">
        <f t="shared" si="348"/>
        <v>5.2812629302926148E-3</v>
      </c>
      <c r="IK134">
        <f t="shared" si="570"/>
        <v>4.1171548249646275E-3</v>
      </c>
      <c r="IL134">
        <f t="shared" si="488"/>
        <v>1.3247996331792734E-2</v>
      </c>
      <c r="IM134">
        <f t="shared" si="489"/>
        <v>15.050941231277095</v>
      </c>
      <c r="IN134">
        <f t="shared" si="565"/>
        <v>2.461118049772717E-6</v>
      </c>
      <c r="IO134">
        <f t="shared" si="542"/>
        <v>3.279639072856505E-2</v>
      </c>
      <c r="IP134">
        <f t="shared" si="490"/>
        <v>3389.9079176738546</v>
      </c>
      <c r="IQ134">
        <f t="shared" si="543"/>
        <v>2.29015571096473E-6</v>
      </c>
      <c r="IR134">
        <f t="shared" si="491"/>
        <v>1.9627035868805603E-4</v>
      </c>
      <c r="IS134">
        <f t="shared" si="492"/>
        <v>0.20456029260506886</v>
      </c>
      <c r="IU134">
        <f t="shared" si="493"/>
        <v>36.056180997927271</v>
      </c>
      <c r="IV134">
        <f t="shared" si="494"/>
        <v>0.8</v>
      </c>
      <c r="IW134">
        <f t="shared" si="349"/>
        <v>103362.22500000001</v>
      </c>
      <c r="IX134">
        <f t="shared" si="350"/>
        <v>5.2812629302926148E-3</v>
      </c>
      <c r="IY134">
        <f t="shared" si="571"/>
        <v>4.1171548249646275E-3</v>
      </c>
      <c r="IZ134">
        <f t="shared" si="495"/>
        <v>1.3247996331792734E-2</v>
      </c>
      <c r="JA134">
        <f t="shared" si="496"/>
        <v>15.050941231277095</v>
      </c>
      <c r="JB134">
        <f t="shared" si="566"/>
        <v>2.4013334769271632E-6</v>
      </c>
      <c r="JC134">
        <f t="shared" si="544"/>
        <v>3.1395128686117109E-2</v>
      </c>
      <c r="JD134">
        <f t="shared" si="497"/>
        <v>3245.0703551583911</v>
      </c>
      <c r="JE134">
        <f t="shared" si="545"/>
        <v>2.2406969318588863E-6</v>
      </c>
      <c r="JF134">
        <f t="shared" si="498"/>
        <v>1.8441600962403225E-4</v>
      </c>
      <c r="JG134">
        <f t="shared" si="499"/>
        <v>0.19959118934905687</v>
      </c>
      <c r="JI134">
        <f t="shared" si="500"/>
        <v>37.953874734660289</v>
      </c>
      <c r="JJ134">
        <f t="shared" si="501"/>
        <v>0.8</v>
      </c>
      <c r="JK134">
        <f t="shared" si="351"/>
        <v>103362.22500000001</v>
      </c>
      <c r="JL134">
        <f t="shared" si="352"/>
        <v>5.2812629302926148E-3</v>
      </c>
      <c r="JM134">
        <f t="shared" si="572"/>
        <v>4.1171548249646275E-3</v>
      </c>
      <c r="JN134">
        <f t="shared" si="502"/>
        <v>1.3247996331792734E-2</v>
      </c>
      <c r="JO134">
        <f t="shared" si="503"/>
        <v>15.050941231277095</v>
      </c>
      <c r="JP134">
        <f t="shared" si="567"/>
        <v>2.3440667637785096E-6</v>
      </c>
      <c r="JQ134">
        <f t="shared" si="546"/>
        <v>3.0072905820996726E-2</v>
      </c>
      <c r="JR134">
        <f t="shared" si="504"/>
        <v>3108.4024578736735</v>
      </c>
      <c r="JS134">
        <f t="shared" si="547"/>
        <v>2.1930053078598713E-6</v>
      </c>
      <c r="JT134">
        <f t="shared" si="505"/>
        <v>1.7342349399180064E-4</v>
      </c>
      <c r="JU134">
        <f t="shared" si="506"/>
        <v>0.19483136257061323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9ED97-17BE-403E-8E26-E944928CA1EE}">
  <dimension ref="A1:AS156"/>
  <sheetViews>
    <sheetView topLeftCell="J1" workbookViewId="0">
      <selection activeCell="AB26" sqref="AB26"/>
    </sheetView>
  </sheetViews>
  <sheetFormatPr defaultColWidth="11.42578125" defaultRowHeight="15"/>
  <cols>
    <col min="1" max="1" width="19.28515625" customWidth="1"/>
    <col min="2" max="4" width="12" bestFit="1" customWidth="1"/>
    <col min="6" max="6" width="15.140625" customWidth="1"/>
    <col min="7" max="7" width="18.140625" customWidth="1"/>
    <col min="8" max="8" width="12" bestFit="1" customWidth="1"/>
    <col min="11" max="11" width="12" bestFit="1" customWidth="1"/>
    <col min="14" max="15" width="12" bestFit="1" customWidth="1"/>
    <col min="22" max="22" width="12" bestFit="1" customWidth="1"/>
  </cols>
  <sheetData>
    <row r="1" spans="1:28">
      <c r="B1" s="1" t="s">
        <v>0</v>
      </c>
      <c r="F1" s="1" t="s">
        <v>1</v>
      </c>
      <c r="J1" t="s">
        <v>100</v>
      </c>
      <c r="R1" s="6" t="s">
        <v>101</v>
      </c>
      <c r="S1" s="6" t="s">
        <v>102</v>
      </c>
      <c r="T1" s="6"/>
    </row>
    <row r="2" spans="1:28">
      <c r="A2" t="s">
        <v>103</v>
      </c>
      <c r="B2" s="6" t="s">
        <v>18</v>
      </c>
      <c r="C2" s="11">
        <v>10</v>
      </c>
      <c r="D2" s="6" t="s">
        <v>5</v>
      </c>
      <c r="F2" s="6" t="s">
        <v>6</v>
      </c>
      <c r="G2" s="6"/>
      <c r="J2" s="6" t="s">
        <v>18</v>
      </c>
      <c r="K2" s="6" t="s">
        <v>42</v>
      </c>
      <c r="L2" s="6" t="s">
        <v>94</v>
      </c>
      <c r="M2" s="6" t="s">
        <v>104</v>
      </c>
      <c r="R2" s="6"/>
      <c r="S2" s="6" t="s">
        <v>8</v>
      </c>
      <c r="T2" s="6" t="s">
        <v>31</v>
      </c>
      <c r="U2" s="6" t="s">
        <v>105</v>
      </c>
      <c r="V2" s="22" t="s">
        <v>106</v>
      </c>
    </row>
    <row r="3" spans="1:28">
      <c r="B3" s="6" t="s">
        <v>11</v>
      </c>
      <c r="C3" s="11">
        <v>0.8</v>
      </c>
      <c r="D3" s="6" t="s">
        <v>12</v>
      </c>
      <c r="F3" s="6">
        <f>2*C17/1000/C21</f>
        <v>8.3085317460317469E-5</v>
      </c>
      <c r="G3" s="6" t="s">
        <v>107</v>
      </c>
      <c r="J3" s="6">
        <v>1</v>
      </c>
      <c r="K3" s="6">
        <f>SQRT(2*$C$22/($C$18*(J3/1000))+$C$19*(J3/1000)/2)</f>
        <v>0.87798772588716223</v>
      </c>
      <c r="L3" s="6">
        <f>2*SQRT($G$12*K3/(PI()*(J3/1000)))</f>
        <v>1.2759865947943188E-2</v>
      </c>
      <c r="M3" s="13">
        <f>4*$C$22/(J3/1000)/$C$13</f>
        <v>4.441154700222058E-2</v>
      </c>
      <c r="R3" s="6">
        <v>0</v>
      </c>
      <c r="S3" s="6">
        <f>R3*$G$18</f>
        <v>0</v>
      </c>
      <c r="T3" s="6">
        <v>0.35</v>
      </c>
      <c r="U3" s="6">
        <f>0.35</f>
        <v>0.35</v>
      </c>
      <c r="V3" s="6">
        <v>0.35</v>
      </c>
    </row>
    <row r="4" spans="1:28">
      <c r="A4">
        <f>C4*C18</f>
        <v>634.5</v>
      </c>
      <c r="B4" s="6" t="s">
        <v>15</v>
      </c>
      <c r="C4" s="11">
        <v>0.27</v>
      </c>
      <c r="D4" s="6" t="s">
        <v>16</v>
      </c>
      <c r="F4" s="6" t="s">
        <v>17</v>
      </c>
      <c r="G4" s="6"/>
      <c r="J4" s="6">
        <v>2</v>
      </c>
      <c r="K4" s="6">
        <f t="shared" ref="K4:K22" si="0">SQRT(2*$C$22/($C$18*(J4/1000))+$C$19*(J4/1000)/2)</f>
        <v>0.62672858830936962</v>
      </c>
      <c r="L4" s="6">
        <f t="shared" ref="L4:L22" si="1">2*SQRT($G$12*K4/(PI()*(J4/1000)))</f>
        <v>7.623012720331058E-3</v>
      </c>
      <c r="M4" s="13">
        <f t="shared" ref="M4:M22" si="2">4*$C$22/(J4/1000)/$C$13</f>
        <v>2.220577350111029E-2</v>
      </c>
      <c r="R4" s="6">
        <v>1</v>
      </c>
      <c r="S4" s="6">
        <f t="shared" ref="S4:S23" si="3">R4*$G$18</f>
        <v>2.2569196338526254</v>
      </c>
      <c r="T4" s="6">
        <v>0.32700000000000001</v>
      </c>
      <c r="U4" s="6">
        <v>0.33139999999999997</v>
      </c>
      <c r="V4" s="6">
        <v>0.34029999999999999</v>
      </c>
    </row>
    <row r="5" spans="1:28">
      <c r="B5" s="6" t="s">
        <v>19</v>
      </c>
      <c r="C5" s="11">
        <v>700</v>
      </c>
      <c r="D5" s="7" t="s">
        <v>20</v>
      </c>
      <c r="F5" s="6">
        <f>100/C20</f>
        <v>3.7064492216456633</v>
      </c>
      <c r="G5" s="6" t="s">
        <v>21</v>
      </c>
      <c r="J5" s="6">
        <v>3</v>
      </c>
      <c r="K5" s="6">
        <f t="shared" si="0"/>
        <v>0.519648101060872</v>
      </c>
      <c r="L5" s="6">
        <f t="shared" si="1"/>
        <v>5.6675574937173198E-3</v>
      </c>
      <c r="M5" s="13">
        <f t="shared" si="2"/>
        <v>1.4803849000740192E-2</v>
      </c>
      <c r="R5" s="6">
        <v>2</v>
      </c>
      <c r="S5" s="6">
        <f t="shared" si="3"/>
        <v>4.5138392677052508</v>
      </c>
      <c r="T5" s="6">
        <v>0.30649999999999999</v>
      </c>
      <c r="U5" s="6">
        <v>0.31390000000000001</v>
      </c>
      <c r="V5" s="6">
        <v>0.33079999999999998</v>
      </c>
    </row>
    <row r="6" spans="1:28">
      <c r="A6">
        <f>25000/3600</f>
        <v>6.9444444444444446</v>
      </c>
      <c r="B6" s="6" t="s">
        <v>22</v>
      </c>
      <c r="C6" s="11">
        <v>800</v>
      </c>
      <c r="D6" s="7" t="s">
        <v>23</v>
      </c>
      <c r="F6" s="6"/>
      <c r="G6" s="6"/>
      <c r="J6" s="6">
        <v>4</v>
      </c>
      <c r="K6" s="6">
        <f t="shared" si="0"/>
        <v>0.45946638800039297</v>
      </c>
      <c r="L6" s="6">
        <f t="shared" si="1"/>
        <v>4.6152875777671068E-3</v>
      </c>
      <c r="M6" s="13">
        <f t="shared" si="2"/>
        <v>1.1102886750555145E-2</v>
      </c>
      <c r="R6" s="6">
        <v>3</v>
      </c>
      <c r="S6" s="6">
        <f t="shared" si="3"/>
        <v>6.7707589015578762</v>
      </c>
      <c r="T6" s="6">
        <v>0.2878</v>
      </c>
      <c r="U6" s="6">
        <v>0.29730000000000001</v>
      </c>
      <c r="V6" s="6">
        <v>0.3216</v>
      </c>
    </row>
    <row r="7" spans="1:28">
      <c r="A7">
        <f>C4*C18/A6</f>
        <v>91.367999999999995</v>
      </c>
      <c r="B7" s="6" t="s">
        <v>25</v>
      </c>
      <c r="C7" s="11">
        <v>0.35</v>
      </c>
      <c r="D7" s="7" t="s">
        <v>26</v>
      </c>
      <c r="F7" s="6" t="s">
        <v>27</v>
      </c>
      <c r="G7" s="6" t="s">
        <v>108</v>
      </c>
      <c r="J7" s="6">
        <v>5</v>
      </c>
      <c r="K7" s="6">
        <f t="shared" si="0"/>
        <v>0.42156433596985182</v>
      </c>
      <c r="L7" s="6">
        <f t="shared" si="1"/>
        <v>3.9541106545051118E-3</v>
      </c>
      <c r="M7" s="13">
        <f t="shared" si="2"/>
        <v>8.8823094004441151E-3</v>
      </c>
      <c r="R7" s="6">
        <v>4</v>
      </c>
      <c r="S7" s="6">
        <f t="shared" si="3"/>
        <v>9.0276785354105016</v>
      </c>
      <c r="T7" s="6">
        <v>0.27079999999999999</v>
      </c>
      <c r="U7" s="6">
        <v>0.28170000000000001</v>
      </c>
      <c r="V7" s="6">
        <v>0.31269999999999998</v>
      </c>
    </row>
    <row r="8" spans="1:28">
      <c r="B8" s="6" t="s">
        <v>29</v>
      </c>
      <c r="C8" s="11">
        <v>75</v>
      </c>
      <c r="D8" s="6" t="s">
        <v>30</v>
      </c>
      <c r="F8" s="6" t="s">
        <v>31</v>
      </c>
      <c r="G8" s="6" t="s">
        <v>26</v>
      </c>
      <c r="J8" s="6">
        <v>6</v>
      </c>
      <c r="K8" s="6">
        <f t="shared" si="0"/>
        <v>0.39634527178721979</v>
      </c>
      <c r="L8" s="6">
        <f t="shared" si="1"/>
        <v>3.4999601949439281E-3</v>
      </c>
      <c r="M8" s="13">
        <f t="shared" si="2"/>
        <v>7.4019245003700959E-3</v>
      </c>
      <c r="R8" s="6">
        <v>5</v>
      </c>
      <c r="S8" s="6">
        <f t="shared" si="3"/>
        <v>11.284598169263127</v>
      </c>
      <c r="T8" s="6">
        <v>0.25519999999999998</v>
      </c>
      <c r="U8" s="6">
        <v>0.26690000000000003</v>
      </c>
      <c r="V8" s="6">
        <v>0.30399999999999999</v>
      </c>
    </row>
    <row r="9" spans="1:28">
      <c r="A9" s="21">
        <f>O134</f>
        <v>0.34026486170100223</v>
      </c>
      <c r="B9" s="16" t="s">
        <v>32</v>
      </c>
      <c r="C9" s="6"/>
      <c r="D9" s="6"/>
      <c r="F9" s="16" t="s">
        <v>109</v>
      </c>
      <c r="G9" s="6"/>
      <c r="J9" s="6">
        <v>7</v>
      </c>
      <c r="K9" s="6">
        <f t="shared" si="0"/>
        <v>0.37915365275995405</v>
      </c>
      <c r="L9" s="6">
        <f t="shared" si="1"/>
        <v>3.1692791365809641E-3</v>
      </c>
      <c r="M9" s="13">
        <f t="shared" si="2"/>
        <v>6.3445067146029399E-3</v>
      </c>
      <c r="R9" s="6">
        <v>6</v>
      </c>
      <c r="S9" s="6">
        <f t="shared" si="3"/>
        <v>13.541517803115752</v>
      </c>
      <c r="T9" s="6">
        <v>0.24099999999999999</v>
      </c>
      <c r="U9" s="6">
        <v>0.25290000000000001</v>
      </c>
      <c r="V9" s="6">
        <v>0.29559999999999997</v>
      </c>
    </row>
    <row r="10" spans="1:28">
      <c r="B10" s="6" t="s">
        <v>34</v>
      </c>
      <c r="C10" s="6">
        <f>C5+273</f>
        <v>973</v>
      </c>
      <c r="D10" s="6" t="s">
        <v>35</v>
      </c>
      <c r="F10" s="6" t="s">
        <v>36</v>
      </c>
      <c r="G10" s="6">
        <f>F3/F5</f>
        <v>2.2416418650793655E-5</v>
      </c>
      <c r="J10" s="6">
        <v>8</v>
      </c>
      <c r="K10" s="6">
        <f t="shared" si="0"/>
        <v>0.3674026141048316</v>
      </c>
      <c r="L10" s="6">
        <f t="shared" si="1"/>
        <v>2.9182871110957137E-3</v>
      </c>
      <c r="M10" s="13">
        <f t="shared" si="2"/>
        <v>5.5514433752775726E-3</v>
      </c>
      <c r="R10" s="6">
        <v>7</v>
      </c>
      <c r="S10" s="6">
        <f t="shared" si="3"/>
        <v>15.798437436968378</v>
      </c>
      <c r="T10" s="6">
        <v>0.22800000000000001</v>
      </c>
      <c r="U10" s="6">
        <v>0.2397</v>
      </c>
      <c r="V10" s="6">
        <v>0.28739999999999999</v>
      </c>
    </row>
    <row r="11" spans="1:28">
      <c r="B11" s="6" t="s">
        <v>18</v>
      </c>
      <c r="C11" s="6">
        <f>C2/1000</f>
        <v>0.01</v>
      </c>
      <c r="D11" s="6" t="s">
        <v>12</v>
      </c>
      <c r="G11" s="8"/>
      <c r="J11" s="6">
        <v>9</v>
      </c>
      <c r="K11" s="6">
        <f t="shared" si="0"/>
        <v>0.35951548364253161</v>
      </c>
      <c r="L11" s="6">
        <f t="shared" si="1"/>
        <v>2.7216948685118317E-3</v>
      </c>
      <c r="M11" s="13">
        <f t="shared" si="2"/>
        <v>4.9346163335800648E-3</v>
      </c>
      <c r="R11" s="6">
        <v>8</v>
      </c>
      <c r="S11" s="6">
        <f t="shared" si="3"/>
        <v>18.055357070821003</v>
      </c>
      <c r="T11" s="6"/>
      <c r="U11" s="6">
        <v>0.2273</v>
      </c>
      <c r="V11" s="6">
        <v>0.27950000000000003</v>
      </c>
    </row>
    <row r="12" spans="1:28">
      <c r="B12" s="6" t="s">
        <v>29</v>
      </c>
      <c r="C12" s="6">
        <f>C8/1000/60</f>
        <v>1.25E-3</v>
      </c>
      <c r="D12" s="6" t="s">
        <v>37</v>
      </c>
      <c r="F12" s="6" t="s">
        <v>38</v>
      </c>
      <c r="G12" s="14">
        <f>C23*EXP(-C24/(C25*(C5+273.15)))</f>
        <v>1.4564435629199587E-7</v>
      </c>
      <c r="H12" s="6" t="s">
        <v>39</v>
      </c>
      <c r="J12" s="6">
        <v>10</v>
      </c>
      <c r="K12" s="6">
        <f t="shared" si="0"/>
        <v>0.35446543510030859</v>
      </c>
      <c r="L12" s="6">
        <f t="shared" si="1"/>
        <v>2.5638277016345728E-3</v>
      </c>
      <c r="M12" s="13">
        <f t="shared" si="2"/>
        <v>4.4411547002220575E-3</v>
      </c>
      <c r="R12" s="6">
        <v>9</v>
      </c>
      <c r="S12" s="6">
        <f t="shared" si="3"/>
        <v>20.312276704673629</v>
      </c>
      <c r="T12" s="6"/>
      <c r="U12" s="6">
        <v>0.2155</v>
      </c>
      <c r="V12" s="6">
        <v>0.27179999999999999</v>
      </c>
      <c r="Z12" s="1" t="s">
        <v>110</v>
      </c>
    </row>
    <row r="13" spans="1:28">
      <c r="B13" s="6" t="s">
        <v>22</v>
      </c>
      <c r="C13" s="6">
        <f>C6*101325/1000</f>
        <v>81060</v>
      </c>
      <c r="D13" s="6" t="s">
        <v>41</v>
      </c>
      <c r="F13" s="6" t="s">
        <v>42</v>
      </c>
      <c r="G13" s="14">
        <f>SQRT(2*C22/(C18*C11)+C19*C11/2)</f>
        <v>0.35446543510030859</v>
      </c>
      <c r="H13" s="6" t="s">
        <v>43</v>
      </c>
      <c r="J13" s="6">
        <v>11</v>
      </c>
      <c r="K13" s="6">
        <f t="shared" si="0"/>
        <v>0.35155013179404454</v>
      </c>
      <c r="L13" s="6">
        <f t="shared" si="1"/>
        <v>2.4344405842917412E-3</v>
      </c>
      <c r="M13" s="13">
        <f t="shared" si="2"/>
        <v>4.0374133638382348E-3</v>
      </c>
      <c r="R13" s="6">
        <v>10</v>
      </c>
      <c r="S13" s="6">
        <f t="shared" si="3"/>
        <v>22.569196338526254</v>
      </c>
      <c r="T13" s="6"/>
      <c r="U13" s="6">
        <v>0.2044</v>
      </c>
      <c r="V13" s="6">
        <v>0.26429999999999998</v>
      </c>
      <c r="Z13" t="s">
        <v>111</v>
      </c>
      <c r="AA13">
        <f>4/3*PI()*(C11/2)^3*1000</f>
        <v>5.2359877559829892E-4</v>
      </c>
      <c r="AB13" t="s">
        <v>112</v>
      </c>
    </row>
    <row r="14" spans="1:28">
      <c r="B14" s="6" t="s">
        <v>44</v>
      </c>
      <c r="C14" s="6">
        <f>C7*G10</f>
        <v>7.8457465277777787E-6</v>
      </c>
      <c r="D14" s="6" t="s">
        <v>45</v>
      </c>
      <c r="F14" s="6" t="s">
        <v>94</v>
      </c>
      <c r="G14" s="14">
        <f>2*SQRT(G12*G13/(PI()*C11))</f>
        <v>2.5638277016345728E-3</v>
      </c>
      <c r="H14" s="6" t="s">
        <v>43</v>
      </c>
      <c r="J14" s="6">
        <v>12</v>
      </c>
      <c r="K14" s="6">
        <f t="shared" si="0"/>
        <v>0.35027101968910096</v>
      </c>
      <c r="L14" s="6">
        <f t="shared" si="1"/>
        <v>2.3265552468065983E-3</v>
      </c>
      <c r="M14" s="13">
        <f t="shared" si="2"/>
        <v>3.7009622501850479E-3</v>
      </c>
      <c r="R14" s="6">
        <v>11</v>
      </c>
      <c r="S14" s="6">
        <f t="shared" si="3"/>
        <v>24.826115972378879</v>
      </c>
      <c r="T14" s="6"/>
      <c r="U14" s="6">
        <v>0.19389999999999999</v>
      </c>
      <c r="V14" s="6">
        <v>0.25700000000000001</v>
      </c>
      <c r="Z14" t="s">
        <v>113</v>
      </c>
      <c r="AA14">
        <f>4*PI()*(C11/2)^2</f>
        <v>3.1415926535897931E-4</v>
      </c>
      <c r="AB14" t="s">
        <v>114</v>
      </c>
    </row>
    <row r="15" spans="1:28">
      <c r="F15" s="6" t="s">
        <v>115</v>
      </c>
      <c r="G15" s="6">
        <f>C13+C18*C19*C3/2+4*C22/C11</f>
        <v>90641.4</v>
      </c>
      <c r="H15" s="6" t="s">
        <v>41</v>
      </c>
      <c r="J15" s="6">
        <v>13</v>
      </c>
      <c r="K15" s="6">
        <f t="shared" si="0"/>
        <v>0.35026390564923282</v>
      </c>
      <c r="L15" s="6">
        <f t="shared" si="1"/>
        <v>2.235259278863188E-3</v>
      </c>
      <c r="M15" s="13">
        <f t="shared" si="2"/>
        <v>3.4162728463246602E-3</v>
      </c>
      <c r="R15" s="6">
        <v>12</v>
      </c>
      <c r="S15" s="6">
        <f t="shared" si="3"/>
        <v>27.083035606231505</v>
      </c>
      <c r="T15" s="6"/>
      <c r="U15" s="6"/>
      <c r="V15" s="6">
        <v>0.24990000000000001</v>
      </c>
      <c r="Z15" t="s">
        <v>116</v>
      </c>
      <c r="AA15" s="10">
        <f>G20*AA13</f>
        <v>2.3361676712156782E-5</v>
      </c>
      <c r="AB15" t="s">
        <v>68</v>
      </c>
    </row>
    <row r="16" spans="1:28">
      <c r="B16" s="16" t="s">
        <v>49</v>
      </c>
      <c r="C16" s="6"/>
      <c r="D16" s="6"/>
      <c r="F16" s="15" t="s">
        <v>50</v>
      </c>
      <c r="G16" s="6">
        <f>C12*G18*C10*C26/(C4*C27*G15)</f>
        <v>4.1606768507082711E-2</v>
      </c>
      <c r="H16" s="6"/>
      <c r="J16" s="6">
        <v>14</v>
      </c>
      <c r="K16" s="6">
        <f t="shared" si="0"/>
        <v>0.35125666712620263</v>
      </c>
      <c r="L16" s="6">
        <f t="shared" si="1"/>
        <v>2.1570000730138654E-3</v>
      </c>
      <c r="M16" s="13">
        <f t="shared" si="2"/>
        <v>3.17225335730147E-3</v>
      </c>
      <c r="R16" s="6">
        <v>13</v>
      </c>
      <c r="S16" s="6">
        <f t="shared" si="3"/>
        <v>29.33995524008413</v>
      </c>
      <c r="T16" s="6"/>
      <c r="U16" s="6"/>
      <c r="V16" s="6">
        <v>0.24299999999999999</v>
      </c>
    </row>
    <row r="17" spans="2:28">
      <c r="B17" s="15" t="s">
        <v>51</v>
      </c>
      <c r="C17" s="6">
        <v>8.3750000000000005E-2</v>
      </c>
      <c r="D17" s="6" t="s">
        <v>52</v>
      </c>
      <c r="F17" s="15" t="s">
        <v>53</v>
      </c>
      <c r="G17" s="6">
        <f>6*G16/C11</f>
        <v>24.964061104249627</v>
      </c>
      <c r="H17" s="6" t="s">
        <v>54</v>
      </c>
      <c r="J17" s="6">
        <v>15</v>
      </c>
      <c r="K17" s="6">
        <f t="shared" si="0"/>
        <v>0.35304224929494493</v>
      </c>
      <c r="L17" s="6">
        <f t="shared" si="1"/>
        <v>2.0891498915733709E-3</v>
      </c>
      <c r="M17" s="13">
        <f t="shared" si="2"/>
        <v>2.9607698001480388E-3</v>
      </c>
      <c r="R17" s="6">
        <v>14</v>
      </c>
      <c r="S17" s="6">
        <f t="shared" si="3"/>
        <v>31.596874873936756</v>
      </c>
      <c r="T17" s="6"/>
      <c r="U17" s="6"/>
      <c r="V17" s="6">
        <v>0.23630000000000001</v>
      </c>
      <c r="Z17" t="s">
        <v>117</v>
      </c>
      <c r="AA17">
        <v>10</v>
      </c>
      <c r="AB17" t="s">
        <v>118</v>
      </c>
    </row>
    <row r="18" spans="2:28">
      <c r="B18" s="15" t="s">
        <v>55</v>
      </c>
      <c r="C18" s="6">
        <v>2350</v>
      </c>
      <c r="D18" s="6" t="s">
        <v>52</v>
      </c>
      <c r="F18" s="15" t="s">
        <v>56</v>
      </c>
      <c r="G18" s="6">
        <f>C3/G13</f>
        <v>2.2569196338526254</v>
      </c>
      <c r="H18" s="6" t="s">
        <v>57</v>
      </c>
      <c r="J18" s="6">
        <v>16</v>
      </c>
      <c r="K18" s="6">
        <f t="shared" si="0"/>
        <v>0.35546074386003851</v>
      </c>
      <c r="L18" s="6">
        <f t="shared" si="1"/>
        <v>2.0297274300732624E-3</v>
      </c>
      <c r="M18" s="13">
        <f t="shared" si="2"/>
        <v>2.7757216876387863E-3</v>
      </c>
      <c r="R18" s="6">
        <v>15</v>
      </c>
      <c r="S18" s="6">
        <f t="shared" si="3"/>
        <v>33.853794507789381</v>
      </c>
      <c r="T18" s="6"/>
      <c r="U18" s="6"/>
      <c r="V18" s="6">
        <v>0.2298</v>
      </c>
      <c r="Z18" t="s">
        <v>119</v>
      </c>
      <c r="AA18">
        <v>20.85</v>
      </c>
      <c r="AB18" t="s">
        <v>78</v>
      </c>
    </row>
    <row r="19" spans="2:28">
      <c r="B19" s="15" t="s">
        <v>58</v>
      </c>
      <c r="C19" s="6">
        <v>9.81</v>
      </c>
      <c r="D19" s="6" t="s">
        <v>59</v>
      </c>
      <c r="F19" s="6" t="s">
        <v>60</v>
      </c>
      <c r="G19" s="6">
        <f>C26/(C25*C27)</f>
        <v>44.617515931854825</v>
      </c>
      <c r="H19" s="6" t="s">
        <v>61</v>
      </c>
      <c r="J19" s="6">
        <v>17</v>
      </c>
      <c r="K19" s="6">
        <f t="shared" si="0"/>
        <v>0.35838710970192639</v>
      </c>
      <c r="L19" s="6">
        <f t="shared" si="1"/>
        <v>1.9772137374174962E-3</v>
      </c>
      <c r="M19" s="13">
        <f t="shared" si="2"/>
        <v>2.6124439413070925E-3</v>
      </c>
      <c r="R19" s="6">
        <v>16</v>
      </c>
      <c r="S19" s="6">
        <f t="shared" si="3"/>
        <v>36.110714141642006</v>
      </c>
      <c r="T19" s="6"/>
      <c r="U19" s="6"/>
      <c r="V19" s="6">
        <v>0.2235</v>
      </c>
      <c r="Z19" t="s">
        <v>120</v>
      </c>
    </row>
    <row r="20" spans="2:28">
      <c r="B20" s="6" t="s">
        <v>62</v>
      </c>
      <c r="C20" s="6">
        <v>26.98</v>
      </c>
      <c r="D20" s="6" t="s">
        <v>63</v>
      </c>
      <c r="F20" s="15" t="s">
        <v>64</v>
      </c>
      <c r="G20" s="6">
        <f>G19/1000</f>
        <v>4.4617515931854826E-2</v>
      </c>
      <c r="H20" s="6" t="s">
        <v>65</v>
      </c>
      <c r="J20" s="6">
        <v>18</v>
      </c>
      <c r="K20" s="6">
        <f t="shared" si="0"/>
        <v>0.36172253384239372</v>
      </c>
      <c r="L20" s="6">
        <f t="shared" si="1"/>
        <v>1.930427159756744E-3</v>
      </c>
      <c r="M20" s="13">
        <f t="shared" si="2"/>
        <v>2.4673081667900324E-3</v>
      </c>
      <c r="R20" s="6">
        <v>17</v>
      </c>
      <c r="S20" s="6">
        <f t="shared" si="3"/>
        <v>38.367633775494632</v>
      </c>
      <c r="T20" s="6"/>
      <c r="U20" s="6"/>
      <c r="V20" s="6">
        <v>0.21740000000000001</v>
      </c>
      <c r="Z20" s="6" t="s">
        <v>121</v>
      </c>
      <c r="AA20" s="6" t="s">
        <v>122</v>
      </c>
    </row>
    <row r="21" spans="2:28">
      <c r="B21" s="6" t="s">
        <v>66</v>
      </c>
      <c r="C21" s="6">
        <v>2.016</v>
      </c>
      <c r="D21" s="6" t="s">
        <v>63</v>
      </c>
      <c r="F21" s="15" t="s">
        <v>67</v>
      </c>
      <c r="G21" s="6">
        <f>C12*G18*1000*G20</f>
        <v>0.12587268465041934</v>
      </c>
      <c r="H21" s="6" t="s">
        <v>68</v>
      </c>
      <c r="J21" s="6">
        <v>19</v>
      </c>
      <c r="K21" s="6">
        <f t="shared" si="0"/>
        <v>0.36538821797100529</v>
      </c>
      <c r="L21" s="6">
        <f t="shared" si="1"/>
        <v>1.8884363815103991E-3</v>
      </c>
      <c r="M21" s="13">
        <f t="shared" si="2"/>
        <v>2.3374498422221359E-3</v>
      </c>
      <c r="R21" s="6">
        <v>18</v>
      </c>
      <c r="S21" s="6">
        <f t="shared" si="3"/>
        <v>40.624553409347257</v>
      </c>
      <c r="T21" s="6"/>
      <c r="U21" s="6"/>
      <c r="V21" s="6">
        <v>0.21149999999999999</v>
      </c>
      <c r="Z21" s="6">
        <v>0</v>
      </c>
      <c r="AA21" s="6">
        <f>20</f>
        <v>20</v>
      </c>
    </row>
    <row r="22" spans="2:28">
      <c r="B22" s="15" t="s">
        <v>69</v>
      </c>
      <c r="C22" s="6">
        <v>0.9</v>
      </c>
      <c r="D22" s="6" t="s">
        <v>70</v>
      </c>
      <c r="F22" s="6" t="s">
        <v>71</v>
      </c>
      <c r="G22" s="6">
        <f>6*C12*G18/(PI()*C11^3)*C10/C27*C26/G15</f>
        <v>21455.03011170301</v>
      </c>
      <c r="H22" s="6"/>
      <c r="J22" s="6">
        <v>20</v>
      </c>
      <c r="K22" s="6">
        <f t="shared" si="0"/>
        <v>0.36932082576051078</v>
      </c>
      <c r="L22" s="6">
        <f t="shared" si="1"/>
        <v>1.8504987269238784E-3</v>
      </c>
      <c r="M22" s="13">
        <f t="shared" si="2"/>
        <v>2.2205773501110288E-3</v>
      </c>
      <c r="R22" s="6">
        <v>19</v>
      </c>
      <c r="S22" s="6">
        <f t="shared" si="3"/>
        <v>42.881473043199883</v>
      </c>
      <c r="T22" s="6"/>
      <c r="U22" s="6"/>
      <c r="V22" s="6">
        <v>0.20569999999999999</v>
      </c>
      <c r="Z22" s="6">
        <v>0.1</v>
      </c>
      <c r="AA22" s="17">
        <f>AA21+$AA$17*$AA$14*($C$5-AA21)*(Z22-Z21)/($AA$18*$AA$15)</f>
        <v>458.57989211295643</v>
      </c>
    </row>
    <row r="23" spans="2:28">
      <c r="B23" s="15" t="s">
        <v>72</v>
      </c>
      <c r="C23" s="17">
        <v>1.22E-4</v>
      </c>
      <c r="D23" s="6" t="s">
        <v>39</v>
      </c>
      <c r="F23" s="6" t="s">
        <v>73</v>
      </c>
      <c r="G23" s="6">
        <f>$C$28*EXP(-$C$29/($C$25*$C$10))*SQRT(1/$C$26)</f>
        <v>2.8900099062216379E-3</v>
      </c>
      <c r="H23" s="6"/>
      <c r="R23" s="6">
        <v>20</v>
      </c>
      <c r="S23" s="6">
        <f t="shared" si="3"/>
        <v>45.138392677052508</v>
      </c>
      <c r="T23" s="6"/>
      <c r="U23" s="6"/>
      <c r="V23" s="6">
        <v>0.2001</v>
      </c>
      <c r="Z23" s="6">
        <v>0.2</v>
      </c>
      <c r="AA23" s="6">
        <f t="shared" ref="AA22:AA31" si="4">AA22+$AA$17*$AA$14*($C$5-AA22)*(Z23-Z22)/($AA$18*$AA$15)</f>
        <v>614.2887228056004</v>
      </c>
    </row>
    <row r="24" spans="2:28">
      <c r="B24" s="18" t="s">
        <v>74</v>
      </c>
      <c r="C24" s="6">
        <v>54455.8</v>
      </c>
      <c r="D24" s="6" t="s">
        <v>75</v>
      </c>
      <c r="F24" s="6" t="s">
        <v>76</v>
      </c>
      <c r="G24" s="6">
        <f>C4*C18*1000/C20</f>
        <v>23517.420311341735</v>
      </c>
      <c r="H24" s="6"/>
      <c r="R24" s="6">
        <v>21</v>
      </c>
      <c r="S24" s="6">
        <f>R24*$G$18</f>
        <v>47.395312310905133</v>
      </c>
      <c r="T24" s="6"/>
      <c r="U24" s="6"/>
      <c r="V24" s="6"/>
      <c r="Z24" s="6">
        <v>0.3</v>
      </c>
      <c r="AA24" s="6">
        <f t="shared" si="4"/>
        <v>669.56996207734073</v>
      </c>
    </row>
    <row r="25" spans="2:28">
      <c r="B25" s="15" t="s">
        <v>77</v>
      </c>
      <c r="C25" s="6">
        <v>8.3140000000000001</v>
      </c>
      <c r="D25" s="6" t="s">
        <v>78</v>
      </c>
      <c r="F25" s="15" t="s">
        <v>79</v>
      </c>
      <c r="G25" s="6">
        <f>C11/G13</f>
        <v>2.8211495423157817E-2</v>
      </c>
      <c r="H25" s="6"/>
      <c r="Z25" s="6">
        <v>0.4</v>
      </c>
      <c r="AA25" s="6">
        <f t="shared" si="4"/>
        <v>689.19643670838934</v>
      </c>
    </row>
    <row r="26" spans="2:28">
      <c r="B26" s="15" t="s">
        <v>80</v>
      </c>
      <c r="C26" s="6">
        <v>101325</v>
      </c>
      <c r="D26" s="6" t="s">
        <v>41</v>
      </c>
      <c r="Z26" s="6">
        <v>0.5</v>
      </c>
      <c r="AA26" s="6">
        <f t="shared" si="4"/>
        <v>696.16441556555128</v>
      </c>
    </row>
    <row r="27" spans="2:28">
      <c r="B27" s="15" t="s">
        <v>81</v>
      </c>
      <c r="C27" s="6">
        <f>273.15</f>
        <v>273.14999999999998</v>
      </c>
      <c r="D27" s="6" t="s">
        <v>35</v>
      </c>
      <c r="F27" t="s">
        <v>82</v>
      </c>
      <c r="G27">
        <f>C13+C18*C19*C3+4*C22/C11</f>
        <v>99862.8</v>
      </c>
      <c r="Z27" s="6">
        <v>0.6</v>
      </c>
      <c r="AA27" s="6">
        <f t="shared" si="4"/>
        <v>698.63825410591994</v>
      </c>
    </row>
    <row r="28" spans="2:28">
      <c r="B28" s="15" t="s">
        <v>83</v>
      </c>
      <c r="C28" s="6">
        <f>419.8</f>
        <v>419.8</v>
      </c>
      <c r="D28" s="6" t="s">
        <v>45</v>
      </c>
      <c r="F28" t="s">
        <v>84</v>
      </c>
      <c r="G28">
        <f>C13+4*C22/C11</f>
        <v>81420</v>
      </c>
      <c r="H28" t="s">
        <v>85</v>
      </c>
      <c r="Z28" s="6">
        <v>0.7</v>
      </c>
      <c r="AA28" s="6">
        <f t="shared" si="4"/>
        <v>699.51653994020069</v>
      </c>
    </row>
    <row r="29" spans="2:28">
      <c r="B29" s="18" t="s">
        <v>86</v>
      </c>
      <c r="C29" s="6">
        <v>49534</v>
      </c>
      <c r="D29" s="6" t="s">
        <v>75</v>
      </c>
      <c r="F29" t="s">
        <v>87</v>
      </c>
      <c r="G29">
        <f>(G27/G28)^(1/3)</f>
        <v>1.0704282124350459</v>
      </c>
      <c r="Z29" s="6">
        <v>0.8</v>
      </c>
      <c r="AA29" s="6">
        <f t="shared" si="4"/>
        <v>699.82835738265317</v>
      </c>
    </row>
    <row r="30" spans="2:28">
      <c r="B30" s="5"/>
      <c r="F30" t="s">
        <v>123</v>
      </c>
      <c r="Z30" s="6">
        <v>0.9</v>
      </c>
      <c r="AA30" s="6">
        <f t="shared" si="4"/>
        <v>699.93906179529722</v>
      </c>
    </row>
    <row r="31" spans="2:28">
      <c r="B31" s="5"/>
      <c r="F31" t="s">
        <v>90</v>
      </c>
      <c r="Z31" s="6">
        <v>1</v>
      </c>
      <c r="AA31" s="6">
        <f t="shared" si="4"/>
        <v>699.97836513536208</v>
      </c>
    </row>
    <row r="32" spans="2:28">
      <c r="B32" s="19" t="s">
        <v>124</v>
      </c>
      <c r="E32" s="5" t="s">
        <v>91</v>
      </c>
    </row>
    <row r="33" spans="2:45" ht="18.75">
      <c r="C33" t="s">
        <v>8</v>
      </c>
      <c r="D33" t="s">
        <v>92</v>
      </c>
      <c r="E33" t="s">
        <v>93</v>
      </c>
      <c r="F33" t="s">
        <v>18</v>
      </c>
      <c r="G33" t="s">
        <v>94</v>
      </c>
      <c r="H33" s="5" t="s">
        <v>50</v>
      </c>
      <c r="I33" t="s">
        <v>53</v>
      </c>
      <c r="J33" t="s">
        <v>95</v>
      </c>
      <c r="K33" t="s">
        <v>96</v>
      </c>
      <c r="L33" t="s">
        <v>97</v>
      </c>
      <c r="M33" t="s">
        <v>98</v>
      </c>
      <c r="N33" t="s">
        <v>99</v>
      </c>
      <c r="O33" t="s">
        <v>9</v>
      </c>
      <c r="W33" s="3" t="s">
        <v>125</v>
      </c>
    </row>
    <row r="34" spans="2:45">
      <c r="B34">
        <v>0</v>
      </c>
      <c r="C34">
        <f>B34*$G$18</f>
        <v>0</v>
      </c>
      <c r="D34">
        <f>C34*$G$13</f>
        <v>0</v>
      </c>
      <c r="E34">
        <f t="shared" ref="E34:E65" si="5">$C$13+$C$18*$C$19*($C$3-D34)+4*$C$22/$C$11</f>
        <v>99862.8</v>
      </c>
      <c r="F34">
        <f t="shared" ref="F34:F65" si="6">$C$11*($G$27/E34)^(1/3)</f>
        <v>0.01</v>
      </c>
      <c r="G34">
        <f>2*SQRT($G$12*$G$13/(PI()*F34))</f>
        <v>2.5638277016345728E-3</v>
      </c>
      <c r="H34">
        <f>$C$12*$G$18*$C$10*$C$26/($C$4*$C$27*E34)</f>
        <v>3.7764770735027327E-2</v>
      </c>
      <c r="I34">
        <f>6*H34/F34</f>
        <v>22.658862441016396</v>
      </c>
      <c r="J34" s="20">
        <f>C7*G10</f>
        <v>7.8457465277777787E-6</v>
      </c>
      <c r="K34" s="20">
        <v>0</v>
      </c>
      <c r="L34" s="20">
        <v>0</v>
      </c>
      <c r="M34" s="20">
        <v>0</v>
      </c>
      <c r="N34">
        <f t="shared" ref="N34:N65" si="7">1/2*$G$24*G34*I34*(J34-M34)</f>
        <v>5.3594583136017193E-3</v>
      </c>
      <c r="O34">
        <f>J34/$G$10</f>
        <v>0.35</v>
      </c>
      <c r="W34" t="s">
        <v>126</v>
      </c>
    </row>
    <row r="35" spans="2:45">
      <c r="B35">
        <v>0.01</v>
      </c>
      <c r="C35">
        <f t="shared" ref="C35:C98" si="8">B35*$G$18</f>
        <v>2.2569196338526255E-2</v>
      </c>
      <c r="D35">
        <f t="shared" ref="D35:D98" si="9">C35*$G$13</f>
        <v>8.0000000000000002E-3</v>
      </c>
      <c r="E35">
        <f t="shared" si="5"/>
        <v>99678.372000000003</v>
      </c>
      <c r="F35">
        <f t="shared" si="6"/>
        <v>1.0006163636379834E-2</v>
      </c>
      <c r="G35">
        <f t="shared" ref="G35:G98" si="10">2*SQRT($G$12*$G$13/(PI()*F35))</f>
        <v>2.5630379416156741E-3</v>
      </c>
      <c r="H35">
        <f t="shared" ref="H35:H98" si="11">$C$12*$G$18*$C$10*$C$26/($C$4*$C$27*E35)</f>
        <v>3.7834644279281432E-2</v>
      </c>
      <c r="I35">
        <f t="shared" ref="I35:I98" si="12">6*H35/F35</f>
        <v>22.686803246985331</v>
      </c>
      <c r="J35">
        <f t="shared" ref="J35:J66" si="13">J34-N34*(B35-B34)/$G$24</f>
        <v>7.8434675965673614E-6</v>
      </c>
      <c r="K35">
        <f t="shared" ref="K35:K66" si="14">N34*(C35-C34)/$G$21</f>
        <v>9.6096041237030258E-4</v>
      </c>
      <c r="L35">
        <f t="shared" ref="L35:L66" si="15">K35*E35</f>
        <v>95.786969461520428</v>
      </c>
      <c r="M35">
        <f>$G$10*$G$23*SQRT(L35)</f>
        <v>6.3404309449297617E-7</v>
      </c>
      <c r="N35">
        <f t="shared" si="7"/>
        <v>4.9293382857150559E-3</v>
      </c>
      <c r="O35">
        <f t="shared" ref="O35:O98" si="16">J35/$G$10</f>
        <v>0.34989833651637581</v>
      </c>
      <c r="W35" t="s">
        <v>95</v>
      </c>
      <c r="X35">
        <f>C7*G10</f>
        <v>7.8457465277777787E-6</v>
      </c>
      <c r="Y35" t="s">
        <v>127</v>
      </c>
    </row>
    <row r="36" spans="2:45">
      <c r="B36">
        <v>0.02</v>
      </c>
      <c r="C36">
        <f t="shared" si="8"/>
        <v>4.5138392677052511E-2</v>
      </c>
      <c r="D36">
        <f t="shared" si="9"/>
        <v>1.6E-2</v>
      </c>
      <c r="E36">
        <f t="shared" si="5"/>
        <v>99493.944000000003</v>
      </c>
      <c r="F36">
        <f t="shared" si="6"/>
        <v>1.0012342497079085E-2</v>
      </c>
      <c r="G36">
        <f t="shared" si="10"/>
        <v>2.5622469629579146E-3</v>
      </c>
      <c r="H36">
        <f t="shared" si="11"/>
        <v>3.7904776867201957E-2</v>
      </c>
      <c r="I36">
        <f t="shared" si="12"/>
        <v>22.71483034759946</v>
      </c>
      <c r="J36">
        <f t="shared" si="13"/>
        <v>7.8413715595784166E-6</v>
      </c>
      <c r="K36">
        <f t="shared" si="14"/>
        <v>8.8383912600490408E-4</v>
      </c>
      <c r="L36">
        <f t="shared" si="15"/>
        <v>87.936640507740876</v>
      </c>
      <c r="M36">
        <f t="shared" ref="M36:M99" si="17">$G$10*$G$23*SQRT(L36)</f>
        <v>6.0750589336996504E-7</v>
      </c>
      <c r="N36">
        <f t="shared" si="7"/>
        <v>4.9506315994062473E-3</v>
      </c>
      <c r="O36">
        <f t="shared" si="16"/>
        <v>0.3498048319730499</v>
      </c>
      <c r="W36" t="s">
        <v>128</v>
      </c>
      <c r="X36">
        <f>G17*G14*G24*X35/G13</f>
        <v>3.3316098288632898E-2</v>
      </c>
    </row>
    <row r="37" spans="2:45">
      <c r="B37">
        <v>0.03</v>
      </c>
      <c r="C37">
        <f t="shared" si="8"/>
        <v>6.7707589015578759E-2</v>
      </c>
      <c r="D37">
        <f>C37*$G$13</f>
        <v>2.4E-2</v>
      </c>
      <c r="E37">
        <f t="shared" si="5"/>
        <v>99309.516000000003</v>
      </c>
      <c r="F37">
        <f t="shared" si="6"/>
        <v>1.0018536648027619E-2</v>
      </c>
      <c r="G37">
        <f>2*SQRT($G$12*$G$13/(PI()*F37))</f>
        <v>2.5614547615166934E-3</v>
      </c>
      <c r="H37">
        <f t="shared" si="11"/>
        <v>3.7975169942001195E-2</v>
      </c>
      <c r="I37">
        <f t="shared" si="12"/>
        <v>22.742944170081458</v>
      </c>
      <c r="J37">
        <f t="shared" si="13"/>
        <v>7.8392664683167628E-6</v>
      </c>
      <c r="K37">
        <f t="shared" si="14"/>
        <v>8.8765705503953904E-4</v>
      </c>
      <c r="L37">
        <f t="shared" si="15"/>
        <v>88.152792509961984</v>
      </c>
      <c r="M37">
        <f t="shared" si="17"/>
        <v>6.0825207277746037E-7</v>
      </c>
      <c r="N37">
        <f t="shared" si="7"/>
        <v>4.9532732519409128E-3</v>
      </c>
      <c r="O37">
        <f t="shared" si="16"/>
        <v>0.34971092351717892</v>
      </c>
      <c r="W37" t="s">
        <v>129</v>
      </c>
      <c r="X37">
        <f>G17*G14*G24*G23*G10/G13*SQRT(C25*C10/(G16*C4))</f>
        <v>0.23344414000340588</v>
      </c>
    </row>
    <row r="38" spans="2:45">
      <c r="B38">
        <v>0.04</v>
      </c>
      <c r="C38">
        <f t="shared" si="8"/>
        <v>9.0276785354105021E-2</v>
      </c>
      <c r="D38">
        <f t="shared" si="9"/>
        <v>3.2000000000000001E-2</v>
      </c>
      <c r="E38">
        <f t="shared" si="5"/>
        <v>99125.088000000003</v>
      </c>
      <c r="F38">
        <f t="shared" si="6"/>
        <v>1.0024746155563931E-2</v>
      </c>
      <c r="G38">
        <f t="shared" si="10"/>
        <v>2.5606613331255867E-3</v>
      </c>
      <c r="H38">
        <f t="shared" si="11"/>
        <v>3.8045824957632181E-2</v>
      </c>
      <c r="I38">
        <f t="shared" si="12"/>
        <v>22.771145144567679</v>
      </c>
      <c r="J38">
        <f t="shared" si="13"/>
        <v>7.8371602537803196E-6</v>
      </c>
      <c r="K38">
        <f t="shared" si="14"/>
        <v>8.881307080396215E-4</v>
      </c>
      <c r="L38">
        <f t="shared" si="15"/>
        <v>88.036034589929798</v>
      </c>
      <c r="M38">
        <f t="shared" si="17"/>
        <v>6.0784912593787758E-7</v>
      </c>
      <c r="N38">
        <f t="shared" si="7"/>
        <v>4.9567112073496461E-3</v>
      </c>
      <c r="O38">
        <f t="shared" si="16"/>
        <v>0.34961696495184097</v>
      </c>
      <c r="AC38" t="s">
        <v>130</v>
      </c>
      <c r="AK38" t="s">
        <v>103</v>
      </c>
      <c r="AL38" t="s">
        <v>103</v>
      </c>
      <c r="AN38" t="s">
        <v>131</v>
      </c>
      <c r="AQ38" t="s">
        <v>132</v>
      </c>
    </row>
    <row r="39" spans="2:45">
      <c r="B39">
        <v>0.05</v>
      </c>
      <c r="C39">
        <f t="shared" si="8"/>
        <v>0.11284598169263127</v>
      </c>
      <c r="D39">
        <f t="shared" si="9"/>
        <v>0.04</v>
      </c>
      <c r="E39">
        <f t="shared" si="5"/>
        <v>98940.66</v>
      </c>
      <c r="F39">
        <f t="shared" si="6"/>
        <v>1.0030971086438453E-2</v>
      </c>
      <c r="G39">
        <f t="shared" si="10"/>
        <v>2.5598666735961876E-3</v>
      </c>
      <c r="H39">
        <f t="shared" si="11"/>
        <v>3.8116743378888783E-2</v>
      </c>
      <c r="I39">
        <f t="shared" si="12"/>
        <v>22.799433704133417</v>
      </c>
      <c r="J39">
        <f t="shared" si="13"/>
        <v>7.835052577367802E-6</v>
      </c>
      <c r="K39">
        <f t="shared" si="14"/>
        <v>8.8874713956198258E-4</v>
      </c>
      <c r="L39">
        <f t="shared" si="15"/>
        <v>87.933228561374676</v>
      </c>
      <c r="M39">
        <f t="shared" si="17"/>
        <v>6.0749410762502574E-7</v>
      </c>
      <c r="N39">
        <f t="shared" si="7"/>
        <v>4.9601259632442935E-3</v>
      </c>
      <c r="O39">
        <f t="shared" si="16"/>
        <v>0.34952294117197891</v>
      </c>
      <c r="W39" t="s">
        <v>92</v>
      </c>
      <c r="X39" t="s">
        <v>8</v>
      </c>
      <c r="Y39" t="s">
        <v>133</v>
      </c>
      <c r="Z39" t="s">
        <v>134</v>
      </c>
      <c r="AA39" t="s">
        <v>97</v>
      </c>
      <c r="AB39" t="s">
        <v>135</v>
      </c>
      <c r="AC39" t="s">
        <v>136</v>
      </c>
      <c r="AD39" t="s">
        <v>137</v>
      </c>
      <c r="AE39" t="s">
        <v>138</v>
      </c>
      <c r="AF39" s="12" t="s">
        <v>31</v>
      </c>
      <c r="AI39" t="s">
        <v>121</v>
      </c>
      <c r="AJ39" t="s">
        <v>139</v>
      </c>
      <c r="AK39" s="9" t="s">
        <v>140</v>
      </c>
      <c r="AL39" t="s">
        <v>97</v>
      </c>
      <c r="AM39" t="s">
        <v>141</v>
      </c>
      <c r="AN39" t="s">
        <v>31</v>
      </c>
      <c r="AO39" t="s">
        <v>27</v>
      </c>
      <c r="AP39" t="s">
        <v>142</v>
      </c>
      <c r="AQ39" t="s">
        <v>143</v>
      </c>
      <c r="AR39" t="s">
        <v>144</v>
      </c>
      <c r="AS39" t="s">
        <v>135</v>
      </c>
    </row>
    <row r="40" spans="2:45">
      <c r="B40">
        <v>0.06</v>
      </c>
      <c r="C40">
        <f t="shared" si="8"/>
        <v>0.13541517803115752</v>
      </c>
      <c r="D40">
        <f t="shared" si="9"/>
        <v>4.8000000000000001E-2</v>
      </c>
      <c r="E40">
        <f t="shared" si="5"/>
        <v>98756.232000000004</v>
      </c>
      <c r="F40">
        <f t="shared" si="6"/>
        <v>1.0037211507816888E-2</v>
      </c>
      <c r="G40">
        <f t="shared" si="10"/>
        <v>2.5590707787179518E-3</v>
      </c>
      <c r="H40">
        <f t="shared" si="11"/>
        <v>3.818792668150691E-2</v>
      </c>
      <c r="I40">
        <f t="shared" si="12"/>
        <v>22.827810284818547</v>
      </c>
      <c r="J40">
        <f t="shared" si="13"/>
        <v>7.8329434489440301E-6</v>
      </c>
      <c r="K40">
        <f t="shared" si="14"/>
        <v>8.8935941137018677E-4</v>
      </c>
      <c r="L40">
        <f t="shared" si="15"/>
        <v>87.829784360657612</v>
      </c>
      <c r="M40">
        <f t="shared" si="17"/>
        <v>6.0713667599202956E-7</v>
      </c>
      <c r="N40">
        <f t="shared" si="7"/>
        <v>4.9635520632523127E-3</v>
      </c>
      <c r="O40">
        <f t="shared" si="16"/>
        <v>0.34942885261766399</v>
      </c>
      <c r="W40">
        <f t="shared" ref="W40:W71" si="18">2*$X$36/($X$37^2)*LN($X$36)-2*$X$36/($X$37^2)*LN($X$36-$X$37*Z40)-2*Z40/$X$37</f>
        <v>0</v>
      </c>
      <c r="X40">
        <f>W40/$G$13</f>
        <v>0</v>
      </c>
      <c r="Y40">
        <v>0</v>
      </c>
      <c r="Z40">
        <f>SQRT(Y40)</f>
        <v>0</v>
      </c>
      <c r="AA40">
        <f>Y40*$C$25*$C$10/($G$16*$C$4)</f>
        <v>0</v>
      </c>
      <c r="AB40">
        <f>$G$23*SQRT(AA40)</f>
        <v>0</v>
      </c>
      <c r="AC40">
        <f t="shared" ref="AC40:AC71" si="19">$X$36*W40</f>
        <v>0</v>
      </c>
      <c r="AD40">
        <f>AC40*$C$25*$C$10/($G$16*$C$4)</f>
        <v>0</v>
      </c>
      <c r="AE40">
        <f>$G$23*SQRT(AD40)</f>
        <v>0</v>
      </c>
      <c r="AF40" s="12">
        <f>$C$7-Y40/$G$24/$G$10</f>
        <v>0.35</v>
      </c>
      <c r="AI40">
        <v>0</v>
      </c>
      <c r="AJ40">
        <f>AI40*$G$13</f>
        <v>0</v>
      </c>
      <c r="AM40" t="s">
        <v>145</v>
      </c>
      <c r="AN40">
        <f>$C$7*EXP(-$G$14*$G$17*AI40)</f>
        <v>0.35</v>
      </c>
      <c r="AO40">
        <f>AN40*$G$10</f>
        <v>7.8457465277777787E-6</v>
      </c>
      <c r="AS40">
        <v>0</v>
      </c>
    </row>
    <row r="41" spans="2:45">
      <c r="B41">
        <v>7.0000000000000007E-2</v>
      </c>
      <c r="C41">
        <f t="shared" si="8"/>
        <v>0.15798437436968379</v>
      </c>
      <c r="D41">
        <f t="shared" si="9"/>
        <v>5.6000000000000008E-2</v>
      </c>
      <c r="E41">
        <f t="shared" si="5"/>
        <v>98571.804000000004</v>
      </c>
      <c r="F41">
        <f t="shared" si="6"/>
        <v>1.0043467487283559E-2</v>
      </c>
      <c r="G41">
        <f t="shared" si="10"/>
        <v>2.5582736442580404E-3</v>
      </c>
      <c r="H41">
        <f t="shared" si="11"/>
        <v>3.8259376352266887E-2</v>
      </c>
      <c r="I41">
        <f t="shared" si="12"/>
        <v>22.856275325653392</v>
      </c>
      <c r="J41">
        <f t="shared" si="13"/>
        <v>7.8308328636852987E-6</v>
      </c>
      <c r="K41">
        <f t="shared" si="14"/>
        <v>8.8997371719810566E-4</v>
      </c>
      <c r="L41">
        <f t="shared" si="15"/>
        <v>87.726314816803097</v>
      </c>
      <c r="M41">
        <f t="shared" si="17"/>
        <v>6.0677894616322126E-7</v>
      </c>
      <c r="N41">
        <f t="shared" si="7"/>
        <v>4.9669881026292101E-3</v>
      </c>
      <c r="O41">
        <f t="shared" si="16"/>
        <v>0.34933469907370984</v>
      </c>
      <c r="W41">
        <f t="shared" si="18"/>
        <v>3.5346655241962566E-2</v>
      </c>
      <c r="X41">
        <f t="shared" ref="X41:X104" si="20">W41/$G$13</f>
        <v>9.9718200258256423E-2</v>
      </c>
      <c r="Y41">
        <v>1E-3</v>
      </c>
      <c r="Z41">
        <f t="shared" ref="Z41:Z104" si="21">SQRT(Y41)</f>
        <v>3.1622776601683791E-2</v>
      </c>
      <c r="AA41">
        <f t="shared" ref="AA41:AA104" si="22">Y41*$C$25*$C$10/($G$16*$C$4)</f>
        <v>720.10381165488263</v>
      </c>
      <c r="AB41">
        <f t="shared" ref="AB41:AB104" si="23">$G$23*SQRT(AA41)</f>
        <v>7.7552693551348834E-2</v>
      </c>
      <c r="AC41">
        <f t="shared" si="19"/>
        <v>1.1776126402156461E-3</v>
      </c>
      <c r="AD41">
        <f t="shared" ref="AD41:AD104" si="24">AC41*$C$25*$C$10/($G$16*$C$4)</f>
        <v>848.00335087225665</v>
      </c>
      <c r="AE41">
        <f t="shared" ref="AE41:AE104" si="25">$G$23*SQRT(AD41)</f>
        <v>8.4158525069337103E-2</v>
      </c>
      <c r="AF41" s="12">
        <f t="shared" ref="AF41:AF52" si="26">$C$7-Y41/$G$24/$G$10</f>
        <v>0.34810310151370805</v>
      </c>
      <c r="AH41">
        <v>1</v>
      </c>
      <c r="AI41">
        <f>AH41*$G$18</f>
        <v>2.2569196338526254</v>
      </c>
      <c r="AJ41">
        <f t="shared" ref="AJ41:AJ104" si="27">AI41*$G$13</f>
        <v>0.8</v>
      </c>
      <c r="AN41">
        <f t="shared" ref="AN40:AN71" si="28">$C$7*EXP(-$G$14*$G$17*AI41)</f>
        <v>0.30292410109110063</v>
      </c>
      <c r="AO41">
        <f>AN41*$G$10</f>
        <v>6.7904734694734506E-6</v>
      </c>
      <c r="AP41">
        <f>(AO40-AO41)*$G$24</f>
        <v>2.4817300055377918E-2</v>
      </c>
      <c r="AQ41">
        <f>AP41/$G$21</f>
        <v>0.19716191900015409</v>
      </c>
      <c r="AR41">
        <f t="shared" ref="AR41:AR105" si="29">AQ41*$G$15</f>
        <v>17871.032364860566</v>
      </c>
      <c r="AS41" s="12">
        <f>$G$23*SQRT(AR41)</f>
        <v>0.38634398232039419</v>
      </c>
    </row>
    <row r="42" spans="2:45">
      <c r="B42">
        <v>0.08</v>
      </c>
      <c r="C42">
        <f t="shared" si="8"/>
        <v>0.18055357070821004</v>
      </c>
      <c r="D42">
        <f t="shared" si="9"/>
        <v>6.4000000000000001E-2</v>
      </c>
      <c r="E42">
        <f t="shared" si="5"/>
        <v>98387.376000000004</v>
      </c>
      <c r="F42">
        <f t="shared" si="6"/>
        <v>1.0049739092844821E-2</v>
      </c>
      <c r="G42">
        <f t="shared" si="10"/>
        <v>2.5574752659611563E-3</v>
      </c>
      <c r="H42">
        <f t="shared" si="11"/>
        <v>3.833109388909698E-2</v>
      </c>
      <c r="I42">
        <f t="shared" si="12"/>
        <v>22.884829268684889</v>
      </c>
      <c r="J42">
        <f t="shared" si="13"/>
        <v>7.8287208173652217E-6</v>
      </c>
      <c r="K42">
        <f t="shared" si="14"/>
        <v>8.9058980517254854E-4</v>
      </c>
      <c r="L42">
        <f t="shared" si="15"/>
        <v>87.622794023278288</v>
      </c>
      <c r="M42">
        <f t="shared" si="17"/>
        <v>6.0642082796377387E-7</v>
      </c>
      <c r="N42">
        <f t="shared" si="7"/>
        <v>4.9704341896287148E-3</v>
      </c>
      <c r="O42">
        <f t="shared" si="16"/>
        <v>0.34924048035157684</v>
      </c>
      <c r="W42">
        <f t="shared" si="18"/>
        <v>7.6522660106398743E-2</v>
      </c>
      <c r="X42">
        <f t="shared" si="20"/>
        <v>0.21588186753595295</v>
      </c>
      <c r="Y42">
        <v>2E-3</v>
      </c>
      <c r="Z42">
        <f t="shared" si="21"/>
        <v>4.4721359549995794E-2</v>
      </c>
      <c r="AA42">
        <f t="shared" si="22"/>
        <v>1440.2076233097653</v>
      </c>
      <c r="AB42">
        <f>$G$23*SQRT(AA42)</f>
        <v>0.10967607101888201</v>
      </c>
      <c r="AC42">
        <f t="shared" si="19"/>
        <v>2.5494364654124282E-3</v>
      </c>
      <c r="AD42">
        <f t="shared" si="24"/>
        <v>1835.8589163154406</v>
      </c>
      <c r="AE42">
        <f t="shared" si="25"/>
        <v>0.12382803548743194</v>
      </c>
      <c r="AF42" s="12">
        <f t="shared" si="26"/>
        <v>0.34620620302741612</v>
      </c>
      <c r="AH42">
        <v>2</v>
      </c>
      <c r="AI42">
        <f t="shared" ref="AI42:AI105" si="30">AH42*$G$18</f>
        <v>4.5138392677052508</v>
      </c>
      <c r="AJ42">
        <f t="shared" si="27"/>
        <v>1.6</v>
      </c>
      <c r="AN42">
        <f t="shared" si="28"/>
        <v>0.26218003149100383</v>
      </c>
      <c r="AO42">
        <f t="shared" ref="AO42:AO104" si="31">AN42*$G$10</f>
        <v>5.8771373477806062E-6</v>
      </c>
      <c r="AP42">
        <f t="shared" ref="AP42:AP105" si="32">(AO41-AO42)*$G$24</f>
        <v>2.1479309459381386E-2</v>
      </c>
      <c r="AQ42">
        <f t="shared" ref="AQ42:AQ105" si="33">AP42/$G$21</f>
        <v>0.17064313452148036</v>
      </c>
      <c r="AR42">
        <f t="shared" si="29"/>
        <v>15467.332613415309</v>
      </c>
      <c r="AS42">
        <f t="shared" ref="AS42:AS105" si="34">$G$23*SQRT(AR42)</f>
        <v>0.35942397575836876</v>
      </c>
    </row>
    <row r="43" spans="2:45">
      <c r="B43">
        <v>0.09</v>
      </c>
      <c r="C43">
        <f t="shared" si="8"/>
        <v>0.20312276704673629</v>
      </c>
      <c r="D43">
        <f t="shared" si="9"/>
        <v>7.2000000000000008E-2</v>
      </c>
      <c r="E43">
        <f t="shared" si="5"/>
        <v>98202.948000000004</v>
      </c>
      <c r="F43">
        <f t="shared" si="6"/>
        <v>1.0056026392932486E-2</v>
      </c>
      <c r="G43">
        <f t="shared" si="10"/>
        <v>2.5566756395493848E-3</v>
      </c>
      <c r="H43">
        <f t="shared" si="11"/>
        <v>3.8403080801178054E-2</v>
      </c>
      <c r="I43">
        <f t="shared" si="12"/>
        <v>22.91347255900299</v>
      </c>
      <c r="J43">
        <f t="shared" si="13"/>
        <v>7.8266073057113818E-6</v>
      </c>
      <c r="K43">
        <f t="shared" si="14"/>
        <v>8.9120769470360506E-4</v>
      </c>
      <c r="L43">
        <f t="shared" si="15"/>
        <v>87.519222900178008</v>
      </c>
      <c r="M43">
        <f t="shared" si="17"/>
        <v>6.0606232389101516E-7</v>
      </c>
      <c r="N43">
        <f t="shared" si="7"/>
        <v>4.9738903691851433E-3</v>
      </c>
      <c r="O43">
        <f t="shared" si="16"/>
        <v>0.34914619626067162</v>
      </c>
      <c r="W43">
        <f t="shared" si="18"/>
        <v>0.12272821892379993</v>
      </c>
      <c r="X43">
        <f t="shared" si="20"/>
        <v>0.34623465864610919</v>
      </c>
      <c r="Y43">
        <v>3.0000000000000001E-3</v>
      </c>
      <c r="Z43">
        <f t="shared" si="21"/>
        <v>5.4772255750516613E-2</v>
      </c>
      <c r="AA43">
        <f t="shared" si="22"/>
        <v>2160.311434964648</v>
      </c>
      <c r="AB43">
        <f t="shared" si="23"/>
        <v>0.13432520549475541</v>
      </c>
      <c r="AC43">
        <f t="shared" si="19"/>
        <v>4.0888254044541741E-3</v>
      </c>
      <c r="AD43">
        <f t="shared" si="24"/>
        <v>2944.378758938768</v>
      </c>
      <c r="AE43">
        <f t="shared" si="25"/>
        <v>0.15681809341382064</v>
      </c>
      <c r="AF43" s="12">
        <f t="shared" si="26"/>
        <v>0.34430930454112413</v>
      </c>
      <c r="AH43">
        <v>3</v>
      </c>
      <c r="AI43">
        <f t="shared" si="30"/>
        <v>6.7707589015578762</v>
      </c>
      <c r="AJ43">
        <f t="shared" si="27"/>
        <v>2.4</v>
      </c>
      <c r="AN43">
        <f t="shared" si="28"/>
        <v>0.22691614389556797</v>
      </c>
      <c r="AO43">
        <f t="shared" si="31"/>
        <v>5.086647280186787E-6</v>
      </c>
      <c r="AP43">
        <f t="shared" si="32"/>
        <v>1.8590287171544786E-2</v>
      </c>
      <c r="AQ43">
        <f t="shared" si="33"/>
        <v>0.14769119466367758</v>
      </c>
      <c r="AR43">
        <f t="shared" si="29"/>
        <v>13386.936651988264</v>
      </c>
      <c r="AS43">
        <f t="shared" si="34"/>
        <v>0.33437972444674707</v>
      </c>
    </row>
    <row r="44" spans="2:45">
      <c r="B44">
        <v>0.1</v>
      </c>
      <c r="C44">
        <f t="shared" si="8"/>
        <v>0.22569196338526254</v>
      </c>
      <c r="D44">
        <f t="shared" si="9"/>
        <v>0.08</v>
      </c>
      <c r="E44">
        <f t="shared" si="5"/>
        <v>98018.52</v>
      </c>
      <c r="F44">
        <f t="shared" si="6"/>
        <v>1.0062329456407304E-2</v>
      </c>
      <c r="G44">
        <f t="shared" si="10"/>
        <v>2.5558747607220293E-3</v>
      </c>
      <c r="H44">
        <f t="shared" si="11"/>
        <v>3.8475338609049461E-2</v>
      </c>
      <c r="I44">
        <f t="shared" si="12"/>
        <v>22.942205644767384</v>
      </c>
      <c r="J44">
        <f t="shared" si="13"/>
        <v>7.8244923244322544E-6</v>
      </c>
      <c r="K44">
        <f t="shared" si="14"/>
        <v>8.9182739384807686E-4</v>
      </c>
      <c r="L44">
        <f t="shared" si="15"/>
        <v>87.415601240445596</v>
      </c>
      <c r="M44">
        <f t="shared" si="17"/>
        <v>6.0570343254242385E-7</v>
      </c>
      <c r="N44">
        <f t="shared" si="7"/>
        <v>4.9773566892224626E-3</v>
      </c>
      <c r="O44">
        <f t="shared" si="16"/>
        <v>0.34905184660954874</v>
      </c>
      <c r="W44">
        <f t="shared" si="18"/>
        <v>0.17400900443977374</v>
      </c>
      <c r="X44">
        <f t="shared" si="20"/>
        <v>0.49090542323409253</v>
      </c>
      <c r="Y44">
        <v>4.0000000000000001E-3</v>
      </c>
      <c r="Z44">
        <f t="shared" si="21"/>
        <v>6.3245553203367583E-2</v>
      </c>
      <c r="AA44">
        <f t="shared" si="22"/>
        <v>2880.4152466195305</v>
      </c>
      <c r="AB44">
        <f t="shared" si="23"/>
        <v>0.15510538710269767</v>
      </c>
      <c r="AC44">
        <f t="shared" si="19"/>
        <v>5.7973010950226602E-3</v>
      </c>
      <c r="AD44">
        <f t="shared" si="24"/>
        <v>4174.6586158368427</v>
      </c>
      <c r="AE44">
        <f t="shared" si="25"/>
        <v>0.18672815871791018</v>
      </c>
      <c r="AF44" s="12">
        <f t="shared" si="26"/>
        <v>0.3424124060548322</v>
      </c>
      <c r="AH44">
        <v>4</v>
      </c>
      <c r="AI44">
        <f t="shared" si="30"/>
        <v>9.0276785354105016</v>
      </c>
      <c r="AJ44">
        <f t="shared" si="27"/>
        <v>3.2</v>
      </c>
      <c r="AN44">
        <f t="shared" si="28"/>
        <v>0.19639533975035359</v>
      </c>
      <c r="AO44">
        <f t="shared" si="31"/>
        <v>4.4024801569087827E-6</v>
      </c>
      <c r="AP44">
        <f t="shared" si="32"/>
        <v>1.6089845801330382E-2</v>
      </c>
      <c r="AQ44">
        <f t="shared" si="33"/>
        <v>0.12782634966447248</v>
      </c>
      <c r="AR44">
        <f t="shared" si="29"/>
        <v>11586.359290477316</v>
      </c>
      <c r="AS44">
        <f t="shared" si="34"/>
        <v>0.311080527906267</v>
      </c>
    </row>
    <row r="45" spans="2:45">
      <c r="B45">
        <v>0.11</v>
      </c>
      <c r="C45">
        <f t="shared" si="8"/>
        <v>0.24826115972378879</v>
      </c>
      <c r="D45">
        <f t="shared" si="9"/>
        <v>8.7999999999999995E-2</v>
      </c>
      <c r="E45">
        <f t="shared" si="5"/>
        <v>97834.092000000004</v>
      </c>
      <c r="F45">
        <f t="shared" si="6"/>
        <v>1.0068648352562442E-2</v>
      </c>
      <c r="G45">
        <f t="shared" si="10"/>
        <v>2.5550726251554489E-3</v>
      </c>
      <c r="H45">
        <f t="shared" si="11"/>
        <v>3.8547868844716081E-2</v>
      </c>
      <c r="I45">
        <f t="shared" si="12"/>
        <v>22.971028977234521</v>
      </c>
      <c r="J45">
        <f t="shared" si="13"/>
        <v>7.8223758692159386E-6</v>
      </c>
      <c r="K45">
        <f t="shared" si="14"/>
        <v>8.924489111988166E-4</v>
      </c>
      <c r="L45">
        <f t="shared" si="15"/>
        <v>87.311928883524857</v>
      </c>
      <c r="M45">
        <f t="shared" si="17"/>
        <v>6.053441526726075E-7</v>
      </c>
      <c r="N45">
        <f t="shared" si="7"/>
        <v>4.9808331978688E-3</v>
      </c>
      <c r="O45">
        <f t="shared" si="16"/>
        <v>0.34895743120585354</v>
      </c>
      <c r="W45">
        <f t="shared" si="18"/>
        <v>0.2306663644866016</v>
      </c>
      <c r="X45">
        <f t="shared" si="20"/>
        <v>0.65074430859902144</v>
      </c>
      <c r="Y45">
        <v>5.0000000000000001E-3</v>
      </c>
      <c r="Z45">
        <f t="shared" si="21"/>
        <v>7.0710678118654752E-2</v>
      </c>
      <c r="AA45">
        <f t="shared" si="22"/>
        <v>3600.5190582744135</v>
      </c>
      <c r="AB45">
        <f t="shared" si="23"/>
        <v>0.1734130946190256</v>
      </c>
      <c r="AC45">
        <f t="shared" si="19"/>
        <v>7.6849032711172396E-3</v>
      </c>
      <c r="AD45">
        <f t="shared" si="24"/>
        <v>5533.9281377306006</v>
      </c>
      <c r="AE45">
        <f t="shared" si="25"/>
        <v>0.21498892543832271</v>
      </c>
      <c r="AF45" s="12">
        <f t="shared" si="26"/>
        <v>0.34051550756854027</v>
      </c>
      <c r="AH45">
        <v>5</v>
      </c>
      <c r="AI45">
        <f t="shared" si="30"/>
        <v>11.284598169263127</v>
      </c>
      <c r="AJ45">
        <f t="shared" si="27"/>
        <v>4</v>
      </c>
      <c r="AN45">
        <f t="shared" si="28"/>
        <v>0.16997966214959193</v>
      </c>
      <c r="AO45">
        <f t="shared" si="31"/>
        <v>3.810335268865717E-6</v>
      </c>
      <c r="AP45">
        <f t="shared" si="32"/>
        <v>1.3925720217321171E-2</v>
      </c>
      <c r="AQ45">
        <f t="shared" si="33"/>
        <v>0.11063337733676261</v>
      </c>
      <c r="AR45">
        <f t="shared" si="29"/>
        <v>10027.964208532434</v>
      </c>
      <c r="AS45">
        <f t="shared" si="34"/>
        <v>0.28940479271748776</v>
      </c>
    </row>
    <row r="46" spans="2:45">
      <c r="B46">
        <v>0.12</v>
      </c>
      <c r="C46">
        <f t="shared" si="8"/>
        <v>0.27083035606231504</v>
      </c>
      <c r="D46">
        <f t="shared" si="9"/>
        <v>9.6000000000000002E-2</v>
      </c>
      <c r="E46">
        <f t="shared" si="5"/>
        <v>97649.664000000004</v>
      </c>
      <c r="F46">
        <f t="shared" si="6"/>
        <v>1.0074983151127035E-2</v>
      </c>
      <c r="G46">
        <f t="shared" si="10"/>
        <v>2.5542692285028916E-3</v>
      </c>
      <c r="H46">
        <f t="shared" si="11"/>
        <v>3.86206730517566E-2</v>
      </c>
      <c r="I46">
        <f t="shared" si="12"/>
        <v>22.999943010784872</v>
      </c>
      <c r="J46">
        <f t="shared" si="13"/>
        <v>7.8202579357300677E-6</v>
      </c>
      <c r="K46">
        <f t="shared" si="14"/>
        <v>8.9307225538528309E-4</v>
      </c>
      <c r="L46">
        <f t="shared" si="15"/>
        <v>87.208205666095083</v>
      </c>
      <c r="M46">
        <f t="shared" si="17"/>
        <v>6.0498448302287949E-7</v>
      </c>
      <c r="N46">
        <f t="shared" si="7"/>
        <v>4.9843199435763439E-3</v>
      </c>
      <c r="O46">
        <f t="shared" si="16"/>
        <v>0.34886294985631838</v>
      </c>
      <c r="W46">
        <f t="shared" si="18"/>
        <v>0.29318011801293198</v>
      </c>
      <c r="X46">
        <f t="shared" si="20"/>
        <v>0.82710495574826992</v>
      </c>
      <c r="Y46">
        <v>6.0000000000000001E-3</v>
      </c>
      <c r="Z46">
        <f t="shared" si="21"/>
        <v>7.7459666924148338E-2</v>
      </c>
      <c r="AA46">
        <f t="shared" si="22"/>
        <v>4320.622869929296</v>
      </c>
      <c r="AB46">
        <f t="shared" si="23"/>
        <v>0.18996452737923611</v>
      </c>
      <c r="AC46">
        <f t="shared" si="19"/>
        <v>9.7676176279918349E-3</v>
      </c>
      <c r="AD46">
        <f t="shared" si="24"/>
        <v>7033.6986847043445</v>
      </c>
      <c r="AE46">
        <f t="shared" si="25"/>
        <v>0.24237689147370228</v>
      </c>
      <c r="AF46" s="12">
        <f t="shared" si="26"/>
        <v>0.33861860908224833</v>
      </c>
      <c r="AH46">
        <v>6</v>
      </c>
      <c r="AI46">
        <f t="shared" si="30"/>
        <v>13.541517803115752</v>
      </c>
      <c r="AJ46">
        <f t="shared" si="27"/>
        <v>4.8</v>
      </c>
      <c r="AN46">
        <f t="shared" si="28"/>
        <v>0.14711696102981173</v>
      </c>
      <c r="AO46">
        <f t="shared" si="31"/>
        <v>3.2978353890767551E-6</v>
      </c>
      <c r="AP46">
        <f t="shared" si="32"/>
        <v>1.205267508250913E-2</v>
      </c>
      <c r="AQ46">
        <f t="shared" si="33"/>
        <v>9.5752903944032755E-2</v>
      </c>
      <c r="AR46">
        <f t="shared" si="29"/>
        <v>8679.1772675526499</v>
      </c>
      <c r="AS46">
        <f t="shared" si="34"/>
        <v>0.26923939795128848</v>
      </c>
    </row>
    <row r="47" spans="2:45">
      <c r="B47">
        <v>0.13</v>
      </c>
      <c r="C47">
        <f t="shared" si="8"/>
        <v>0.29339955240084131</v>
      </c>
      <c r="D47">
        <f t="shared" si="9"/>
        <v>0.10400000000000001</v>
      </c>
      <c r="E47">
        <f t="shared" si="5"/>
        <v>97465.236000000004</v>
      </c>
      <c r="F47">
        <f t="shared" si="6"/>
        <v>1.0081333922269762E-2</v>
      </c>
      <c r="G47">
        <f t="shared" si="10"/>
        <v>2.5534645663943252E-3</v>
      </c>
      <c r="H47">
        <f t="shared" si="11"/>
        <v>3.8693752785433015E-2</v>
      </c>
      <c r="I47">
        <f t="shared" si="12"/>
        <v>23.028948202950492</v>
      </c>
      <c r="J47">
        <f t="shared" si="13"/>
        <v>7.8181385196216716E-6</v>
      </c>
      <c r="K47">
        <f t="shared" si="14"/>
        <v>8.936974350950411E-4</v>
      </c>
      <c r="L47">
        <f t="shared" si="15"/>
        <v>87.104431424132869</v>
      </c>
      <c r="M47">
        <f t="shared" si="17"/>
        <v>6.0462442232836733E-7</v>
      </c>
      <c r="N47">
        <f t="shared" si="7"/>
        <v>4.9878169751191269E-3</v>
      </c>
      <c r="O47">
        <f t="shared" si="16"/>
        <v>0.34876840236675671</v>
      </c>
      <c r="W47">
        <f t="shared" si="18"/>
        <v>0.35068992631050699</v>
      </c>
      <c r="X47">
        <f t="shared" si="20"/>
        <v>0.98934872510564198</v>
      </c>
      <c r="Y47">
        <v>6.8399999999999997E-3</v>
      </c>
      <c r="Z47">
        <f t="shared" si="21"/>
        <v>8.2704292512541328E-2</v>
      </c>
      <c r="AA47">
        <f t="shared" si="22"/>
        <v>4925.5100717193973</v>
      </c>
      <c r="AB47">
        <f t="shared" si="23"/>
        <v>0.20282661239382482</v>
      </c>
      <c r="AC47">
        <f t="shared" si="19"/>
        <v>1.1683620053794279E-2</v>
      </c>
      <c r="AD47">
        <f t="shared" si="24"/>
        <v>8413.4193346646844</v>
      </c>
      <c r="AE47">
        <f t="shared" si="25"/>
        <v>0.26508527186759218</v>
      </c>
      <c r="AF47" s="12">
        <f t="shared" si="26"/>
        <v>0.33702521435376309</v>
      </c>
      <c r="AH47">
        <v>7</v>
      </c>
      <c r="AI47">
        <f t="shared" si="30"/>
        <v>15.798437436968378</v>
      </c>
      <c r="AJ47">
        <f t="shared" si="27"/>
        <v>5.6000000000000005</v>
      </c>
      <c r="AN47">
        <f t="shared" si="28"/>
        <v>0.12732935192917202</v>
      </c>
      <c r="AO47">
        <f t="shared" si="31"/>
        <v>2.8542680593785608E-6</v>
      </c>
      <c r="AP47">
        <f t="shared" si="32"/>
        <v>1.0431559328891929E-2</v>
      </c>
      <c r="AQ47">
        <f t="shared" si="33"/>
        <v>8.287389244031014E-2</v>
      </c>
      <c r="AR47">
        <f t="shared" si="29"/>
        <v>7511.8056342391274</v>
      </c>
      <c r="AS47">
        <f t="shared" si="34"/>
        <v>0.25047910481543229</v>
      </c>
    </row>
    <row r="48" spans="2:45">
      <c r="B48">
        <v>0.14000000000000001</v>
      </c>
      <c r="C48">
        <f t="shared" si="8"/>
        <v>0.31596874873936759</v>
      </c>
      <c r="D48">
        <f t="shared" si="9"/>
        <v>0.11200000000000002</v>
      </c>
      <c r="E48">
        <f t="shared" si="5"/>
        <v>97280.808000000005</v>
      </c>
      <c r="F48">
        <f t="shared" si="6"/>
        <v>1.0087700736602444E-2</v>
      </c>
      <c r="G48">
        <f t="shared" si="10"/>
        <v>2.5526586344362711E-3</v>
      </c>
      <c r="H48">
        <f t="shared" si="11"/>
        <v>3.8767109612801394E-2</v>
      </c>
      <c r="I48">
        <f t="shared" si="12"/>
        <v>23.058045014442943</v>
      </c>
      <c r="J48">
        <f t="shared" si="13"/>
        <v>7.8160176165170431E-6</v>
      </c>
      <c r="K48">
        <f t="shared" si="14"/>
        <v>8.9432445907335924E-4</v>
      </c>
      <c r="L48">
        <f t="shared" si="15"/>
        <v>87.000605992819317</v>
      </c>
      <c r="M48">
        <f t="shared" si="17"/>
        <v>6.0426396931766344E-7</v>
      </c>
      <c r="N48">
        <f t="shared" si="7"/>
        <v>4.9913243415960172E-3</v>
      </c>
      <c r="O48">
        <f t="shared" si="16"/>
        <v>0.34867378854205672</v>
      </c>
      <c r="W48">
        <f t="shared" si="18"/>
        <v>0.43858948260729336</v>
      </c>
      <c r="X48">
        <f t="shared" si="20"/>
        <v>1.2373265181220812</v>
      </c>
      <c r="Y48">
        <v>8.0000000000000002E-3</v>
      </c>
      <c r="Z48">
        <f t="shared" si="21"/>
        <v>8.9442719099991588E-2</v>
      </c>
      <c r="AA48">
        <f t="shared" si="22"/>
        <v>5760.8304932390611</v>
      </c>
      <c r="AB48">
        <f t="shared" si="23"/>
        <v>0.21935214203776401</v>
      </c>
      <c r="AC48">
        <f t="shared" si="19"/>
        <v>1.4612090310905235E-2</v>
      </c>
      <c r="AD48">
        <f t="shared" si="24"/>
        <v>10522.22192912824</v>
      </c>
      <c r="AE48">
        <f t="shared" si="25"/>
        <v>0.29645109589319807</v>
      </c>
      <c r="AF48" s="12">
        <f t="shared" si="26"/>
        <v>0.33482481210966442</v>
      </c>
      <c r="AH48">
        <v>8</v>
      </c>
      <c r="AI48">
        <f t="shared" si="30"/>
        <v>18.055357070821003</v>
      </c>
      <c r="AJ48">
        <f t="shared" si="27"/>
        <v>6.4</v>
      </c>
      <c r="AN48">
        <f t="shared" si="28"/>
        <v>0.11020322707330521</v>
      </c>
      <c r="AO48">
        <f t="shared" si="31"/>
        <v>2.4703616747436871E-6</v>
      </c>
      <c r="AP48">
        <f t="shared" si="32"/>
        <v>9.0284878076659532E-3</v>
      </c>
      <c r="AQ48">
        <f t="shared" si="33"/>
        <v>7.1727141061147415E-2</v>
      </c>
      <c r="AR48">
        <f t="shared" si="29"/>
        <v>6501.4484837798873</v>
      </c>
      <c r="AS48">
        <f t="shared" si="34"/>
        <v>0.2330260074362949</v>
      </c>
    </row>
    <row r="49" spans="2:45">
      <c r="B49">
        <v>0.15</v>
      </c>
      <c r="C49">
        <f t="shared" si="8"/>
        <v>0.33853794507789381</v>
      </c>
      <c r="D49">
        <f t="shared" si="9"/>
        <v>0.12</v>
      </c>
      <c r="E49">
        <f t="shared" si="5"/>
        <v>97096.38</v>
      </c>
      <c r="F49">
        <f t="shared" si="6"/>
        <v>1.0094083665183695E-2</v>
      </c>
      <c r="G49">
        <f t="shared" si="10"/>
        <v>2.551851428211631E-3</v>
      </c>
      <c r="H49">
        <f t="shared" si="11"/>
        <v>3.8840745112823837E-2</v>
      </c>
      <c r="I49">
        <f t="shared" si="12"/>
        <v>23.087233909181393</v>
      </c>
      <c r="J49">
        <f t="shared" si="13"/>
        <v>7.8138952220215939E-6</v>
      </c>
      <c r="K49">
        <f t="shared" si="14"/>
        <v>8.9495333612375078E-4</v>
      </c>
      <c r="L49">
        <f t="shared" si="15"/>
        <v>86.896729206539433</v>
      </c>
      <c r="M49">
        <f t="shared" si="17"/>
        <v>6.0390312271279532E-7</v>
      </c>
      <c r="N49">
        <f t="shared" si="7"/>
        <v>4.9948420924334535E-3</v>
      </c>
      <c r="O49">
        <f t="shared" si="16"/>
        <v>0.34857910818617505</v>
      </c>
      <c r="W49">
        <f t="shared" si="18"/>
        <v>0.5234403280721267</v>
      </c>
      <c r="X49">
        <f t="shared" si="20"/>
        <v>1.4767034419703029</v>
      </c>
      <c r="Y49">
        <v>8.9999999999999993E-3</v>
      </c>
      <c r="Z49">
        <f t="shared" si="21"/>
        <v>9.4868329805051374E-2</v>
      </c>
      <c r="AA49">
        <f t="shared" si="22"/>
        <v>6480.9343048939427</v>
      </c>
      <c r="AB49">
        <f t="shared" si="23"/>
        <v>0.23265808065404647</v>
      </c>
      <c r="AC49">
        <f t="shared" si="19"/>
        <v>1.7438989418285224E-2</v>
      </c>
      <c r="AD49">
        <f t="shared" si="24"/>
        <v>12557.882751516354</v>
      </c>
      <c r="AE49">
        <f t="shared" si="25"/>
        <v>0.3238601728662136</v>
      </c>
      <c r="AF49" s="12">
        <f t="shared" si="26"/>
        <v>0.33292791362337248</v>
      </c>
      <c r="AH49">
        <v>9</v>
      </c>
      <c r="AI49">
        <f t="shared" si="30"/>
        <v>20.312276704673629</v>
      </c>
      <c r="AJ49">
        <f t="shared" si="27"/>
        <v>7.2</v>
      </c>
      <c r="AN49">
        <f t="shared" si="28"/>
        <v>9.5380609995769805E-2</v>
      </c>
      <c r="AO49">
        <f t="shared" si="31"/>
        <v>2.1380916848332498E-6</v>
      </c>
      <c r="AP49">
        <f t="shared" si="32"/>
        <v>7.8141330095690305E-3</v>
      </c>
      <c r="AQ49">
        <f t="shared" si="33"/>
        <v>6.2079656370807354E-2</v>
      </c>
      <c r="AR49">
        <f t="shared" si="29"/>
        <v>5626.9869649688972</v>
      </c>
      <c r="AS49">
        <f t="shared" si="34"/>
        <v>0.21678902190948113</v>
      </c>
    </row>
    <row r="50" spans="2:45">
      <c r="B50">
        <v>0.16</v>
      </c>
      <c r="C50">
        <f t="shared" si="8"/>
        <v>0.36110714141642009</v>
      </c>
      <c r="D50">
        <f t="shared" si="9"/>
        <v>0.128</v>
      </c>
      <c r="E50">
        <f t="shared" si="5"/>
        <v>96911.952000000005</v>
      </c>
      <c r="F50">
        <f t="shared" si="6"/>
        <v>1.0100482779522604E-2</v>
      </c>
      <c r="G50">
        <f t="shared" si="10"/>
        <v>2.5510429432795173E-3</v>
      </c>
      <c r="H50">
        <f t="shared" si="11"/>
        <v>3.8914660876481842E-2</v>
      </c>
      <c r="I50">
        <f t="shared" si="12"/>
        <v>23.116515354321191</v>
      </c>
      <c r="J50">
        <f t="shared" si="13"/>
        <v>7.8117713317197211E-6</v>
      </c>
      <c r="K50">
        <f t="shared" si="14"/>
        <v>8.9558407510847093E-4</v>
      </c>
      <c r="L50">
        <f t="shared" si="15"/>
        <v>86.792800898876536</v>
      </c>
      <c r="M50">
        <f t="shared" si="17"/>
        <v>6.0354188122917896E-7</v>
      </c>
      <c r="N50">
        <f t="shared" si="7"/>
        <v>4.9983702773882923E-3</v>
      </c>
      <c r="O50">
        <f t="shared" si="16"/>
        <v>0.34848436110213105</v>
      </c>
      <c r="W50">
        <f t="shared" si="18"/>
        <v>0.61819036073012446</v>
      </c>
      <c r="X50">
        <f t="shared" si="20"/>
        <v>1.7440074532378187</v>
      </c>
      <c r="Y50">
        <v>0.01</v>
      </c>
      <c r="Z50">
        <f t="shared" si="21"/>
        <v>0.1</v>
      </c>
      <c r="AA50">
        <f t="shared" si="22"/>
        <v>7201.038116548827</v>
      </c>
      <c r="AB50">
        <f t="shared" si="23"/>
        <v>0.24524315030331478</v>
      </c>
      <c r="AC50">
        <f t="shared" si="19"/>
        <v>2.0595690819170252E-2</v>
      </c>
      <c r="AD50">
        <f t="shared" si="24"/>
        <v>14831.035462549973</v>
      </c>
      <c r="AE50">
        <f t="shared" si="25"/>
        <v>0.35195332145480623</v>
      </c>
      <c r="AF50" s="12">
        <f t="shared" si="26"/>
        <v>0.33103101513708055</v>
      </c>
      <c r="AH50">
        <v>10</v>
      </c>
      <c r="AI50">
        <f t="shared" si="30"/>
        <v>22.569196338526254</v>
      </c>
      <c r="AJ50">
        <f t="shared" si="27"/>
        <v>8</v>
      </c>
      <c r="AN50">
        <f t="shared" si="28"/>
        <v>8.2551672984255475E-2</v>
      </c>
      <c r="AO50">
        <f t="shared" si="31"/>
        <v>1.8505128619384831E-6</v>
      </c>
      <c r="AP50">
        <f t="shared" si="32"/>
        <v>6.7631120506571338E-3</v>
      </c>
      <c r="AQ50">
        <f t="shared" si="33"/>
        <v>5.3729783149060711E-2</v>
      </c>
      <c r="AR50">
        <f t="shared" si="29"/>
        <v>4870.1427663272716</v>
      </c>
      <c r="AS50">
        <f t="shared" si="34"/>
        <v>0.20168341095282188</v>
      </c>
    </row>
    <row r="51" spans="2:45">
      <c r="B51">
        <v>0.17</v>
      </c>
      <c r="C51">
        <f t="shared" si="8"/>
        <v>0.38367633775494636</v>
      </c>
      <c r="D51">
        <f t="shared" si="9"/>
        <v>0.13600000000000001</v>
      </c>
      <c r="E51">
        <f t="shared" si="5"/>
        <v>96727.524000000005</v>
      </c>
      <c r="F51">
        <f t="shared" si="6"/>
        <v>1.0106898151582451E-2</v>
      </c>
      <c r="G51">
        <f t="shared" si="10"/>
        <v>2.5502331751750778E-3</v>
      </c>
      <c r="H51">
        <f t="shared" si="11"/>
        <v>3.8988858506890829E-2</v>
      </c>
      <c r="I51">
        <f t="shared" si="12"/>
        <v>23.145889820282573</v>
      </c>
      <c r="J51">
        <f t="shared" si="13"/>
        <v>7.8096459411746627E-6</v>
      </c>
      <c r="K51">
        <f t="shared" si="14"/>
        <v>8.9621668494900563E-4</v>
      </c>
      <c r="L51">
        <f t="shared" si="15"/>
        <v>86.688820902605386</v>
      </c>
      <c r="M51">
        <f t="shared" si="17"/>
        <v>6.0318024357556568E-7</v>
      </c>
      <c r="N51">
        <f t="shared" si="7"/>
        <v>5.0019089465506315E-3</v>
      </c>
      <c r="O51">
        <f t="shared" si="16"/>
        <v>0.34838954709199998</v>
      </c>
      <c r="W51">
        <f t="shared" si="18"/>
        <v>0.72473271952192297</v>
      </c>
      <c r="X51">
        <f t="shared" si="20"/>
        <v>2.044579379980545</v>
      </c>
      <c r="Y51">
        <v>1.0999999999999999E-2</v>
      </c>
      <c r="Z51">
        <f t="shared" si="21"/>
        <v>0.10488088481701516</v>
      </c>
      <c r="AA51">
        <f t="shared" si="22"/>
        <v>7921.1419282037086</v>
      </c>
      <c r="AB51">
        <f t="shared" si="23"/>
        <v>0.25721318599123888</v>
      </c>
      <c r="AC51">
        <f t="shared" si="19"/>
        <v>2.4145266516580603E-2</v>
      </c>
      <c r="AD51">
        <f t="shared" si="24"/>
        <v>17387.098452012702</v>
      </c>
      <c r="AE51">
        <f t="shared" si="25"/>
        <v>0.38107713199897963</v>
      </c>
      <c r="AF51" s="12">
        <f t="shared" si="26"/>
        <v>0.32913411665078862</v>
      </c>
      <c r="AH51">
        <v>11</v>
      </c>
      <c r="AI51">
        <f t="shared" si="30"/>
        <v>24.826115972378879</v>
      </c>
      <c r="AJ51">
        <f t="shared" si="27"/>
        <v>8.8000000000000007</v>
      </c>
      <c r="AN51">
        <f t="shared" si="28"/>
        <v>7.1448260949491679E-2</v>
      </c>
      <c r="AO51">
        <f t="shared" si="31"/>
        <v>1.6016141293149573E-6</v>
      </c>
      <c r="AP51">
        <f t="shared" si="32"/>
        <v>5.8534561100677222E-3</v>
      </c>
      <c r="AQ51">
        <f t="shared" si="33"/>
        <v>4.6502989320711383E-2</v>
      </c>
      <c r="AR51">
        <f t="shared" si="29"/>
        <v>4215.0960562143282</v>
      </c>
      <c r="AS51">
        <f t="shared" si="34"/>
        <v>0.18763034168099577</v>
      </c>
    </row>
    <row r="52" spans="2:45">
      <c r="B52">
        <v>0.18</v>
      </c>
      <c r="C52">
        <f t="shared" si="8"/>
        <v>0.40624553409347258</v>
      </c>
      <c r="D52">
        <f t="shared" si="9"/>
        <v>0.14400000000000002</v>
      </c>
      <c r="E52">
        <f t="shared" si="5"/>
        <v>96543.096000000005</v>
      </c>
      <c r="F52">
        <f t="shared" si="6"/>
        <v>1.0113329853784474E-2</v>
      </c>
      <c r="G52">
        <f t="shared" si="10"/>
        <v>2.5494221194093201E-3</v>
      </c>
      <c r="H52">
        <f t="shared" si="11"/>
        <v>3.9063339619416042E-2</v>
      </c>
      <c r="I52">
        <f t="shared" si="12"/>
        <v>23.175357780779759</v>
      </c>
      <c r="J52">
        <f t="shared" si="13"/>
        <v>7.8075190459283589E-6</v>
      </c>
      <c r="K52">
        <f t="shared" si="14"/>
        <v>8.9685117462659893E-4</v>
      </c>
      <c r="L52">
        <f t="shared" si="15"/>
        <v>86.58478904968851</v>
      </c>
      <c r="M52">
        <f t="shared" si="17"/>
        <v>6.0281820845400167E-7</v>
      </c>
      <c r="N52">
        <f t="shared" si="7"/>
        <v>5.0054581503466743E-3</v>
      </c>
      <c r="O52">
        <f t="shared" si="16"/>
        <v>0.34829466595690711</v>
      </c>
      <c r="W52">
        <f t="shared" si="18"/>
        <v>0.84562177405039574</v>
      </c>
      <c r="X52">
        <f t="shared" si="20"/>
        <v>2.3856254808345332</v>
      </c>
      <c r="Y52">
        <v>1.2E-2</v>
      </c>
      <c r="Z52">
        <f t="shared" si="21"/>
        <v>0.10954451150103323</v>
      </c>
      <c r="AA52">
        <f t="shared" si="22"/>
        <v>8641.2457398585921</v>
      </c>
      <c r="AB52">
        <f t="shared" si="23"/>
        <v>0.26865041098951081</v>
      </c>
      <c r="AC52">
        <f t="shared" si="19"/>
        <v>2.8172818139271104E-2</v>
      </c>
      <c r="AD52" s="12">
        <f t="shared" si="24"/>
        <v>20287.353727148937</v>
      </c>
      <c r="AE52" s="12">
        <f t="shared" si="25"/>
        <v>0.41163475154440171</v>
      </c>
      <c r="AF52" s="12">
        <f t="shared" si="26"/>
        <v>0.32723721816449663</v>
      </c>
      <c r="AH52">
        <v>12</v>
      </c>
      <c r="AI52">
        <f t="shared" si="30"/>
        <v>27.083035606231505</v>
      </c>
      <c r="AJ52">
        <f t="shared" si="27"/>
        <v>9.6</v>
      </c>
      <c r="AN52">
        <f t="shared" si="28"/>
        <v>6.1838286350420421E-2</v>
      </c>
      <c r="AO52">
        <f t="shared" si="31"/>
        <v>1.3861929154786831E-6</v>
      </c>
      <c r="AP52">
        <f t="shared" si="32"/>
        <v>5.0661512297670861E-3</v>
      </c>
      <c r="AQ52">
        <f t="shared" si="33"/>
        <v>4.0248217822930248E-2</v>
      </c>
      <c r="AR52">
        <f t="shared" si="29"/>
        <v>3648.1548109753494</v>
      </c>
      <c r="AS52">
        <f t="shared" si="34"/>
        <v>0.17455647419391626</v>
      </c>
    </row>
    <row r="53" spans="2:45">
      <c r="B53">
        <v>0.19</v>
      </c>
      <c r="C53">
        <f t="shared" si="8"/>
        <v>0.4288147304319988</v>
      </c>
      <c r="D53">
        <f t="shared" si="9"/>
        <v>0.152</v>
      </c>
      <c r="E53">
        <f t="shared" si="5"/>
        <v>96358.668000000005</v>
      </c>
      <c r="F53">
        <f t="shared" si="6"/>
        <v>1.0119777959011651E-2</v>
      </c>
      <c r="G53">
        <f t="shared" si="10"/>
        <v>2.5486097714689368E-3</v>
      </c>
      <c r="H53">
        <f t="shared" si="11"/>
        <v>3.9138105841789832E-2</v>
      </c>
      <c r="I53">
        <f t="shared" si="12"/>
        <v>23.204919712850451</v>
      </c>
      <c r="J53">
        <f t="shared" si="13"/>
        <v>7.8053906415013081E-6</v>
      </c>
      <c r="K53">
        <f t="shared" si="14"/>
        <v>8.9748755318276314E-4</v>
      </c>
      <c r="L53">
        <f t="shared" si="15"/>
        <v>86.480705171270216</v>
      </c>
      <c r="M53">
        <f t="shared" si="17"/>
        <v>6.0245577455977806E-7</v>
      </c>
      <c r="N53">
        <f t="shared" si="7"/>
        <v>5.0090179395416564E-3</v>
      </c>
      <c r="O53">
        <f t="shared" si="16"/>
        <v>0.34819971749702122</v>
      </c>
      <c r="W53">
        <f t="shared" si="18"/>
        <v>0.98440670083696147</v>
      </c>
      <c r="X53">
        <f t="shared" si="20"/>
        <v>2.7771585135187826</v>
      </c>
      <c r="Y53">
        <v>1.2999999999999999E-2</v>
      </c>
      <c r="Z53">
        <f t="shared" si="21"/>
        <v>0.11401754250991379</v>
      </c>
      <c r="AA53">
        <f t="shared" si="22"/>
        <v>9361.3495515134746</v>
      </c>
      <c r="AB53">
        <f t="shared" si="23"/>
        <v>0.27962021314973373</v>
      </c>
      <c r="AC53">
        <f t="shared" si="19"/>
        <v>3.279659040107305E-2</v>
      </c>
      <c r="AD53">
        <f t="shared" si="24"/>
        <v>23616.949757096638</v>
      </c>
      <c r="AE53">
        <f t="shared" si="25"/>
        <v>0.44413114991740232</v>
      </c>
      <c r="AH53">
        <v>13</v>
      </c>
      <c r="AI53">
        <f t="shared" si="30"/>
        <v>29.33995524008413</v>
      </c>
      <c r="AJ53">
        <f t="shared" si="27"/>
        <v>10.4</v>
      </c>
      <c r="AN53">
        <f t="shared" si="28"/>
        <v>5.3520878016329106E-2</v>
      </c>
      <c r="AO53">
        <f t="shared" si="31"/>
        <v>1.1997464081720918E-6</v>
      </c>
      <c r="AP53">
        <f t="shared" si="32"/>
        <v>4.3847408779107543E-3</v>
      </c>
      <c r="AQ53">
        <f t="shared" si="33"/>
        <v>3.4834729155799785E-2</v>
      </c>
      <c r="AR53">
        <f t="shared" si="29"/>
        <v>3157.4686193025104</v>
      </c>
      <c r="AS53">
        <f t="shared" si="34"/>
        <v>0.16239357883180486</v>
      </c>
    </row>
    <row r="54" spans="2:45">
      <c r="B54">
        <v>0.2</v>
      </c>
      <c r="C54">
        <f t="shared" si="8"/>
        <v>0.45138392677052508</v>
      </c>
      <c r="D54">
        <f t="shared" si="9"/>
        <v>0.16</v>
      </c>
      <c r="E54">
        <f t="shared" si="5"/>
        <v>96174.24</v>
      </c>
      <c r="F54">
        <f t="shared" si="6"/>
        <v>1.0126242540612545E-2</v>
      </c>
      <c r="G54">
        <f t="shared" si="10"/>
        <v>2.5477961268161246E-3</v>
      </c>
      <c r="H54">
        <f t="shared" si="11"/>
        <v>3.921315881423016E-2</v>
      </c>
      <c r="I54">
        <f t="shared" si="12"/>
        <v>23.234576096885466</v>
      </c>
      <c r="J54">
        <f t="shared" si="13"/>
        <v>7.8032607233924213E-6</v>
      </c>
      <c r="K54">
        <f t="shared" si="14"/>
        <v>8.9812582971979509E-4</v>
      </c>
      <c r="L54">
        <f t="shared" si="15"/>
        <v>86.376569097670711</v>
      </c>
      <c r="M54">
        <f t="shared" si="17"/>
        <v>6.0209294058138196E-7</v>
      </c>
      <c r="N54">
        <f t="shared" si="7"/>
        <v>5.0125883652427502E-3</v>
      </c>
      <c r="O54">
        <f t="shared" si="16"/>
        <v>0.34810470151154793</v>
      </c>
      <c r="W54">
        <f t="shared" si="18"/>
        <v>1.1462112899938393</v>
      </c>
      <c r="X54">
        <f t="shared" si="20"/>
        <v>3.2336334561633016</v>
      </c>
      <c r="Y54">
        <v>1.4E-2</v>
      </c>
      <c r="Z54">
        <f t="shared" si="21"/>
        <v>0.11832159566199232</v>
      </c>
      <c r="AA54">
        <f t="shared" si="22"/>
        <v>10081.453363168357</v>
      </c>
      <c r="AB54">
        <f t="shared" si="23"/>
        <v>0.29017560869062015</v>
      </c>
      <c r="AC54">
        <f t="shared" si="19"/>
        <v>3.8187287996975454E-2</v>
      </c>
      <c r="AD54">
        <f t="shared" si="24"/>
        <v>27498.811643384768</v>
      </c>
      <c r="AE54">
        <f t="shared" si="25"/>
        <v>0.47924356986327837</v>
      </c>
      <c r="AH54">
        <v>14</v>
      </c>
      <c r="AI54">
        <f t="shared" si="30"/>
        <v>31.596874873936756</v>
      </c>
      <c r="AJ54">
        <f t="shared" si="27"/>
        <v>11.200000000000001</v>
      </c>
      <c r="AN54">
        <f t="shared" si="28"/>
        <v>4.6322182464865545E-2</v>
      </c>
      <c r="AO54">
        <f t="shared" si="31"/>
        <v>1.0383774349508787E-6</v>
      </c>
      <c r="AP54">
        <f t="shared" si="32"/>
        <v>3.794981968452917E-3</v>
      </c>
      <c r="AQ54">
        <f t="shared" si="33"/>
        <v>3.0149368617921776E-2</v>
      </c>
      <c r="AR54">
        <f t="shared" si="29"/>
        <v>2732.7809806444948</v>
      </c>
      <c r="AS54">
        <f t="shared" si="34"/>
        <v>0.15107818009949703</v>
      </c>
    </row>
    <row r="55" spans="2:45">
      <c r="B55">
        <v>0.21</v>
      </c>
      <c r="C55">
        <f t="shared" si="8"/>
        <v>0.4739531231090513</v>
      </c>
      <c r="D55">
        <f t="shared" si="9"/>
        <v>0.16799999999999998</v>
      </c>
      <c r="E55">
        <f t="shared" si="5"/>
        <v>95989.812000000005</v>
      </c>
      <c r="F55">
        <f t="shared" si="6"/>
        <v>1.0132723672405173E-2</v>
      </c>
      <c r="G55">
        <f t="shared" si="10"/>
        <v>2.5469811808884056E-3</v>
      </c>
      <c r="H55">
        <f t="shared" si="11"/>
        <v>3.92885001895606E-2</v>
      </c>
      <c r="I55">
        <f t="shared" si="12"/>
        <v>23.26432741665883</v>
      </c>
      <c r="J55">
        <f t="shared" si="13"/>
        <v>7.8011292870788797E-6</v>
      </c>
      <c r="K55">
        <f t="shared" si="14"/>
        <v>8.9876601340129533E-4</v>
      </c>
      <c r="L55">
        <f t="shared" si="15"/>
        <v>86.272380658379831</v>
      </c>
      <c r="M55">
        <f t="shared" si="17"/>
        <v>6.0172970520044449E-7</v>
      </c>
      <c r="N55">
        <f t="shared" si="7"/>
        <v>5.016169478902043E-3</v>
      </c>
      <c r="O55">
        <f t="shared" si="16"/>
        <v>0.34800961779872364</v>
      </c>
      <c r="W55">
        <f t="shared" si="18"/>
        <v>1.3388142123578786</v>
      </c>
      <c r="X55">
        <f t="shared" si="20"/>
        <v>3.7769951024392929</v>
      </c>
      <c r="Y55">
        <v>1.4999999999999999E-2</v>
      </c>
      <c r="Z55">
        <f t="shared" si="21"/>
        <v>0.1224744871391589</v>
      </c>
      <c r="AA55">
        <f t="shared" si="22"/>
        <v>10801.55717482324</v>
      </c>
      <c r="AB55">
        <f t="shared" si="23"/>
        <v>0.30036029057790137</v>
      </c>
      <c r="AC55">
        <f t="shared" si="19"/>
        <v>4.4604065889133716E-2</v>
      </c>
      <c r="AD55">
        <f t="shared" si="24"/>
        <v>32119.557862070724</v>
      </c>
      <c r="AE55">
        <f t="shared" si="25"/>
        <v>0.51794555536595388</v>
      </c>
      <c r="AH55">
        <v>15</v>
      </c>
      <c r="AI55">
        <f t="shared" si="30"/>
        <v>33.853794507789381</v>
      </c>
      <c r="AJ55">
        <f t="shared" si="27"/>
        <v>12</v>
      </c>
      <c r="AN55">
        <f t="shared" si="28"/>
        <v>4.0091729953563825E-2</v>
      </c>
      <c r="AO55">
        <f t="shared" si="31"/>
        <v>8.987130030736508E-7</v>
      </c>
      <c r="AP55">
        <f t="shared" si="32"/>
        <v>3.2845471470015243E-3</v>
      </c>
      <c r="AQ55">
        <f t="shared" si="33"/>
        <v>2.6094201105851936E-2</v>
      </c>
      <c r="AR55">
        <f t="shared" si="29"/>
        <v>2365.2149201159673</v>
      </c>
      <c r="AS55">
        <f t="shared" si="34"/>
        <v>0.14055122540168935</v>
      </c>
    </row>
    <row r="56" spans="2:45">
      <c r="B56">
        <v>0.22</v>
      </c>
      <c r="C56">
        <f t="shared" si="8"/>
        <v>0.49652231944757758</v>
      </c>
      <c r="D56">
        <f t="shared" si="9"/>
        <v>0.17599999999999999</v>
      </c>
      <c r="E56">
        <f t="shared" si="5"/>
        <v>95805.384000000005</v>
      </c>
      <c r="F56">
        <f t="shared" si="6"/>
        <v>1.0139221428680923E-2</v>
      </c>
      <c r="G56">
        <f t="shared" si="10"/>
        <v>2.5461649290984454E-3</v>
      </c>
      <c r="H56">
        <f t="shared" si="11"/>
        <v>3.9364131633331655E-2</v>
      </c>
      <c r="I56">
        <f t="shared" si="12"/>
        <v>23.294174159358185</v>
      </c>
      <c r="J56">
        <f t="shared" si="13"/>
        <v>7.798996328015984E-6</v>
      </c>
      <c r="K56">
        <f t="shared" si="14"/>
        <v>8.9940811345272354E-4</v>
      </c>
      <c r="L56">
        <f t="shared" si="15"/>
        <v>86.168139682053749</v>
      </c>
      <c r="M56">
        <f t="shared" si="17"/>
        <v>6.0136606709170097E-7</v>
      </c>
      <c r="N56">
        <f t="shared" si="7"/>
        <v>5.0197613323195297E-3</v>
      </c>
      <c r="O56">
        <f t="shared" si="16"/>
        <v>0.34791446615580851</v>
      </c>
      <c r="W56">
        <f t="shared" si="18"/>
        <v>1.5748563611017365</v>
      </c>
      <c r="X56">
        <f t="shared" si="20"/>
        <v>4.4429053023352614</v>
      </c>
      <c r="Y56">
        <v>1.6E-2</v>
      </c>
      <c r="Z56">
        <f t="shared" si="21"/>
        <v>0.12649110640673517</v>
      </c>
      <c r="AA56">
        <f t="shared" si="22"/>
        <v>11521.660986478122</v>
      </c>
      <c r="AB56">
        <f t="shared" si="23"/>
        <v>0.31021077420539533</v>
      </c>
      <c r="AC56">
        <f t="shared" si="19"/>
        <v>5.2468069316944199E-2</v>
      </c>
      <c r="AD56">
        <f t="shared" si="24"/>
        <v>37782.456705304117</v>
      </c>
      <c r="AE56">
        <f t="shared" si="25"/>
        <v>0.56175174231907221</v>
      </c>
      <c r="AH56">
        <v>16</v>
      </c>
      <c r="AI56">
        <f t="shared" si="30"/>
        <v>36.110714141642006</v>
      </c>
      <c r="AJ56">
        <f t="shared" si="27"/>
        <v>12.8</v>
      </c>
      <c r="AN56">
        <f t="shared" si="28"/>
        <v>3.4699289306772775E-2</v>
      </c>
      <c r="AO56">
        <f t="shared" si="31"/>
        <v>7.7783379598562604E-7</v>
      </c>
      <c r="AP56">
        <f t="shared" si="32"/>
        <v>2.8427671199907976E-3</v>
      </c>
      <c r="AQ56">
        <f t="shared" si="33"/>
        <v>2.2584464039087506E-2</v>
      </c>
      <c r="AR56">
        <f t="shared" si="29"/>
        <v>2047.0874387525462</v>
      </c>
      <c r="AS56">
        <f t="shared" si="34"/>
        <v>0.13075777686034165</v>
      </c>
    </row>
    <row r="57" spans="2:45">
      <c r="B57">
        <v>0.23</v>
      </c>
      <c r="C57">
        <f t="shared" si="8"/>
        <v>0.51909151578610391</v>
      </c>
      <c r="D57">
        <f t="shared" si="9"/>
        <v>0.18400000000000002</v>
      </c>
      <c r="E57">
        <f t="shared" si="5"/>
        <v>95620.956000000006</v>
      </c>
      <c r="F57">
        <f t="shared" si="6"/>
        <v>1.0145735884208503E-2</v>
      </c>
      <c r="G57">
        <f t="shared" si="10"/>
        <v>2.5453473668338674E-3</v>
      </c>
      <c r="H57">
        <f t="shared" si="11"/>
        <v>3.9440054823943471E-2</v>
      </c>
      <c r="I57">
        <f t="shared" si="12"/>
        <v>23.324116815615469</v>
      </c>
      <c r="J57">
        <f t="shared" si="13"/>
        <v>7.7968618416370084E-6</v>
      </c>
      <c r="K57">
        <f t="shared" si="14"/>
        <v>9.0005213916190643E-4</v>
      </c>
      <c r="L57">
        <f t="shared" si="15"/>
        <v>86.063845996506529</v>
      </c>
      <c r="M57">
        <f t="shared" si="17"/>
        <v>6.01002024922931E-7</v>
      </c>
      <c r="N57">
        <f t="shared" si="7"/>
        <v>5.0233639776461336E-3</v>
      </c>
      <c r="O57">
        <f t="shared" si="16"/>
        <v>0.34781924637908024</v>
      </c>
      <c r="W57">
        <f t="shared" si="18"/>
        <v>1.8769660974703386</v>
      </c>
      <c r="X57">
        <f t="shared" si="20"/>
        <v>5.2952020468206848</v>
      </c>
      <c r="Y57">
        <v>1.7000000000000001E-2</v>
      </c>
      <c r="Z57">
        <f t="shared" si="21"/>
        <v>0.13038404810405299</v>
      </c>
      <c r="AA57">
        <f t="shared" si="22"/>
        <v>12241.764798133006</v>
      </c>
      <c r="AB57">
        <f t="shared" si="23"/>
        <v>0.31975794706336885</v>
      </c>
      <c r="AC57">
        <f t="shared" si="19"/>
        <v>6.2533186987753522E-2</v>
      </c>
      <c r="AD57">
        <f t="shared" si="24"/>
        <v>45030.386304808817</v>
      </c>
      <c r="AE57">
        <f t="shared" si="25"/>
        <v>0.61327063178414021</v>
      </c>
      <c r="AH57">
        <v>17</v>
      </c>
      <c r="AI57">
        <f t="shared" si="30"/>
        <v>38.367633775494632</v>
      </c>
      <c r="AJ57">
        <f t="shared" si="27"/>
        <v>13.6</v>
      </c>
      <c r="AN57">
        <f t="shared" si="28"/>
        <v>3.0032145776440533E-2</v>
      </c>
      <c r="AO57">
        <f t="shared" si="31"/>
        <v>6.7321315270635552E-7</v>
      </c>
      <c r="AP57">
        <f t="shared" si="32"/>
        <v>2.4604076412415546E-3</v>
      </c>
      <c r="AQ57">
        <f t="shared" si="33"/>
        <v>1.954679562189951E-2</v>
      </c>
      <c r="AR57">
        <f t="shared" si="29"/>
        <v>1771.748920682842</v>
      </c>
      <c r="AS57">
        <f t="shared" si="34"/>
        <v>0.12164672460588388</v>
      </c>
    </row>
    <row r="58" spans="2:45">
      <c r="B58">
        <v>0.24</v>
      </c>
      <c r="C58">
        <f t="shared" si="8"/>
        <v>0.54166071212463007</v>
      </c>
      <c r="D58">
        <f t="shared" si="9"/>
        <v>0.192</v>
      </c>
      <c r="E58">
        <f t="shared" si="5"/>
        <v>95436.528000000006</v>
      </c>
      <c r="F58">
        <f t="shared" si="6"/>
        <v>1.0152267114237942E-2</v>
      </c>
      <c r="G58">
        <f t="shared" si="10"/>
        <v>2.5445284894570703E-3</v>
      </c>
      <c r="H58">
        <f t="shared" si="11"/>
        <v>3.9516271452770015E-2</v>
      </c>
      <c r="I58">
        <f t="shared" si="12"/>
        <v>23.354155879537981</v>
      </c>
      <c r="J58">
        <f t="shared" si="13"/>
        <v>7.7947258233530538E-6</v>
      </c>
      <c r="K58">
        <f t="shared" si="14"/>
        <v>9.0069809987958856E-4</v>
      </c>
      <c r="L58">
        <f t="shared" si="15"/>
        <v>85.959499428705158</v>
      </c>
      <c r="M58">
        <f t="shared" si="17"/>
        <v>6.006375773549111E-7</v>
      </c>
      <c r="N58">
        <f t="shared" si="7"/>
        <v>5.0269774673867718E-3</v>
      </c>
      <c r="O58">
        <f t="shared" si="16"/>
        <v>0.34772395826382735</v>
      </c>
      <c r="W58">
        <f t="shared" si="18"/>
        <v>2.2921553416863727</v>
      </c>
      <c r="X58">
        <f t="shared" si="20"/>
        <v>6.4665129931151846</v>
      </c>
      <c r="Y58">
        <v>1.7999999999999999E-2</v>
      </c>
      <c r="Z58">
        <f t="shared" si="21"/>
        <v>0.13416407864998739</v>
      </c>
      <c r="AA58">
        <f t="shared" si="22"/>
        <v>12961.868609787885</v>
      </c>
      <c r="AB58">
        <f t="shared" si="23"/>
        <v>0.32902821305664592</v>
      </c>
      <c r="AC58">
        <f t="shared" si="19"/>
        <v>7.6365672656438122E-2</v>
      </c>
      <c r="AD58">
        <f t="shared" si="24"/>
        <v>54991.211959490138</v>
      </c>
      <c r="AE58">
        <f t="shared" si="25"/>
        <v>0.67771325064287147</v>
      </c>
      <c r="AH58">
        <v>18</v>
      </c>
      <c r="AI58">
        <f t="shared" si="30"/>
        <v>40.624553409347257</v>
      </c>
      <c r="AJ58">
        <f t="shared" si="27"/>
        <v>14.4</v>
      </c>
      <c r="AN58">
        <f t="shared" si="28"/>
        <v>2.599274503761469E-2</v>
      </c>
      <c r="AO58">
        <f t="shared" si="31"/>
        <v>5.8266425464651016E-7</v>
      </c>
      <c r="AP58">
        <f t="shared" si="32"/>
        <v>2.1294764944022196E-3</v>
      </c>
      <c r="AQ58">
        <f t="shared" si="33"/>
        <v>1.6917701408501143E-2</v>
      </c>
      <c r="AR58">
        <f t="shared" si="29"/>
        <v>1533.4441404485153</v>
      </c>
      <c r="AS58">
        <f t="shared" si="34"/>
        <v>0.11317052004597053</v>
      </c>
    </row>
    <row r="59" spans="2:45">
      <c r="B59">
        <v>0.25</v>
      </c>
      <c r="C59">
        <f t="shared" si="8"/>
        <v>0.56422990846315635</v>
      </c>
      <c r="D59">
        <f t="shared" si="9"/>
        <v>0.2</v>
      </c>
      <c r="E59">
        <f t="shared" si="5"/>
        <v>95252.1</v>
      </c>
      <c r="F59">
        <f t="shared" si="6"/>
        <v>1.0158815194504619E-2</v>
      </c>
      <c r="G59">
        <f t="shared" si="10"/>
        <v>2.54370829230504E-3</v>
      </c>
      <c r="H59">
        <f t="shared" si="11"/>
        <v>3.9592783224284674E-2</v>
      </c>
      <c r="I59">
        <f t="shared" si="12"/>
        <v>23.384291848739768</v>
      </c>
      <c r="J59">
        <f t="shared" si="13"/>
        <v>7.7925882685528948E-6</v>
      </c>
      <c r="K59">
        <f t="shared" si="14"/>
        <v>9.0134600502001492E-4</v>
      </c>
      <c r="L59">
        <f t="shared" si="15"/>
        <v>85.855099804766965</v>
      </c>
      <c r="M59">
        <f t="shared" si="17"/>
        <v>6.0027272304137559E-7</v>
      </c>
      <c r="N59">
        <f t="shared" si="7"/>
        <v>5.0306018544034369E-3</v>
      </c>
      <c r="O59">
        <f t="shared" si="16"/>
        <v>0.34762860160434222</v>
      </c>
      <c r="W59">
        <f t="shared" si="18"/>
        <v>2.9477816004838147</v>
      </c>
      <c r="X59">
        <f t="shared" si="20"/>
        <v>8.3161327130517968</v>
      </c>
      <c r="Y59">
        <v>1.9E-2</v>
      </c>
      <c r="Z59">
        <f t="shared" si="21"/>
        <v>0.13784048752090222</v>
      </c>
      <c r="AA59">
        <f t="shared" si="22"/>
        <v>13681.97242144277</v>
      </c>
      <c r="AB59">
        <f t="shared" si="23"/>
        <v>0.33804435398970806</v>
      </c>
      <c r="AC59">
        <f t="shared" si="19"/>
        <v>9.8208581535142364E-2</v>
      </c>
      <c r="AD59">
        <f t="shared" si="24"/>
        <v>70720.373900675346</v>
      </c>
      <c r="AE59">
        <f t="shared" si="25"/>
        <v>0.76854907726649835</v>
      </c>
      <c r="AH59">
        <v>19</v>
      </c>
      <c r="AI59">
        <f t="shared" si="30"/>
        <v>42.881473043199883</v>
      </c>
      <c r="AJ59">
        <f t="shared" si="27"/>
        <v>15.200000000000001</v>
      </c>
      <c r="AN59">
        <f t="shared" si="28"/>
        <v>2.2496654072598855E-2</v>
      </c>
      <c r="AO59">
        <f t="shared" si="31"/>
        <v>5.0429441593345799E-7</v>
      </c>
      <c r="AP59">
        <f t="shared" si="32"/>
        <v>1.8430564367469086E-3</v>
      </c>
      <c r="AQ59">
        <f t="shared" si="33"/>
        <v>1.4642227119136673E-2</v>
      </c>
      <c r="AR59">
        <f t="shared" si="29"/>
        <v>1327.1919651965147</v>
      </c>
      <c r="AS59">
        <f t="shared" si="34"/>
        <v>0.10528492771975448</v>
      </c>
    </row>
    <row r="60" spans="2:45">
      <c r="B60">
        <v>0.26</v>
      </c>
      <c r="C60">
        <f t="shared" si="8"/>
        <v>0.58679910480168262</v>
      </c>
      <c r="D60">
        <f t="shared" si="9"/>
        <v>0.20800000000000002</v>
      </c>
      <c r="E60">
        <f t="shared" si="5"/>
        <v>95067.672000000006</v>
      </c>
      <c r="F60">
        <f t="shared" si="6"/>
        <v>1.0165380201233342E-2</v>
      </c>
      <c r="G60">
        <f t="shared" si="10"/>
        <v>2.5428867706891608E-3</v>
      </c>
      <c r="H60">
        <f t="shared" si="11"/>
        <v>3.9669591856187306E-2</v>
      </c>
      <c r="I60">
        <f t="shared" si="12"/>
        <v>23.414525224373378</v>
      </c>
      <c r="J60">
        <f t="shared" si="13"/>
        <v>7.7904491726028275E-6</v>
      </c>
      <c r="K60">
        <f t="shared" si="14"/>
        <v>9.0199586406141926E-4</v>
      </c>
      <c r="L60">
        <f t="shared" si="15"/>
        <v>85.750646949947594</v>
      </c>
      <c r="M60">
        <f t="shared" si="17"/>
        <v>5.9990746062894433E-7</v>
      </c>
      <c r="N60">
        <f t="shared" si="7"/>
        <v>5.034237191918335E-3</v>
      </c>
      <c r="O60">
        <f t="shared" si="16"/>
        <v>0.34753317619391472</v>
      </c>
      <c r="W60">
        <f t="shared" si="18"/>
        <v>4.5387276384590711</v>
      </c>
      <c r="X60">
        <f t="shared" si="20"/>
        <v>12.804429399934797</v>
      </c>
      <c r="Y60">
        <v>0.02</v>
      </c>
      <c r="Z60">
        <f t="shared" si="21"/>
        <v>0.1414213562373095</v>
      </c>
      <c r="AA60">
        <f t="shared" si="22"/>
        <v>14402.076233097654</v>
      </c>
      <c r="AB60">
        <f t="shared" si="23"/>
        <v>0.3468261892380512</v>
      </c>
      <c r="AC60">
        <f t="shared" si="19"/>
        <v>0.15121269610823709</v>
      </c>
      <c r="AD60">
        <f t="shared" si="24"/>
        <v>108888.83883815298</v>
      </c>
      <c r="AE60">
        <f t="shared" si="25"/>
        <v>0.95365439527310825</v>
      </c>
      <c r="AH60">
        <v>20</v>
      </c>
      <c r="AI60">
        <f t="shared" si="30"/>
        <v>45.138392677052508</v>
      </c>
      <c r="AJ60">
        <f t="shared" si="27"/>
        <v>16</v>
      </c>
      <c r="AN60">
        <f t="shared" si="28"/>
        <v>1.9470796321427012E-2</v>
      </c>
      <c r="AO60">
        <f t="shared" si="31"/>
        <v>4.3646552180544098E-7</v>
      </c>
      <c r="AP60">
        <f t="shared" si="32"/>
        <v>1.5951606124620756E-3</v>
      </c>
      <c r="AQ60">
        <f t="shared" si="33"/>
        <v>1.2672809965817801E-2</v>
      </c>
      <c r="AR60">
        <f t="shared" si="29"/>
        <v>1148.6812372356776</v>
      </c>
      <c r="AS60">
        <f t="shared" si="34"/>
        <v>9.7948794442680037E-2</v>
      </c>
    </row>
    <row r="61" spans="2:45">
      <c r="B61">
        <v>0.27</v>
      </c>
      <c r="C61">
        <f t="shared" si="8"/>
        <v>0.6093683011402089</v>
      </c>
      <c r="D61">
        <f t="shared" si="9"/>
        <v>0.21600000000000003</v>
      </c>
      <c r="E61">
        <f t="shared" si="5"/>
        <v>94883.244000000006</v>
      </c>
      <c r="F61">
        <f t="shared" si="6"/>
        <v>1.017196221114248E-2</v>
      </c>
      <c r="G61">
        <f t="shared" si="10"/>
        <v>2.5420639198950237E-3</v>
      </c>
      <c r="H61">
        <f t="shared" si="11"/>
        <v>3.9746699079532807E-2</v>
      </c>
      <c r="I61">
        <f t="shared" si="12"/>
        <v>23.444856511161927</v>
      </c>
      <c r="J61">
        <f t="shared" si="13"/>
        <v>7.7883085308465153E-6</v>
      </c>
      <c r="K61">
        <f t="shared" si="14"/>
        <v>9.0264768654664236E-4</v>
      </c>
      <c r="L61">
        <f t="shared" si="15"/>
        <v>85.646140688640585</v>
      </c>
      <c r="M61">
        <f t="shared" si="17"/>
        <v>5.9954178875708991E-7</v>
      </c>
      <c r="N61">
        <f t="shared" si="7"/>
        <v>5.0378835335170274E-3</v>
      </c>
      <c r="O61">
        <f t="shared" si="16"/>
        <v>0.34743768182482482</v>
      </c>
      <c r="W61" t="e">
        <f t="shared" si="18"/>
        <v>#NUM!</v>
      </c>
      <c r="X61" t="e">
        <f t="shared" si="20"/>
        <v>#NUM!</v>
      </c>
      <c r="Y61">
        <v>2.1000000000000001E-2</v>
      </c>
      <c r="Z61">
        <f t="shared" si="21"/>
        <v>0.14491376746189438</v>
      </c>
      <c r="AA61">
        <f t="shared" si="22"/>
        <v>15122.180044752537</v>
      </c>
      <c r="AB61">
        <f t="shared" si="23"/>
        <v>0.35539108854676971</v>
      </c>
      <c r="AC61" t="e">
        <f t="shared" si="19"/>
        <v>#NUM!</v>
      </c>
      <c r="AD61" t="e">
        <f t="shared" si="24"/>
        <v>#NUM!</v>
      </c>
      <c r="AE61" t="e">
        <f t="shared" si="25"/>
        <v>#NUM!</v>
      </c>
      <c r="AH61">
        <v>21</v>
      </c>
      <c r="AI61">
        <f t="shared" si="30"/>
        <v>47.395312310905133</v>
      </c>
      <c r="AJ61">
        <f t="shared" si="27"/>
        <v>16.8</v>
      </c>
      <c r="AN61">
        <f t="shared" si="28"/>
        <v>1.6851924209131959E-2</v>
      </c>
      <c r="AO61">
        <f t="shared" si="31"/>
        <v>3.7775978814334676E-7</v>
      </c>
      <c r="AP61">
        <f t="shared" si="32"/>
        <v>1.3806074132171528E-3</v>
      </c>
      <c r="AQ61">
        <f t="shared" si="33"/>
        <v>1.0968284477696277E-2</v>
      </c>
      <c r="AR61">
        <f t="shared" si="29"/>
        <v>994.18066065665926</v>
      </c>
      <c r="AS61">
        <f t="shared" si="34"/>
        <v>9.1123834536994797E-2</v>
      </c>
    </row>
    <row r="62" spans="2:45">
      <c r="B62">
        <v>0.28000000000000003</v>
      </c>
      <c r="C62">
        <f t="shared" si="8"/>
        <v>0.63193749747873518</v>
      </c>
      <c r="D62">
        <f t="shared" si="9"/>
        <v>0.22400000000000003</v>
      </c>
      <c r="E62">
        <f t="shared" si="5"/>
        <v>94698.816000000006</v>
      </c>
      <c r="F62">
        <f t="shared" si="6"/>
        <v>1.0178561301448103E-2</v>
      </c>
      <c r="G62">
        <f t="shared" si="10"/>
        <v>2.5412397351822361E-3</v>
      </c>
      <c r="H62">
        <f t="shared" si="11"/>
        <v>3.9824106638861108E-2</v>
      </c>
      <c r="I62">
        <f t="shared" si="12"/>
        <v>23.475286217431535</v>
      </c>
      <c r="J62">
        <f t="shared" si="13"/>
        <v>7.7861663386048397E-6</v>
      </c>
      <c r="K62">
        <f t="shared" si="14"/>
        <v>9.0330148208367074E-4</v>
      </c>
      <c r="L62">
        <f t="shared" si="15"/>
        <v>85.541580844368838</v>
      </c>
      <c r="M62">
        <f t="shared" si="17"/>
        <v>5.9917570605807659E-7</v>
      </c>
      <c r="N62">
        <f t="shared" si="7"/>
        <v>5.0415409331516312E-3</v>
      </c>
      <c r="O62">
        <f t="shared" si="16"/>
        <v>0.34734211828833639</v>
      </c>
      <c r="W62" t="e">
        <f t="shared" si="18"/>
        <v>#NUM!</v>
      </c>
      <c r="X62" t="e">
        <f t="shared" si="20"/>
        <v>#NUM!</v>
      </c>
      <c r="Y62">
        <v>2.1999999999999999E-2</v>
      </c>
      <c r="Z62">
        <f t="shared" si="21"/>
        <v>0.14832396974191325</v>
      </c>
      <c r="AA62">
        <f t="shared" si="22"/>
        <v>15842.283856407417</v>
      </c>
      <c r="AB62">
        <f t="shared" si="23"/>
        <v>0.36375437605000344</v>
      </c>
      <c r="AC62" t="e">
        <f t="shared" si="19"/>
        <v>#NUM!</v>
      </c>
      <c r="AD62" t="e">
        <f t="shared" si="24"/>
        <v>#NUM!</v>
      </c>
      <c r="AE62" t="e">
        <f t="shared" si="25"/>
        <v>#NUM!</v>
      </c>
      <c r="AH62">
        <v>22</v>
      </c>
      <c r="AI62">
        <f t="shared" si="30"/>
        <v>49.652231944757759</v>
      </c>
      <c r="AJ62">
        <f t="shared" si="27"/>
        <v>17.600000000000001</v>
      </c>
      <c r="AN62">
        <f t="shared" si="28"/>
        <v>1.458529712201902E-2</v>
      </c>
      <c r="AO62">
        <f t="shared" si="31"/>
        <v>3.2695012643339418E-7</v>
      </c>
      <c r="AP62">
        <f t="shared" si="32"/>
        <v>1.1949121703100413E-3</v>
      </c>
      <c r="AQ62">
        <f t="shared" si="33"/>
        <v>9.4930220454788761E-3</v>
      </c>
      <c r="AR62">
        <f t="shared" si="29"/>
        <v>860.46080843306891</v>
      </c>
      <c r="AS62">
        <f t="shared" si="34"/>
        <v>8.4774430027159384E-2</v>
      </c>
    </row>
    <row r="63" spans="2:45">
      <c r="B63">
        <v>0.28999999999999998</v>
      </c>
      <c r="C63">
        <f t="shared" si="8"/>
        <v>0.65450669381726134</v>
      </c>
      <c r="D63">
        <f t="shared" si="9"/>
        <v>0.23199999999999998</v>
      </c>
      <c r="E63">
        <f t="shared" si="5"/>
        <v>94514.388000000006</v>
      </c>
      <c r="F63">
        <f t="shared" si="6"/>
        <v>1.0185177549868203E-2</v>
      </c>
      <c r="G63">
        <f t="shared" si="10"/>
        <v>2.5404142117842273E-3</v>
      </c>
      <c r="H63">
        <f t="shared" si="11"/>
        <v>3.9901816292328807E-2</v>
      </c>
      <c r="I63">
        <f t="shared" si="12"/>
        <v>23.505814855144163</v>
      </c>
      <c r="J63">
        <f t="shared" si="13"/>
        <v>7.7840225911757397E-6</v>
      </c>
      <c r="K63">
        <f t="shared" si="14"/>
        <v>9.0395726034621056E-4</v>
      </c>
      <c r="L63">
        <f t="shared" si="15"/>
        <v>85.436967239778767</v>
      </c>
      <c r="M63">
        <f t="shared" si="17"/>
        <v>5.9880921115690909E-7</v>
      </c>
      <c r="N63">
        <f t="shared" si="7"/>
        <v>5.0452094451440502E-3</v>
      </c>
      <c r="O63">
        <f t="shared" si="16"/>
        <v>0.34724648537468966</v>
      </c>
      <c r="W63" t="e">
        <f t="shared" si="18"/>
        <v>#NUM!</v>
      </c>
      <c r="X63" t="e">
        <f t="shared" si="20"/>
        <v>#NUM!</v>
      </c>
      <c r="Y63">
        <v>2.3E-2</v>
      </c>
      <c r="Z63">
        <f t="shared" si="21"/>
        <v>0.15165750888103102</v>
      </c>
      <c r="AA63">
        <f t="shared" si="22"/>
        <v>16562.387668062303</v>
      </c>
      <c r="AB63">
        <f t="shared" si="23"/>
        <v>0.37192965245136989</v>
      </c>
      <c r="AC63" t="e">
        <f t="shared" si="19"/>
        <v>#NUM!</v>
      </c>
      <c r="AD63" t="e">
        <f t="shared" si="24"/>
        <v>#NUM!</v>
      </c>
      <c r="AE63" t="e">
        <f t="shared" si="25"/>
        <v>#NUM!</v>
      </c>
      <c r="AH63">
        <v>23</v>
      </c>
      <c r="AI63">
        <f t="shared" si="30"/>
        <v>51.909151578610384</v>
      </c>
      <c r="AJ63">
        <f t="shared" si="27"/>
        <v>18.399999999999999</v>
      </c>
      <c r="AN63">
        <f t="shared" si="28"/>
        <v>1.2623537199526365E-2</v>
      </c>
      <c r="AO63">
        <f t="shared" si="31"/>
        <v>2.8297449471845032E-7</v>
      </c>
      <c r="AP63">
        <f t="shared" si="32"/>
        <v>1.0341934144971045E-3</v>
      </c>
      <c r="AQ63">
        <f t="shared" si="33"/>
        <v>8.2161861993277109E-3</v>
      </c>
      <c r="AR63">
        <f t="shared" si="29"/>
        <v>744.7266197677427</v>
      </c>
      <c r="AS63">
        <f t="shared" si="34"/>
        <v>7.8867444757409547E-2</v>
      </c>
    </row>
    <row r="64" spans="2:45">
      <c r="B64">
        <v>0.3</v>
      </c>
      <c r="C64">
        <f t="shared" si="8"/>
        <v>0.67707589015578762</v>
      </c>
      <c r="D64">
        <f t="shared" si="9"/>
        <v>0.24</v>
      </c>
      <c r="E64">
        <f t="shared" si="5"/>
        <v>94329.96</v>
      </c>
      <c r="F64">
        <f t="shared" si="6"/>
        <v>1.0191811034626944E-2</v>
      </c>
      <c r="G64">
        <f t="shared" si="10"/>
        <v>2.5395873449080512E-3</v>
      </c>
      <c r="H64">
        <f t="shared" si="11"/>
        <v>3.9979829811842248E-2</v>
      </c>
      <c r="I64">
        <f t="shared" si="12"/>
        <v>23.536442939930733</v>
      </c>
      <c r="J64">
        <f t="shared" si="13"/>
        <v>7.7818772838340537E-6</v>
      </c>
      <c r="K64">
        <f t="shared" si="14"/>
        <v>9.0461503107428908E-4</v>
      </c>
      <c r="L64">
        <f t="shared" si="15"/>
        <v>85.332299696636454</v>
      </c>
      <c r="M64">
        <f t="shared" si="17"/>
        <v>5.9844230267128705E-7</v>
      </c>
      <c r="N64">
        <f t="shared" si="7"/>
        <v>5.0488891241892197E-3</v>
      </c>
      <c r="O64">
        <f t="shared" si="16"/>
        <v>0.34715078287309448</v>
      </c>
      <c r="W64" t="e">
        <f t="shared" si="18"/>
        <v>#NUM!</v>
      </c>
      <c r="X64" t="e">
        <f t="shared" si="20"/>
        <v>#NUM!</v>
      </c>
      <c r="Y64">
        <v>2.4E-2</v>
      </c>
      <c r="Z64">
        <f t="shared" si="21"/>
        <v>0.15491933384829668</v>
      </c>
      <c r="AA64">
        <f t="shared" si="22"/>
        <v>17282.491479717184</v>
      </c>
      <c r="AB64">
        <f t="shared" si="23"/>
        <v>0.37992905475847222</v>
      </c>
      <c r="AC64" t="e">
        <f t="shared" si="19"/>
        <v>#NUM!</v>
      </c>
      <c r="AD64" t="e">
        <f t="shared" si="24"/>
        <v>#NUM!</v>
      </c>
      <c r="AE64" t="e">
        <f t="shared" si="25"/>
        <v>#NUM!</v>
      </c>
      <c r="AH64">
        <v>24</v>
      </c>
      <c r="AI64">
        <f t="shared" si="30"/>
        <v>54.166071212463009</v>
      </c>
      <c r="AJ64">
        <f t="shared" si="27"/>
        <v>19.2</v>
      </c>
      <c r="AN64">
        <f t="shared" si="28"/>
        <v>1.0925639025018839E-2</v>
      </c>
      <c r="AO64">
        <f t="shared" si="31"/>
        <v>2.4491369841227133E-7</v>
      </c>
      <c r="AP64">
        <f t="shared" si="32"/>
        <v>8.9509174411677448E-4</v>
      </c>
      <c r="AQ64">
        <f t="shared" si="33"/>
        <v>7.1110880537955737E-3</v>
      </c>
      <c r="AR64">
        <f t="shared" si="29"/>
        <v>644.55897671930609</v>
      </c>
      <c r="AS64">
        <f t="shared" si="34"/>
        <v>7.3372051461393417E-2</v>
      </c>
    </row>
    <row r="65" spans="2:45">
      <c r="B65">
        <v>0.31</v>
      </c>
      <c r="C65">
        <f t="shared" si="8"/>
        <v>0.69964508649431389</v>
      </c>
      <c r="D65">
        <f t="shared" si="9"/>
        <v>0.248</v>
      </c>
      <c r="E65">
        <f t="shared" si="5"/>
        <v>94145.532000000007</v>
      </c>
      <c r="F65">
        <f t="shared" si="6"/>
        <v>1.0198461834458947E-2</v>
      </c>
      <c r="G65">
        <f t="shared" si="10"/>
        <v>2.5387591297341889E-3</v>
      </c>
      <c r="H65">
        <f t="shared" si="11"/>
        <v>4.0058148983192175E-2</v>
      </c>
      <c r="I65">
        <f t="shared" si="12"/>
        <v>23.567170991124677</v>
      </c>
      <c r="J65">
        <f t="shared" si="13"/>
        <v>7.7797304118313642E-6</v>
      </c>
      <c r="K65">
        <f t="shared" si="14"/>
        <v>9.0527480407479228E-4</v>
      </c>
      <c r="L65">
        <f t="shared" si="15"/>
        <v>85.227578035817089</v>
      </c>
      <c r="M65">
        <f t="shared" si="17"/>
        <v>5.980749792115358E-7</v>
      </c>
      <c r="N65">
        <f t="shared" si="7"/>
        <v>5.0525800253584125E-3</v>
      </c>
      <c r="O65">
        <f t="shared" si="16"/>
        <v>0.34705501057172317</v>
      </c>
      <c r="W65" t="e">
        <f t="shared" si="18"/>
        <v>#NUM!</v>
      </c>
      <c r="X65" t="e">
        <f t="shared" si="20"/>
        <v>#NUM!</v>
      </c>
      <c r="Y65">
        <v>2.5000000000000001E-2</v>
      </c>
      <c r="Z65">
        <f t="shared" si="21"/>
        <v>0.15811388300841897</v>
      </c>
      <c r="AA65">
        <f t="shared" si="22"/>
        <v>18002.595291372068</v>
      </c>
      <c r="AB65">
        <f t="shared" si="23"/>
        <v>0.38776346775674425</v>
      </c>
      <c r="AC65" t="e">
        <f t="shared" si="19"/>
        <v>#NUM!</v>
      </c>
      <c r="AD65" t="e">
        <f t="shared" si="24"/>
        <v>#NUM!</v>
      </c>
      <c r="AE65" t="e">
        <f t="shared" si="25"/>
        <v>#NUM!</v>
      </c>
      <c r="AH65">
        <v>25</v>
      </c>
      <c r="AI65">
        <f t="shared" si="30"/>
        <v>56.422990846315635</v>
      </c>
      <c r="AJ65">
        <f t="shared" si="27"/>
        <v>20</v>
      </c>
      <c r="AN65">
        <f t="shared" si="28"/>
        <v>9.4561125157133757E-3</v>
      </c>
      <c r="AO65">
        <f t="shared" si="31"/>
        <v>2.1197217696124064E-7</v>
      </c>
      <c r="AP65">
        <f t="shared" si="32"/>
        <v>7.7469960565896851E-4</v>
      </c>
      <c r="AQ65">
        <f t="shared" si="33"/>
        <v>6.1546284470733867E-3</v>
      </c>
      <c r="AR65">
        <f t="shared" si="29"/>
        <v>557.86413892255769</v>
      </c>
      <c r="AS65">
        <f t="shared" si="34"/>
        <v>6.8259570881400847E-2</v>
      </c>
    </row>
    <row r="66" spans="2:45">
      <c r="B66">
        <v>0.32</v>
      </c>
      <c r="C66">
        <f t="shared" si="8"/>
        <v>0.72221428283284017</v>
      </c>
      <c r="D66">
        <f t="shared" si="9"/>
        <v>0.25600000000000001</v>
      </c>
      <c r="E66">
        <f t="shared" ref="E66:E97" si="35">$C$13+$C$18*$C$19*($C$3-D66)+4*$C$22/$C$11</f>
        <v>93961.104000000007</v>
      </c>
      <c r="F66">
        <f t="shared" ref="F66:F97" si="36">$C$11*($G$27/E66)^(1/3)</f>
        <v>1.0205130028613641E-2</v>
      </c>
      <c r="G66">
        <f t="shared" si="10"/>
        <v>2.5379295614163496E-3</v>
      </c>
      <c r="H66">
        <f t="shared" si="11"/>
        <v>4.0136775606190049E-2</v>
      </c>
      <c r="I66">
        <f t="shared" si="12"/>
        <v>23.597999531795832</v>
      </c>
      <c r="J66">
        <f t="shared" si="13"/>
        <v>7.7775819703958383E-6</v>
      </c>
      <c r="K66">
        <f t="shared" si="14"/>
        <v>9.0593658922210165E-4</v>
      </c>
      <c r="L66">
        <f t="shared" si="15"/>
        <v>85.122802077303177</v>
      </c>
      <c r="M66">
        <f t="shared" si="17"/>
        <v>5.977072393805681E-7</v>
      </c>
      <c r="N66">
        <f t="shared" ref="N66:N97" si="37">1/2*$G$24*G66*I66*(J66-M66)</f>
        <v>5.0562822041025721E-3</v>
      </c>
      <c r="O66">
        <f t="shared" si="16"/>
        <v>0.34695916825770345</v>
      </c>
      <c r="W66" t="e">
        <f t="shared" si="18"/>
        <v>#NUM!</v>
      </c>
      <c r="X66" t="e">
        <f t="shared" si="20"/>
        <v>#NUM!</v>
      </c>
      <c r="Y66">
        <v>2.5999999999999999E-2</v>
      </c>
      <c r="Z66">
        <f t="shared" si="21"/>
        <v>0.161245154965971</v>
      </c>
      <c r="AA66">
        <f t="shared" si="22"/>
        <v>18722.699103026949</v>
      </c>
      <c r="AB66">
        <f t="shared" si="23"/>
        <v>0.39544269775000901</v>
      </c>
      <c r="AC66" t="e">
        <f t="shared" si="19"/>
        <v>#NUM!</v>
      </c>
      <c r="AD66" t="e">
        <f t="shared" si="24"/>
        <v>#NUM!</v>
      </c>
      <c r="AE66" t="e">
        <f t="shared" si="25"/>
        <v>#NUM!</v>
      </c>
      <c r="AH66">
        <v>26</v>
      </c>
      <c r="AI66">
        <f t="shared" si="30"/>
        <v>58.67991048016826</v>
      </c>
      <c r="AJ66">
        <f t="shared" si="27"/>
        <v>20.8</v>
      </c>
      <c r="AN66">
        <f t="shared" si="28"/>
        <v>8.1842410961108E-3</v>
      </c>
      <c r="AO66">
        <f t="shared" si="31"/>
        <v>1.8346137474945005E-7</v>
      </c>
      <c r="AP66">
        <f t="shared" si="32"/>
        <v>6.7050051902821091E-4</v>
      </c>
      <c r="AQ66">
        <f t="shared" si="33"/>
        <v>5.3268151139412214E-3</v>
      </c>
      <c r="AR66">
        <f t="shared" si="29"/>
        <v>482.82997946879181</v>
      </c>
      <c r="AS66">
        <f t="shared" si="34"/>
        <v>6.3503322097578835E-2</v>
      </c>
    </row>
    <row r="67" spans="2:45">
      <c r="B67">
        <v>0.33</v>
      </c>
      <c r="C67">
        <f t="shared" si="8"/>
        <v>0.74478347917136645</v>
      </c>
      <c r="D67">
        <f t="shared" si="9"/>
        <v>0.26400000000000001</v>
      </c>
      <c r="E67">
        <f t="shared" si="35"/>
        <v>93776.676000000007</v>
      </c>
      <c r="F67">
        <f t="shared" si="36"/>
        <v>1.0211815696859632E-2</v>
      </c>
      <c r="G67">
        <f t="shared" si="10"/>
        <v>2.5370986350812695E-3</v>
      </c>
      <c r="H67">
        <f t="shared" si="11"/>
        <v>4.0215711494805878E-2</v>
      </c>
      <c r="I67">
        <f t="shared" si="12"/>
        <v>23.628929088784751</v>
      </c>
      <c r="J67">
        <f t="shared" ref="J67:J98" si="38">J66-N66*(B67-B66)/$G$24</f>
        <v>7.7754319547320616E-6</v>
      </c>
      <c r="K67">
        <f t="shared" ref="K67:K98" si="39">N66*(C67-C66)/$G$21</f>
        <v>9.0660039645867017E-4</v>
      </c>
      <c r="L67">
        <f t="shared" ref="L67:L98" si="40">K67*E67</f>
        <v>85.01797164017627</v>
      </c>
      <c r="M67">
        <f t="shared" si="17"/>
        <v>5.9733908177382291E-7</v>
      </c>
      <c r="N67">
        <f t="shared" si="37"/>
        <v>5.0599957162556749E-3</v>
      </c>
      <c r="O67">
        <f t="shared" si="16"/>
        <v>0.34686325571711124</v>
      </c>
      <c r="W67" t="e">
        <f t="shared" si="18"/>
        <v>#NUM!</v>
      </c>
      <c r="X67" t="e">
        <f t="shared" si="20"/>
        <v>#NUM!</v>
      </c>
      <c r="Y67">
        <v>2.7E-2</v>
      </c>
      <c r="Z67">
        <f t="shared" si="21"/>
        <v>0.16431676725154984</v>
      </c>
      <c r="AA67">
        <f t="shared" si="22"/>
        <v>19442.802914681833</v>
      </c>
      <c r="AB67">
        <f t="shared" si="23"/>
        <v>0.40297561648426627</v>
      </c>
      <c r="AC67" t="e">
        <f t="shared" si="19"/>
        <v>#NUM!</v>
      </c>
      <c r="AD67" t="e">
        <f t="shared" si="24"/>
        <v>#NUM!</v>
      </c>
      <c r="AE67" t="e">
        <f t="shared" si="25"/>
        <v>#NUM!</v>
      </c>
      <c r="AH67">
        <v>27</v>
      </c>
      <c r="AI67">
        <f t="shared" si="30"/>
        <v>60.936830114020886</v>
      </c>
      <c r="AJ67">
        <f t="shared" si="27"/>
        <v>21.6</v>
      </c>
      <c r="AN67">
        <f t="shared" si="28"/>
        <v>7.0834396490063074E-3</v>
      </c>
      <c r="AO67">
        <f t="shared" si="31"/>
        <v>1.5878534865975626E-7</v>
      </c>
      <c r="AP67">
        <f t="shared" si="32"/>
        <v>5.8031647716496335E-4</v>
      </c>
      <c r="AQ67">
        <f t="shared" si="33"/>
        <v>4.6103448001975226E-3</v>
      </c>
      <c r="AR67">
        <f t="shared" si="29"/>
        <v>417.88810717262368</v>
      </c>
      <c r="AS67">
        <f t="shared" si="34"/>
        <v>5.9078483286036119E-2</v>
      </c>
    </row>
    <row r="68" spans="2:45">
      <c r="B68">
        <v>0.34</v>
      </c>
      <c r="C68">
        <f t="shared" si="8"/>
        <v>0.76735267550989272</v>
      </c>
      <c r="D68">
        <f t="shared" si="9"/>
        <v>0.27200000000000002</v>
      </c>
      <c r="E68">
        <f t="shared" si="35"/>
        <v>93592.248000000007</v>
      </c>
      <c r="F68">
        <f t="shared" si="36"/>
        <v>1.0218518919489151E-2</v>
      </c>
      <c r="G68">
        <f t="shared" si="10"/>
        <v>2.5362663458285062E-3</v>
      </c>
      <c r="H68">
        <f t="shared" si="11"/>
        <v>4.029495847730772E-2</v>
      </c>
      <c r="I68">
        <f t="shared" si="12"/>
        <v>23.659960192737305</v>
      </c>
      <c r="J68">
        <f t="shared" si="38"/>
        <v>7.773280360020879E-6</v>
      </c>
      <c r="K68">
        <f t="shared" si="39"/>
        <v>9.0726623579562911E-4</v>
      </c>
      <c r="L68">
        <f t="shared" si="40"/>
        <v>84.913086542610998</v>
      </c>
      <c r="M68">
        <f t="shared" si="17"/>
        <v>5.9697050497921096E-7</v>
      </c>
      <c r="N68">
        <f t="shared" si="37"/>
        <v>5.0637206180381309E-3</v>
      </c>
      <c r="O68">
        <f t="shared" si="16"/>
        <v>0.34676727273496316</v>
      </c>
      <c r="W68" t="e">
        <f t="shared" si="18"/>
        <v>#NUM!</v>
      </c>
      <c r="X68" t="e">
        <f t="shared" si="20"/>
        <v>#NUM!</v>
      </c>
      <c r="Y68">
        <v>2.8000000000000001E-2</v>
      </c>
      <c r="Z68">
        <f t="shared" si="21"/>
        <v>0.16733200530681511</v>
      </c>
      <c r="AA68">
        <f t="shared" si="22"/>
        <v>20162.906726336714</v>
      </c>
      <c r="AB68">
        <f t="shared" si="23"/>
        <v>0.41037028128014319</v>
      </c>
      <c r="AC68" t="e">
        <f t="shared" si="19"/>
        <v>#NUM!</v>
      </c>
      <c r="AD68" t="e">
        <f t="shared" si="24"/>
        <v>#NUM!</v>
      </c>
      <c r="AE68" t="e">
        <f t="shared" si="25"/>
        <v>#NUM!</v>
      </c>
      <c r="AH68">
        <v>28</v>
      </c>
      <c r="AI68">
        <f t="shared" si="30"/>
        <v>63.193749747873511</v>
      </c>
      <c r="AJ68">
        <f t="shared" si="27"/>
        <v>22.400000000000002</v>
      </c>
      <c r="AN68">
        <f t="shared" si="28"/>
        <v>6.1306988237379931E-3</v>
      </c>
      <c r="AO68">
        <f t="shared" si="31"/>
        <v>1.3742831145483909E-7</v>
      </c>
      <c r="AP68">
        <f t="shared" si="32"/>
        <v>5.0226242055300026E-4</v>
      </c>
      <c r="AQ68">
        <f t="shared" si="33"/>
        <v>3.9902415837710266E-3</v>
      </c>
      <c r="AR68">
        <f t="shared" si="29"/>
        <v>361.68108349122309</v>
      </c>
      <c r="AS68">
        <f t="shared" si="34"/>
        <v>5.4961962179164735E-2</v>
      </c>
    </row>
    <row r="69" spans="2:45">
      <c r="B69">
        <v>0.35</v>
      </c>
      <c r="C69">
        <f t="shared" si="8"/>
        <v>0.78992187184841889</v>
      </c>
      <c r="D69">
        <f t="shared" si="9"/>
        <v>0.28000000000000003</v>
      </c>
      <c r="E69">
        <f t="shared" si="35"/>
        <v>93407.82</v>
      </c>
      <c r="F69">
        <f t="shared" si="36"/>
        <v>1.0225239777322512E-2</v>
      </c>
      <c r="G69">
        <f t="shared" si="10"/>
        <v>2.5354326887302363E-3</v>
      </c>
      <c r="H69">
        <f t="shared" si="11"/>
        <v>4.0374518396402853E-2</v>
      </c>
      <c r="I69">
        <f t="shared" si="12"/>
        <v>23.691093378139804</v>
      </c>
      <c r="J69">
        <f t="shared" si="38"/>
        <v>7.771127181419229E-6</v>
      </c>
      <c r="K69">
        <f t="shared" si="39"/>
        <v>9.0793411731339359E-4</v>
      </c>
      <c r="L69">
        <f t="shared" si="40"/>
        <v>84.808146601868359</v>
      </c>
      <c r="M69">
        <f t="shared" si="17"/>
        <v>5.9660150757705813E-7</v>
      </c>
      <c r="N69">
        <f t="shared" si="37"/>
        <v>5.0674569660602367E-3</v>
      </c>
      <c r="O69">
        <f t="shared" si="16"/>
        <v>0.34667121909520954</v>
      </c>
      <c r="W69" t="e">
        <f t="shared" si="18"/>
        <v>#NUM!</v>
      </c>
      <c r="X69" t="e">
        <f t="shared" si="20"/>
        <v>#NUM!</v>
      </c>
      <c r="Y69">
        <v>2.9000000000000001E-2</v>
      </c>
      <c r="Z69">
        <f t="shared" si="21"/>
        <v>0.17029386365926402</v>
      </c>
      <c r="AA69">
        <f t="shared" si="22"/>
        <v>20883.010537991599</v>
      </c>
      <c r="AB69">
        <f t="shared" si="23"/>
        <v>0.41763403601121074</v>
      </c>
      <c r="AC69" t="e">
        <f t="shared" si="19"/>
        <v>#NUM!</v>
      </c>
      <c r="AD69" t="e">
        <f t="shared" si="24"/>
        <v>#NUM!</v>
      </c>
      <c r="AE69" t="e">
        <f t="shared" si="25"/>
        <v>#NUM!</v>
      </c>
      <c r="AH69">
        <v>29</v>
      </c>
      <c r="AI69">
        <f t="shared" si="30"/>
        <v>65.450669381726129</v>
      </c>
      <c r="AJ69">
        <f t="shared" si="27"/>
        <v>23.2</v>
      </c>
      <c r="AN69">
        <f t="shared" si="28"/>
        <v>5.3061040864031406E-3</v>
      </c>
      <c r="AO69">
        <f t="shared" si="31"/>
        <v>1.1894385060549979E-7</v>
      </c>
      <c r="AP69">
        <f t="shared" si="32"/>
        <v>4.3470683502245302E-4</v>
      </c>
      <c r="AQ69">
        <f t="shared" si="33"/>
        <v>3.4535438425719223E-3</v>
      </c>
      <c r="AR69">
        <f t="shared" si="29"/>
        <v>313.03404885209864</v>
      </c>
      <c r="AS69">
        <f t="shared" si="34"/>
        <v>5.1132275552137459E-2</v>
      </c>
    </row>
    <row r="70" spans="2:45">
      <c r="B70">
        <v>0.36</v>
      </c>
      <c r="C70">
        <f t="shared" si="8"/>
        <v>0.81249106818694516</v>
      </c>
      <c r="D70">
        <f t="shared" si="9"/>
        <v>0.28800000000000003</v>
      </c>
      <c r="E70">
        <f t="shared" si="35"/>
        <v>93223.391999999993</v>
      </c>
      <c r="F70">
        <f t="shared" si="36"/>
        <v>1.023197835171266E-2</v>
      </c>
      <c r="G70">
        <f t="shared" si="10"/>
        <v>2.5345976588310435E-3</v>
      </c>
      <c r="H70">
        <f t="shared" si="11"/>
        <v>4.0454393109380607E-2</v>
      </c>
      <c r="I70">
        <f t="shared" si="12"/>
        <v>23.722329183354397</v>
      </c>
      <c r="J70">
        <f t="shared" si="38"/>
        <v>7.7689724140599807E-6</v>
      </c>
      <c r="K70">
        <f t="shared" si="39"/>
        <v>9.0860405116230402E-4</v>
      </c>
      <c r="L70">
        <f t="shared" si="40"/>
        <v>84.703151634291515</v>
      </c>
      <c r="M70">
        <f t="shared" si="17"/>
        <v>5.9623208814005779E-7</v>
      </c>
      <c r="N70">
        <f t="shared" si="37"/>
        <v>5.0712048173256362E-3</v>
      </c>
      <c r="O70">
        <f t="shared" si="16"/>
        <v>0.34657509458072688</v>
      </c>
      <c r="W70" t="e">
        <f t="shared" si="18"/>
        <v>#NUM!</v>
      </c>
      <c r="X70" t="e">
        <f t="shared" si="20"/>
        <v>#NUM!</v>
      </c>
      <c r="Y70">
        <v>0.03</v>
      </c>
      <c r="Z70">
        <f t="shared" si="21"/>
        <v>0.17320508075688773</v>
      </c>
      <c r="AA70">
        <f t="shared" si="22"/>
        <v>21603.114349646479</v>
      </c>
      <c r="AB70">
        <f t="shared" si="23"/>
        <v>0.42477359653359187</v>
      </c>
      <c r="AC70" t="e">
        <f t="shared" si="19"/>
        <v>#NUM!</v>
      </c>
      <c r="AD70" t="e">
        <f t="shared" si="24"/>
        <v>#NUM!</v>
      </c>
      <c r="AE70" t="e">
        <f t="shared" si="25"/>
        <v>#NUM!</v>
      </c>
      <c r="AH70">
        <v>30</v>
      </c>
      <c r="AI70">
        <f t="shared" si="30"/>
        <v>67.707589015578762</v>
      </c>
      <c r="AJ70">
        <f t="shared" si="27"/>
        <v>24</v>
      </c>
      <c r="AN70">
        <f t="shared" si="28"/>
        <v>4.5924194590556766E-3</v>
      </c>
      <c r="AO70">
        <f t="shared" si="31"/>
        <v>1.0294559721424337E-7</v>
      </c>
      <c r="AP70">
        <f t="shared" si="32"/>
        <v>3.7623764924952542E-4</v>
      </c>
      <c r="AQ70">
        <f t="shared" si="33"/>
        <v>2.98903332597087E-3</v>
      </c>
      <c r="AR70">
        <f t="shared" si="29"/>
        <v>270.93016531265602</v>
      </c>
      <c r="AS70">
        <f t="shared" si="34"/>
        <v>4.7569437106647364E-2</v>
      </c>
    </row>
    <row r="71" spans="2:45">
      <c r="B71">
        <v>0.37</v>
      </c>
      <c r="C71">
        <f t="shared" si="8"/>
        <v>0.83506026452547144</v>
      </c>
      <c r="D71">
        <f t="shared" si="9"/>
        <v>0.29600000000000004</v>
      </c>
      <c r="E71">
        <f t="shared" si="35"/>
        <v>93038.964000000007</v>
      </c>
      <c r="F71">
        <f t="shared" si="36"/>
        <v>1.0238734724549716E-2</v>
      </c>
      <c r="G71">
        <f t="shared" si="10"/>
        <v>2.5337612511477149E-3</v>
      </c>
      <c r="H71">
        <f t="shared" si="11"/>
        <v>4.0534584488256843E-2</v>
      </c>
      <c r="I71">
        <f t="shared" si="12"/>
        <v>23.75366815065491</v>
      </c>
      <c r="J71">
        <f t="shared" si="38"/>
        <v>7.7668160530517626E-6</v>
      </c>
      <c r="K71">
        <f t="shared" si="39"/>
        <v>9.0927604756320152E-4</v>
      </c>
      <c r="L71">
        <f t="shared" si="40"/>
        <v>84.598101455294994</v>
      </c>
      <c r="M71">
        <f t="shared" si="17"/>
        <v>5.9586224523319795E-7</v>
      </c>
      <c r="N71">
        <f t="shared" si="37"/>
        <v>5.0749642292348572E-3</v>
      </c>
      <c r="O71">
        <f t="shared" si="16"/>
        <v>0.34647889897331025</v>
      </c>
      <c r="W71" t="e">
        <f t="shared" si="18"/>
        <v>#NUM!</v>
      </c>
      <c r="X71" t="e">
        <f t="shared" si="20"/>
        <v>#NUM!</v>
      </c>
      <c r="Y71">
        <v>3.1E-2</v>
      </c>
      <c r="Z71">
        <f t="shared" si="21"/>
        <v>0.17606816861659008</v>
      </c>
      <c r="AA71">
        <f t="shared" si="22"/>
        <v>22323.218161301364</v>
      </c>
      <c r="AB71">
        <f t="shared" si="23"/>
        <v>0.43179512339667775</v>
      </c>
      <c r="AC71" t="e">
        <f t="shared" si="19"/>
        <v>#NUM!</v>
      </c>
      <c r="AD71" t="e">
        <f t="shared" si="24"/>
        <v>#NUM!</v>
      </c>
      <c r="AE71" t="e">
        <f t="shared" si="25"/>
        <v>#NUM!</v>
      </c>
      <c r="AH71">
        <v>31</v>
      </c>
      <c r="AI71">
        <f t="shared" si="30"/>
        <v>69.964508649431394</v>
      </c>
      <c r="AJ71">
        <f t="shared" si="27"/>
        <v>24.800000000000004</v>
      </c>
      <c r="AN71">
        <f t="shared" si="28"/>
        <v>3.9747272470506264E-3</v>
      </c>
      <c r="AO71">
        <f t="shared" si="31"/>
        <v>8.9099149992603388E-8</v>
      </c>
      <c r="AP71">
        <f t="shared" si="32"/>
        <v>3.256327191301175E-4</v>
      </c>
      <c r="AQ71">
        <f t="shared" si="33"/>
        <v>2.587000666860192E-3</v>
      </c>
      <c r="AR71">
        <f t="shared" si="29"/>
        <v>234.48936224514139</v>
      </c>
      <c r="AS71">
        <f t="shared" si="34"/>
        <v>4.4254853166781953E-2</v>
      </c>
    </row>
    <row r="72" spans="2:45">
      <c r="B72">
        <v>0.38</v>
      </c>
      <c r="C72">
        <f t="shared" si="8"/>
        <v>0.85762946086399761</v>
      </c>
      <c r="D72">
        <f t="shared" si="9"/>
        <v>0.30399999999999999</v>
      </c>
      <c r="E72">
        <f t="shared" si="35"/>
        <v>92854.536000000007</v>
      </c>
      <c r="F72">
        <f t="shared" si="36"/>
        <v>1.024550897826562E-2</v>
      </c>
      <c r="G72">
        <f t="shared" si="10"/>
        <v>2.5329234606690245E-3</v>
      </c>
      <c r="H72">
        <f t="shared" si="11"/>
        <v>4.0615094419920277E-2</v>
      </c>
      <c r="I72">
        <f t="shared" si="12"/>
        <v>23.785110826263125</v>
      </c>
      <c r="J72">
        <f t="shared" si="38"/>
        <v>7.7646580934787954E-6</v>
      </c>
      <c r="K72">
        <f t="shared" si="39"/>
        <v>9.0995011680810309E-4</v>
      </c>
      <c r="L72">
        <f t="shared" si="40"/>
        <v>84.492995879362226</v>
      </c>
      <c r="M72">
        <f t="shared" si="17"/>
        <v>5.9549197741371976E-7</v>
      </c>
      <c r="N72">
        <f t="shared" si="37"/>
        <v>5.0787352595888478E-3</v>
      </c>
      <c r="O72">
        <f t="shared" si="16"/>
        <v>0.34638263205366604</v>
      </c>
      <c r="W72" t="e">
        <f t="shared" ref="W72:W103" si="41">2*$X$36/($X$37^2)*LN($X$36)-2*$X$36/($X$37^2)*LN($X$36-$X$37*Z72)-2*Z72/$X$37</f>
        <v>#NUM!</v>
      </c>
      <c r="X72" t="e">
        <f t="shared" si="20"/>
        <v>#NUM!</v>
      </c>
      <c r="Y72">
        <v>3.2000000000000001E-2</v>
      </c>
      <c r="Z72">
        <f t="shared" si="21"/>
        <v>0.17888543819998318</v>
      </c>
      <c r="AA72">
        <f t="shared" si="22"/>
        <v>23043.321972956244</v>
      </c>
      <c r="AB72">
        <f t="shared" si="23"/>
        <v>0.43870428407552803</v>
      </c>
      <c r="AC72" t="e">
        <f t="shared" ref="AC72:AC103" si="42">$X$36*W72</f>
        <v>#NUM!</v>
      </c>
      <c r="AD72" t="e">
        <f t="shared" si="24"/>
        <v>#NUM!</v>
      </c>
      <c r="AE72" t="e">
        <f t="shared" si="25"/>
        <v>#NUM!</v>
      </c>
      <c r="AH72">
        <v>32</v>
      </c>
      <c r="AI72">
        <f t="shared" si="30"/>
        <v>72.221428283284013</v>
      </c>
      <c r="AJ72">
        <f t="shared" si="27"/>
        <v>25.6</v>
      </c>
      <c r="AN72">
        <f t="shared" ref="AN72:AN103" si="43">$C$7*EXP(-$G$14*$G$17*AI72)</f>
        <v>3.4401162239860454E-3</v>
      </c>
      <c r="AO72">
        <f t="shared" si="31"/>
        <v>7.7115085484258639E-8</v>
      </c>
      <c r="AP72">
        <f t="shared" si="32"/>
        <v>2.8183428208097643E-4</v>
      </c>
      <c r="AQ72">
        <f t="shared" si="33"/>
        <v>2.2390424329448628E-3</v>
      </c>
      <c r="AR72">
        <f t="shared" si="29"/>
        <v>202.94994078152848</v>
      </c>
      <c r="AS72">
        <f t="shared" si="34"/>
        <v>4.1171225642687978E-2</v>
      </c>
    </row>
    <row r="73" spans="2:45">
      <c r="B73">
        <v>0.39</v>
      </c>
      <c r="C73">
        <f t="shared" si="8"/>
        <v>0.88019865720252388</v>
      </c>
      <c r="D73">
        <f t="shared" si="9"/>
        <v>0.312</v>
      </c>
      <c r="E73">
        <f t="shared" si="35"/>
        <v>92670.108000000007</v>
      </c>
      <c r="F73">
        <f t="shared" si="36"/>
        <v>1.025230119583879E-2</v>
      </c>
      <c r="G73">
        <f t="shared" si="10"/>
        <v>2.5320842823555226E-3</v>
      </c>
      <c r="H73">
        <f t="shared" si="11"/>
        <v>4.0695924806280426E-2</v>
      </c>
      <c r="I73">
        <f t="shared" si="12"/>
        <v>23.816657760385411</v>
      </c>
      <c r="J73">
        <f t="shared" si="38"/>
        <v>7.7624985304007221E-6</v>
      </c>
      <c r="K73">
        <f t="shared" si="39"/>
        <v>9.1062626926083487E-4</v>
      </c>
      <c r="L73">
        <f t="shared" si="40"/>
        <v>84.387834720038654</v>
      </c>
      <c r="M73">
        <f t="shared" si="17"/>
        <v>5.9512128323105814E-7</v>
      </c>
      <c r="N73">
        <f t="shared" si="37"/>
        <v>5.0825179665925811E-3</v>
      </c>
      <c r="O73">
        <f t="shared" si="16"/>
        <v>0.34628629360140406</v>
      </c>
      <c r="W73" t="e">
        <f t="shared" si="41"/>
        <v>#NUM!</v>
      </c>
      <c r="X73" t="e">
        <f t="shared" si="20"/>
        <v>#NUM!</v>
      </c>
      <c r="Y73">
        <v>3.3000000000000002E-2</v>
      </c>
      <c r="Z73">
        <f t="shared" si="21"/>
        <v>0.18165902124584951</v>
      </c>
      <c r="AA73">
        <f t="shared" si="22"/>
        <v>23763.425784611129</v>
      </c>
      <c r="AB73">
        <f t="shared" si="23"/>
        <v>0.44550630651348916</v>
      </c>
      <c r="AC73" t="e">
        <f t="shared" si="42"/>
        <v>#NUM!</v>
      </c>
      <c r="AD73" t="e">
        <f t="shared" si="24"/>
        <v>#NUM!</v>
      </c>
      <c r="AE73" t="e">
        <f t="shared" si="25"/>
        <v>#NUM!</v>
      </c>
      <c r="AH73">
        <v>33</v>
      </c>
      <c r="AI73">
        <f t="shared" si="30"/>
        <v>74.478347917136631</v>
      </c>
      <c r="AJ73">
        <f t="shared" si="27"/>
        <v>26.4</v>
      </c>
      <c r="AN73">
        <f t="shared" si="43"/>
        <v>2.9774117565710997E-3</v>
      </c>
      <c r="AO73">
        <f t="shared" si="31"/>
        <v>6.6742908431092695E-8</v>
      </c>
      <c r="AP73">
        <f t="shared" si="32"/>
        <v>2.4392684730295745E-4</v>
      </c>
      <c r="AQ73">
        <f t="shared" si="33"/>
        <v>1.9378854751561448E-3</v>
      </c>
      <c r="AR73">
        <f t="shared" si="29"/>
        <v>175.65265250781817</v>
      </c>
      <c r="AS73">
        <f t="shared" si="34"/>
        <v>3.830246175561728E-2</v>
      </c>
    </row>
    <row r="74" spans="2:45">
      <c r="B74">
        <v>0.4</v>
      </c>
      <c r="C74">
        <f t="shared" si="8"/>
        <v>0.90276785354105016</v>
      </c>
      <c r="D74">
        <f t="shared" si="9"/>
        <v>0.32</v>
      </c>
      <c r="E74">
        <f t="shared" si="35"/>
        <v>92485.68</v>
      </c>
      <c r="F74">
        <f t="shared" si="36"/>
        <v>1.0259111460798833E-2</v>
      </c>
      <c r="G74">
        <f t="shared" si="10"/>
        <v>2.5312437111393205E-3</v>
      </c>
      <c r="H74">
        <f t="shared" si="11"/>
        <v>4.0777077564417397E-2</v>
      </c>
      <c r="I74">
        <f t="shared" si="12"/>
        <v>23.848309507249819</v>
      </c>
      <c r="J74">
        <f t="shared" si="38"/>
        <v>7.7603373588524373E-6</v>
      </c>
      <c r="K74">
        <f t="shared" si="39"/>
        <v>9.1130451535763877E-4</v>
      </c>
      <c r="L74">
        <f t="shared" si="40"/>
        <v>84.282617789921659</v>
      </c>
      <c r="M74">
        <f t="shared" si="17"/>
        <v>5.9475016122677121E-7</v>
      </c>
      <c r="N74">
        <f t="shared" si="37"/>
        <v>5.0863124088586934E-3</v>
      </c>
      <c r="O74">
        <f t="shared" si="16"/>
        <v>0.34618988339503026</v>
      </c>
      <c r="W74" t="e">
        <f t="shared" si="41"/>
        <v>#NUM!</v>
      </c>
      <c r="X74" t="e">
        <f t="shared" si="20"/>
        <v>#NUM!</v>
      </c>
      <c r="Y74">
        <v>3.4000000000000002E-2</v>
      </c>
      <c r="Z74">
        <f t="shared" si="21"/>
        <v>0.18439088914585774</v>
      </c>
      <c r="AA74">
        <f t="shared" si="22"/>
        <v>24483.529596266013</v>
      </c>
      <c r="AB74">
        <f t="shared" si="23"/>
        <v>0.45220602541359445</v>
      </c>
      <c r="AC74" t="e">
        <f t="shared" si="42"/>
        <v>#NUM!</v>
      </c>
      <c r="AD74" t="e">
        <f t="shared" si="24"/>
        <v>#NUM!</v>
      </c>
      <c r="AE74" t="e">
        <f t="shared" si="25"/>
        <v>#NUM!</v>
      </c>
      <c r="AH74">
        <v>34</v>
      </c>
      <c r="AI74">
        <f t="shared" si="30"/>
        <v>76.735267550989263</v>
      </c>
      <c r="AJ74">
        <f t="shared" si="27"/>
        <v>27.2</v>
      </c>
      <c r="AN74">
        <f t="shared" si="43"/>
        <v>2.5769422283925003E-3</v>
      </c>
      <c r="AO74">
        <f t="shared" si="31"/>
        <v>5.7765815830555403E-8</v>
      </c>
      <c r="AP74">
        <f t="shared" si="32"/>
        <v>2.1111805986067129E-4</v>
      </c>
      <c r="AQ74">
        <f t="shared" si="33"/>
        <v>1.6772349016547965E-3</v>
      </c>
      <c r="AR74">
        <f t="shared" si="29"/>
        <v>152.02691961485306</v>
      </c>
      <c r="AS74">
        <f t="shared" si="34"/>
        <v>3.5633590053228956E-2</v>
      </c>
    </row>
    <row r="75" spans="2:45">
      <c r="B75">
        <v>0.41</v>
      </c>
      <c r="C75">
        <f t="shared" si="8"/>
        <v>0.92533704987957632</v>
      </c>
      <c r="D75">
        <f t="shared" si="9"/>
        <v>0.32799999999999996</v>
      </c>
      <c r="E75">
        <f t="shared" si="35"/>
        <v>92301.252000000008</v>
      </c>
      <c r="F75">
        <f t="shared" si="36"/>
        <v>1.026593985723134E-2</v>
      </c>
      <c r="G75">
        <f t="shared" si="10"/>
        <v>2.5304017419238694E-3</v>
      </c>
      <c r="H75">
        <f t="shared" si="11"/>
        <v>4.0858554626733407E-2</v>
      </c>
      <c r="I75">
        <f t="shared" si="12"/>
        <v>23.880066625143488</v>
      </c>
      <c r="J75">
        <f t="shared" si="38"/>
        <v>7.7581745738439105E-6</v>
      </c>
      <c r="K75">
        <f t="shared" si="39"/>
        <v>9.1198486560786481E-4</v>
      </c>
      <c r="L75">
        <f t="shared" si="40"/>
        <v>84.177344900657673</v>
      </c>
      <c r="M75">
        <f t="shared" si="17"/>
        <v>5.9437860993449608E-7</v>
      </c>
      <c r="N75">
        <f t="shared" si="37"/>
        <v>5.0901186454111319E-3</v>
      </c>
      <c r="O75">
        <f t="shared" si="16"/>
        <v>0.34609340121193855</v>
      </c>
      <c r="W75" t="e">
        <f t="shared" si="41"/>
        <v>#NUM!</v>
      </c>
      <c r="X75" t="e">
        <f t="shared" si="20"/>
        <v>#NUM!</v>
      </c>
      <c r="Y75">
        <v>3.5000000000000003E-2</v>
      </c>
      <c r="Z75">
        <f t="shared" si="21"/>
        <v>0.18708286933869708</v>
      </c>
      <c r="AA75">
        <f t="shared" si="22"/>
        <v>25203.633407920897</v>
      </c>
      <c r="AB75">
        <f t="shared" si="23"/>
        <v>0.45880792244405488</v>
      </c>
      <c r="AC75" t="e">
        <f t="shared" si="42"/>
        <v>#NUM!</v>
      </c>
      <c r="AD75" t="e">
        <f t="shared" si="24"/>
        <v>#NUM!</v>
      </c>
      <c r="AE75" t="e">
        <f t="shared" si="25"/>
        <v>#NUM!</v>
      </c>
      <c r="AH75">
        <v>35</v>
      </c>
      <c r="AI75">
        <f t="shared" si="30"/>
        <v>78.992187184841896</v>
      </c>
      <c r="AJ75">
        <f t="shared" si="27"/>
        <v>28.000000000000004</v>
      </c>
      <c r="AN75">
        <f t="shared" si="43"/>
        <v>2.2303368802842716E-3</v>
      </c>
      <c r="AO75">
        <f t="shared" si="31"/>
        <v>4.9996165240757279E-8</v>
      </c>
      <c r="AP75">
        <f t="shared" si="32"/>
        <v>1.8272213859254669E-4</v>
      </c>
      <c r="AQ75">
        <f t="shared" si="33"/>
        <v>1.4516424997211494E-3</v>
      </c>
      <c r="AR75">
        <f t="shared" si="29"/>
        <v>131.57890847422459</v>
      </c>
      <c r="AS75">
        <f t="shared" si="34"/>
        <v>3.3150682276847671E-2</v>
      </c>
    </row>
    <row r="76" spans="2:45">
      <c r="B76">
        <v>0.42</v>
      </c>
      <c r="C76">
        <f t="shared" si="8"/>
        <v>0.9479062462181026</v>
      </c>
      <c r="D76">
        <f t="shared" si="9"/>
        <v>0.33599999999999997</v>
      </c>
      <c r="E76">
        <f t="shared" si="35"/>
        <v>92116.824000000008</v>
      </c>
      <c r="F76">
        <f t="shared" si="36"/>
        <v>1.0272786469782677E-2</v>
      </c>
      <c r="G76">
        <f t="shared" si="10"/>
        <v>2.5295583695837459E-3</v>
      </c>
      <c r="H76">
        <f t="shared" si="11"/>
        <v>4.0940357941106245E-2</v>
      </c>
      <c r="I76">
        <f t="shared" si="12"/>
        <v>23.911929676450686</v>
      </c>
      <c r="J76">
        <f t="shared" si="38"/>
        <v>7.7560101703600138E-6</v>
      </c>
      <c r="K76">
        <f t="shared" si="39"/>
        <v>9.1266733059462506E-4</v>
      </c>
      <c r="L76">
        <f t="shared" si="40"/>
        <v>84.072015862934904</v>
      </c>
      <c r="M76">
        <f t="shared" si="17"/>
        <v>5.9400662787988698E-7</v>
      </c>
      <c r="N76">
        <f t="shared" si="37"/>
        <v>5.0939367356888999E-3</v>
      </c>
      <c r="O76">
        <f t="shared" si="16"/>
        <v>0.3459968468284032</v>
      </c>
      <c r="W76" t="e">
        <f t="shared" si="41"/>
        <v>#NUM!</v>
      </c>
      <c r="X76" t="e">
        <f t="shared" si="20"/>
        <v>#NUM!</v>
      </c>
      <c r="Y76">
        <v>3.5999999999999997E-2</v>
      </c>
      <c r="Z76">
        <f t="shared" si="21"/>
        <v>0.18973665961010275</v>
      </c>
      <c r="AA76">
        <f t="shared" si="22"/>
        <v>25923.737219575771</v>
      </c>
      <c r="AB76">
        <f t="shared" si="23"/>
        <v>0.46531616130809295</v>
      </c>
      <c r="AC76" t="e">
        <f t="shared" si="42"/>
        <v>#NUM!</v>
      </c>
      <c r="AD76" t="e">
        <f t="shared" si="24"/>
        <v>#NUM!</v>
      </c>
      <c r="AE76" t="e">
        <f t="shared" si="25"/>
        <v>#NUM!</v>
      </c>
      <c r="AH76">
        <v>36</v>
      </c>
      <c r="AI76">
        <f t="shared" si="30"/>
        <v>81.249106818694514</v>
      </c>
      <c r="AJ76">
        <f t="shared" si="27"/>
        <v>28.8</v>
      </c>
      <c r="AN76">
        <f t="shared" si="43"/>
        <v>1.9303508416869805E-3</v>
      </c>
      <c r="AO76">
        <f t="shared" si="31"/>
        <v>4.3271552610167259E-8</v>
      </c>
      <c r="AP76">
        <f t="shared" si="32"/>
        <v>1.5814554166454292E-4</v>
      </c>
      <c r="AQ76">
        <f t="shared" si="33"/>
        <v>1.2563928552390342E-3</v>
      </c>
      <c r="AR76">
        <f t="shared" si="29"/>
        <v>113.88120734886338</v>
      </c>
      <c r="AS76">
        <f t="shared" si="34"/>
        <v>3.0840780672923212E-2</v>
      </c>
    </row>
    <row r="77" spans="2:45">
      <c r="B77">
        <v>0.43</v>
      </c>
      <c r="C77">
        <f t="shared" si="8"/>
        <v>0.97047544255662888</v>
      </c>
      <c r="D77">
        <f t="shared" si="9"/>
        <v>0.34399999999999997</v>
      </c>
      <c r="E77">
        <f t="shared" si="35"/>
        <v>91932.396000000008</v>
      </c>
      <c r="F77">
        <f t="shared" si="36"/>
        <v>1.0279651383664877E-2</v>
      </c>
      <c r="G77">
        <f t="shared" si="10"/>
        <v>2.5287135889644264E-3</v>
      </c>
      <c r="H77">
        <f t="shared" si="11"/>
        <v>4.1022489471044421E-2</v>
      </c>
      <c r="I77">
        <f t="shared" si="12"/>
        <v>23.943899227691034</v>
      </c>
      <c r="J77">
        <f t="shared" si="38"/>
        <v>7.7538441433603472E-6</v>
      </c>
      <c r="K77">
        <f t="shared" si="39"/>
        <v>9.1335192097542512E-4</v>
      </c>
      <c r="L77">
        <f t="shared" si="40"/>
        <v>83.966630486473491</v>
      </c>
      <c r="M77">
        <f t="shared" si="17"/>
        <v>5.936342135805452E-7</v>
      </c>
      <c r="N77">
        <f t="shared" si="37"/>
        <v>5.0977667395497956E-3</v>
      </c>
      <c r="O77">
        <f t="shared" si="16"/>
        <v>0.34590022001957133</v>
      </c>
      <c r="W77" t="e">
        <f t="shared" si="41"/>
        <v>#NUM!</v>
      </c>
      <c r="X77" t="e">
        <f t="shared" si="20"/>
        <v>#NUM!</v>
      </c>
      <c r="Y77">
        <v>3.6999999999999998E-2</v>
      </c>
      <c r="Z77">
        <f t="shared" si="21"/>
        <v>0.19235384061671346</v>
      </c>
      <c r="AA77">
        <f t="shared" si="22"/>
        <v>26643.841031230659</v>
      </c>
      <c r="AB77">
        <f t="shared" si="23"/>
        <v>0.47173461845784503</v>
      </c>
      <c r="AC77" t="e">
        <f t="shared" si="42"/>
        <v>#NUM!</v>
      </c>
      <c r="AD77" t="e">
        <f t="shared" si="24"/>
        <v>#NUM!</v>
      </c>
      <c r="AE77" t="e">
        <f t="shared" si="25"/>
        <v>#NUM!</v>
      </c>
      <c r="AH77">
        <v>37</v>
      </c>
      <c r="AI77">
        <f t="shared" si="30"/>
        <v>83.506026452547133</v>
      </c>
      <c r="AJ77">
        <f t="shared" si="27"/>
        <v>29.599999999999998</v>
      </c>
      <c r="AN77">
        <f t="shared" si="43"/>
        <v>1.6707136957385101E-3</v>
      </c>
      <c r="AO77">
        <f t="shared" si="31"/>
        <v>3.7451417649289135E-8</v>
      </c>
      <c r="AP77">
        <f t="shared" si="32"/>
        <v>1.3687456014370534E-4</v>
      </c>
      <c r="AQ77">
        <f t="shared" si="33"/>
        <v>1.0874047894016165E-3</v>
      </c>
      <c r="AR77">
        <f t="shared" si="29"/>
        <v>98.563892478067672</v>
      </c>
      <c r="AS77">
        <f t="shared" si="34"/>
        <v>2.8691830369344848E-2</v>
      </c>
    </row>
    <row r="78" spans="2:45">
      <c r="B78">
        <v>0.44</v>
      </c>
      <c r="C78">
        <f t="shared" si="8"/>
        <v>0.99304463889515515</v>
      </c>
      <c r="D78">
        <f t="shared" si="9"/>
        <v>0.35199999999999998</v>
      </c>
      <c r="E78">
        <f t="shared" si="35"/>
        <v>91747.967999999993</v>
      </c>
      <c r="F78">
        <f t="shared" si="36"/>
        <v>1.0286534684660556E-2</v>
      </c>
      <c r="G78">
        <f t="shared" si="10"/>
        <v>2.5278673948820637E-3</v>
      </c>
      <c r="H78">
        <f t="shared" si="11"/>
        <v>4.1104951195844328E-2</v>
      </c>
      <c r="I78">
        <f t="shared" si="12"/>
        <v>23.975975849558367</v>
      </c>
      <c r="J78">
        <f t="shared" si="38"/>
        <v>7.7516764877790541E-6</v>
      </c>
      <c r="K78">
        <f t="shared" si="39"/>
        <v>9.1403864748287932E-4</v>
      </c>
      <c r="L78">
        <f t="shared" si="40"/>
        <v>83.861188580022485</v>
      </c>
      <c r="M78">
        <f t="shared" si="17"/>
        <v>5.9326136554597196E-7</v>
      </c>
      <c r="N78">
        <f t="shared" si="37"/>
        <v>5.1016087172742067E-3</v>
      </c>
      <c r="O78">
        <f t="shared" si="16"/>
        <v>0.34580352055945413</v>
      </c>
      <c r="W78" t="e">
        <f t="shared" si="41"/>
        <v>#NUM!</v>
      </c>
      <c r="X78" t="e">
        <f t="shared" si="20"/>
        <v>#NUM!</v>
      </c>
      <c r="Y78">
        <v>3.7999999999999999E-2</v>
      </c>
      <c r="Z78">
        <f t="shared" si="21"/>
        <v>0.19493588689617927</v>
      </c>
      <c r="AA78">
        <f t="shared" si="22"/>
        <v>27363.944842885539</v>
      </c>
      <c r="AB78">
        <f t="shared" si="23"/>
        <v>0.47806691009589664</v>
      </c>
      <c r="AC78" t="e">
        <f t="shared" si="42"/>
        <v>#NUM!</v>
      </c>
      <c r="AD78" t="e">
        <f t="shared" si="24"/>
        <v>#NUM!</v>
      </c>
      <c r="AE78" t="e">
        <f t="shared" si="25"/>
        <v>#NUM!</v>
      </c>
      <c r="AH78">
        <v>38</v>
      </c>
      <c r="AI78">
        <f t="shared" si="30"/>
        <v>85.762946086399765</v>
      </c>
      <c r="AJ78">
        <f t="shared" si="27"/>
        <v>30.400000000000002</v>
      </c>
      <c r="AN78">
        <f t="shared" si="43"/>
        <v>1.4459984127490816E-3</v>
      </c>
      <c r="AO78">
        <f t="shared" si="31"/>
        <v>3.2414105788566536E-8</v>
      </c>
      <c r="AP78">
        <f t="shared" si="32"/>
        <v>1.1846458026792027E-4</v>
      </c>
      <c r="AQ78">
        <f t="shared" si="33"/>
        <v>9.4114605243327194E-4</v>
      </c>
      <c r="AR78">
        <f t="shared" si="29"/>
        <v>85.306795797025174</v>
      </c>
      <c r="AS78">
        <f t="shared" si="34"/>
        <v>2.6692616463694557E-2</v>
      </c>
    </row>
    <row r="79" spans="2:45">
      <c r="B79">
        <v>0.45</v>
      </c>
      <c r="C79">
        <f t="shared" si="8"/>
        <v>1.0156138352336814</v>
      </c>
      <c r="D79">
        <f t="shared" si="9"/>
        <v>0.36</v>
      </c>
      <c r="E79">
        <f t="shared" si="35"/>
        <v>91563.540000000008</v>
      </c>
      <c r="F79">
        <f t="shared" si="36"/>
        <v>1.0293436459127888E-2</v>
      </c>
      <c r="G79">
        <f t="shared" si="10"/>
        <v>2.5270197821232634E-3</v>
      </c>
      <c r="H79">
        <f t="shared" si="11"/>
        <v>4.1187745110749178E-2</v>
      </c>
      <c r="I79">
        <f t="shared" si="12"/>
        <v>24.008160116959896</v>
      </c>
      <c r="J79">
        <f t="shared" si="38"/>
        <v>7.7495071985246481E-6</v>
      </c>
      <c r="K79">
        <f t="shared" si="39"/>
        <v>9.1472752092536843E-4</v>
      </c>
      <c r="L79">
        <f t="shared" si="40"/>
        <v>83.755689951350817</v>
      </c>
      <c r="M79">
        <f t="shared" si="17"/>
        <v>5.9288808227750074E-7</v>
      </c>
      <c r="N79">
        <f t="shared" si="37"/>
        <v>5.1054627295689528E-3</v>
      </c>
      <c r="O79">
        <f t="shared" si="16"/>
        <v>0.34570674822091957</v>
      </c>
      <c r="W79" t="e">
        <f t="shared" si="41"/>
        <v>#NUM!</v>
      </c>
      <c r="X79" t="e">
        <f t="shared" si="20"/>
        <v>#NUM!</v>
      </c>
      <c r="Y79">
        <v>3.9E-2</v>
      </c>
      <c r="Z79">
        <f t="shared" si="21"/>
        <v>0.19748417658131498</v>
      </c>
      <c r="AA79">
        <f t="shared" si="22"/>
        <v>28084.048654540424</v>
      </c>
      <c r="AB79">
        <f t="shared" si="23"/>
        <v>0.48431641599857789</v>
      </c>
      <c r="AC79" t="e">
        <f t="shared" si="42"/>
        <v>#NUM!</v>
      </c>
      <c r="AD79" t="e">
        <f t="shared" si="24"/>
        <v>#NUM!</v>
      </c>
      <c r="AE79" t="e">
        <f t="shared" si="25"/>
        <v>#NUM!</v>
      </c>
      <c r="AH79">
        <v>39</v>
      </c>
      <c r="AI79">
        <f t="shared" si="30"/>
        <v>88.019865720252398</v>
      </c>
      <c r="AJ79">
        <f t="shared" si="27"/>
        <v>31.200000000000003</v>
      </c>
      <c r="AN79">
        <f t="shared" si="43"/>
        <v>1.2515079124604954E-3</v>
      </c>
      <c r="AO79">
        <f t="shared" si="31"/>
        <v>2.8054325310495281E-8</v>
      </c>
      <c r="AP79">
        <f t="shared" si="32"/>
        <v>1.0253078996798412E-4</v>
      </c>
      <c r="AQ79">
        <f t="shared" si="33"/>
        <v>8.1455949122510862E-4</v>
      </c>
      <c r="AR79">
        <f t="shared" si="29"/>
        <v>73.832812667931563</v>
      </c>
      <c r="AS79">
        <f t="shared" si="34"/>
        <v>2.4832705495120542E-2</v>
      </c>
    </row>
    <row r="80" spans="2:45">
      <c r="B80">
        <v>0.46</v>
      </c>
      <c r="C80">
        <f t="shared" si="8"/>
        <v>1.0381830315722078</v>
      </c>
      <c r="D80">
        <f t="shared" si="9"/>
        <v>0.36800000000000005</v>
      </c>
      <c r="E80">
        <f t="shared" si="35"/>
        <v>91379.111999999994</v>
      </c>
      <c r="F80">
        <f t="shared" si="36"/>
        <v>1.0300356794005641E-2</v>
      </c>
      <c r="G80">
        <f t="shared" si="10"/>
        <v>2.5261707454448516E-3</v>
      </c>
      <c r="H80">
        <f t="shared" si="11"/>
        <v>4.1270873227110011E-2</v>
      </c>
      <c r="I80">
        <f t="shared" si="12"/>
        <v>24.040452609055947</v>
      </c>
      <c r="J80">
        <f t="shared" si="38"/>
        <v>7.7473362704798289E-6</v>
      </c>
      <c r="K80">
        <f t="shared" si="39"/>
        <v>9.1541855218773768E-4</v>
      </c>
      <c r="L80">
        <f t="shared" si="40"/>
        <v>83.650134407241126</v>
      </c>
      <c r="M80">
        <f t="shared" si="17"/>
        <v>5.9251436226823834E-7</v>
      </c>
      <c r="N80">
        <f t="shared" si="37"/>
        <v>5.1093288375711685E-3</v>
      </c>
      <c r="O80">
        <f t="shared" si="16"/>
        <v>0.34560990277568421</v>
      </c>
      <c r="W80" t="e">
        <f t="shared" si="41"/>
        <v>#NUM!</v>
      </c>
      <c r="X80" t="e">
        <f t="shared" si="20"/>
        <v>#NUM!</v>
      </c>
      <c r="Y80">
        <v>0.04</v>
      </c>
      <c r="Z80">
        <f t="shared" si="21"/>
        <v>0.2</v>
      </c>
      <c r="AA80">
        <f t="shared" si="22"/>
        <v>28804.152466195308</v>
      </c>
      <c r="AB80">
        <f t="shared" si="23"/>
        <v>0.49048630060662957</v>
      </c>
      <c r="AC80" t="e">
        <f t="shared" si="42"/>
        <v>#NUM!</v>
      </c>
      <c r="AD80" t="e">
        <f t="shared" si="24"/>
        <v>#NUM!</v>
      </c>
      <c r="AE80" t="e">
        <f t="shared" si="25"/>
        <v>#NUM!</v>
      </c>
      <c r="AH80">
        <v>40</v>
      </c>
      <c r="AI80">
        <f t="shared" si="30"/>
        <v>90.276785354105016</v>
      </c>
      <c r="AJ80">
        <f t="shared" si="27"/>
        <v>32</v>
      </c>
      <c r="AN80">
        <f t="shared" si="43"/>
        <v>1.0831768839728449E-3</v>
      </c>
      <c r="AO80">
        <f t="shared" si="31"/>
        <v>2.4280946503997435E-8</v>
      </c>
      <c r="AP80">
        <f t="shared" si="32"/>
        <v>8.874013538631889E-5</v>
      </c>
      <c r="AQ80">
        <f t="shared" si="33"/>
        <v>7.0499914761310565E-4</v>
      </c>
      <c r="AR80">
        <f t="shared" si="29"/>
        <v>63.902109738458549</v>
      </c>
      <c r="AS80">
        <f t="shared" si="34"/>
        <v>2.3102390994383288E-2</v>
      </c>
    </row>
    <row r="81" spans="2:45">
      <c r="B81">
        <v>0.47</v>
      </c>
      <c r="C81">
        <f t="shared" si="8"/>
        <v>1.060752227910734</v>
      </c>
      <c r="D81">
        <f t="shared" si="9"/>
        <v>0.376</v>
      </c>
      <c r="E81">
        <f t="shared" si="35"/>
        <v>91194.684000000008</v>
      </c>
      <c r="F81">
        <f t="shared" si="36"/>
        <v>1.0307295776818255E-2</v>
      </c>
      <c r="G81">
        <f t="shared" si="10"/>
        <v>2.5253202795736474E-3</v>
      </c>
      <c r="H81">
        <f t="shared" si="11"/>
        <v>4.1354337572548486E-2</v>
      </c>
      <c r="I81">
        <f t="shared" si="12"/>
        <v>24.072853909300019</v>
      </c>
      <c r="J81">
        <f t="shared" si="38"/>
        <v>7.7451636985013006E-6</v>
      </c>
      <c r="K81">
        <f t="shared" si="39"/>
        <v>9.1611175223196601E-4</v>
      </c>
      <c r="L81">
        <f t="shared" si="40"/>
        <v>83.544521753480439</v>
      </c>
      <c r="M81">
        <f t="shared" si="17"/>
        <v>5.9214020400299474E-7</v>
      </c>
      <c r="N81">
        <f t="shared" si="37"/>
        <v>5.1132071028522283E-3</v>
      </c>
      <c r="O81">
        <f t="shared" si="16"/>
        <v>0.34551298399430463</v>
      </c>
      <c r="W81" t="e">
        <f t="shared" si="41"/>
        <v>#NUM!</v>
      </c>
      <c r="X81" t="e">
        <f t="shared" si="20"/>
        <v>#NUM!</v>
      </c>
      <c r="Y81">
        <v>4.1000000000000002E-2</v>
      </c>
      <c r="Z81">
        <f t="shared" si="21"/>
        <v>0.20248456731316589</v>
      </c>
      <c r="AA81">
        <f t="shared" si="22"/>
        <v>29524.256277850189</v>
      </c>
      <c r="AB81">
        <f t="shared" si="23"/>
        <v>0.49657953175684394</v>
      </c>
      <c r="AC81" t="e">
        <f t="shared" si="42"/>
        <v>#NUM!</v>
      </c>
      <c r="AD81" t="e">
        <f t="shared" si="24"/>
        <v>#NUM!</v>
      </c>
      <c r="AE81" t="e">
        <f t="shared" si="25"/>
        <v>#NUM!</v>
      </c>
      <c r="AH81">
        <v>41</v>
      </c>
      <c r="AI81">
        <f t="shared" si="30"/>
        <v>92.533704987957634</v>
      </c>
      <c r="AJ81">
        <f t="shared" si="27"/>
        <v>32.799999999999997</v>
      </c>
      <c r="AN81">
        <f t="shared" si="43"/>
        <v>9.3748681114323913E-4</v>
      </c>
      <c r="AO81">
        <f t="shared" si="31"/>
        <v>2.1015096838184375E-8</v>
      </c>
      <c r="AP81">
        <f t="shared" si="32"/>
        <v>7.6804359264580669E-5</v>
      </c>
      <c r="AQ81">
        <f t="shared" si="33"/>
        <v>6.101749516019781E-4</v>
      </c>
      <c r="AR81">
        <f t="shared" si="29"/>
        <v>55.307111858135535</v>
      </c>
      <c r="AS81">
        <f t="shared" si="34"/>
        <v>2.1492642827912502E-2</v>
      </c>
    </row>
    <row r="82" spans="2:45">
      <c r="B82">
        <v>0.48</v>
      </c>
      <c r="C82">
        <f t="shared" si="8"/>
        <v>1.0833214242492601</v>
      </c>
      <c r="D82">
        <f t="shared" si="9"/>
        <v>0.38400000000000001</v>
      </c>
      <c r="E82">
        <f t="shared" si="35"/>
        <v>91010.255999999994</v>
      </c>
      <c r="F82">
        <f t="shared" si="36"/>
        <v>1.0314253495680993E-2</v>
      </c>
      <c r="G82">
        <f t="shared" si="10"/>
        <v>2.5244683792062287E-3</v>
      </c>
      <c r="H82">
        <f t="shared" si="11"/>
        <v>4.1438140191121832E-2</v>
      </c>
      <c r="I82">
        <f t="shared" si="12"/>
        <v>24.105364605479419</v>
      </c>
      <c r="J82">
        <f t="shared" si="38"/>
        <v>7.7429894774195838E-6</v>
      </c>
      <c r="K82">
        <f t="shared" si="39"/>
        <v>9.1680713209793313E-4</v>
      </c>
      <c r="L82">
        <f t="shared" si="40"/>
        <v>83.438851794858707</v>
      </c>
      <c r="M82">
        <f t="shared" si="17"/>
        <v>5.917656059582407E-7</v>
      </c>
      <c r="N82">
        <f t="shared" si="37"/>
        <v>5.1170975874217034E-3</v>
      </c>
      <c r="O82">
        <f t="shared" si="16"/>
        <v>0.34541599164616971</v>
      </c>
      <c r="W82" t="e">
        <f t="shared" si="41"/>
        <v>#NUM!</v>
      </c>
      <c r="X82" t="e">
        <f t="shared" si="20"/>
        <v>#NUM!</v>
      </c>
      <c r="Y82">
        <v>4.2000000000000003E-2</v>
      </c>
      <c r="Z82">
        <f t="shared" si="21"/>
        <v>0.20493901531919198</v>
      </c>
      <c r="AA82">
        <f t="shared" si="22"/>
        <v>30244.360089505073</v>
      </c>
      <c r="AB82">
        <f t="shared" si="23"/>
        <v>0.50259889736937924</v>
      </c>
      <c r="AC82" t="e">
        <f t="shared" si="42"/>
        <v>#NUM!</v>
      </c>
      <c r="AD82" t="e">
        <f t="shared" si="24"/>
        <v>#NUM!</v>
      </c>
      <c r="AE82" t="e">
        <f t="shared" si="25"/>
        <v>#NUM!</v>
      </c>
      <c r="AH82">
        <v>42</v>
      </c>
      <c r="AI82">
        <f t="shared" si="30"/>
        <v>94.790624621810267</v>
      </c>
      <c r="AJ82">
        <f t="shared" si="27"/>
        <v>33.6</v>
      </c>
      <c r="AN82">
        <f t="shared" si="43"/>
        <v>8.1139242728665102E-4</v>
      </c>
      <c r="AO82">
        <f t="shared" si="31"/>
        <v>1.8188512340141219E-8</v>
      </c>
      <c r="AP82">
        <f t="shared" si="32"/>
        <v>6.6473975686003804E-5</v>
      </c>
      <c r="AQ82">
        <f t="shared" si="33"/>
        <v>5.2810485349239226E-4</v>
      </c>
      <c r="AR82">
        <f t="shared" si="29"/>
        <v>47.868163267345324</v>
      </c>
      <c r="AS82">
        <f t="shared" si="34"/>
        <v>1.9995060071510688E-2</v>
      </c>
    </row>
    <row r="83" spans="2:45">
      <c r="B83">
        <v>0.49</v>
      </c>
      <c r="C83">
        <f t="shared" si="8"/>
        <v>1.1058906205877865</v>
      </c>
      <c r="D83">
        <f t="shared" si="9"/>
        <v>0.39200000000000002</v>
      </c>
      <c r="E83">
        <f t="shared" si="35"/>
        <v>90825.828000000009</v>
      </c>
      <c r="F83">
        <f t="shared" si="36"/>
        <v>1.0321230039305122E-2</v>
      </c>
      <c r="G83">
        <f t="shared" si="10"/>
        <v>2.5236150390086976E-3</v>
      </c>
      <c r="H83">
        <f t="shared" si="11"/>
        <v>4.1522283143489609E-2</v>
      </c>
      <c r="I83">
        <f t="shared" si="12"/>
        <v>24.13798528975628</v>
      </c>
      <c r="J83">
        <f t="shared" si="38"/>
        <v>7.7408136020388327E-6</v>
      </c>
      <c r="K83">
        <f t="shared" si="39"/>
        <v>9.1750470290406544E-4</v>
      </c>
      <c r="L83">
        <f t="shared" si="40"/>
        <v>83.333124335155759</v>
      </c>
      <c r="M83">
        <f t="shared" si="17"/>
        <v>5.9139056660202384E-7</v>
      </c>
      <c r="N83">
        <f t="shared" si="37"/>
        <v>5.1210003537313859E-3</v>
      </c>
      <c r="O83">
        <f t="shared" si="16"/>
        <v>0.34531892549949178</v>
      </c>
      <c r="W83" t="e">
        <f t="shared" si="41"/>
        <v>#NUM!</v>
      </c>
      <c r="X83" t="e">
        <f t="shared" si="20"/>
        <v>#NUM!</v>
      </c>
      <c r="Y83">
        <v>4.2999999999999997E-2</v>
      </c>
      <c r="Z83">
        <f t="shared" si="21"/>
        <v>0.2073644135332772</v>
      </c>
      <c r="AA83">
        <f t="shared" si="22"/>
        <v>30964.463901159954</v>
      </c>
      <c r="AB83">
        <f t="shared" si="23"/>
        <v>0.50854702035700217</v>
      </c>
      <c r="AC83" t="e">
        <f t="shared" si="42"/>
        <v>#NUM!</v>
      </c>
      <c r="AD83" t="e">
        <f t="shared" si="24"/>
        <v>#NUM!</v>
      </c>
      <c r="AE83" t="e">
        <f t="shared" si="25"/>
        <v>#NUM!</v>
      </c>
      <c r="AH83">
        <v>43</v>
      </c>
      <c r="AI83">
        <f t="shared" si="30"/>
        <v>97.047544255662899</v>
      </c>
      <c r="AJ83">
        <f t="shared" si="27"/>
        <v>34.400000000000006</v>
      </c>
      <c r="AN83">
        <f t="shared" si="43"/>
        <v>7.0225806190838541E-4</v>
      </c>
      <c r="AO83">
        <f t="shared" si="31"/>
        <v>1.5742110716633335E-8</v>
      </c>
      <c r="AP83">
        <f t="shared" si="32"/>
        <v>5.7533055230383709E-5</v>
      </c>
      <c r="AQ83">
        <f t="shared" si="33"/>
        <v>4.5707339436008474E-4</v>
      </c>
      <c r="AR83">
        <f t="shared" si="29"/>
        <v>41.429772367550186</v>
      </c>
      <c r="AS83">
        <f t="shared" si="34"/>
        <v>1.8601827167764321E-2</v>
      </c>
    </row>
    <row r="84" spans="2:45">
      <c r="B84">
        <v>0.5</v>
      </c>
      <c r="C84">
        <f t="shared" si="8"/>
        <v>1.1284598169263127</v>
      </c>
      <c r="D84">
        <f t="shared" si="9"/>
        <v>0.4</v>
      </c>
      <c r="E84">
        <f t="shared" si="35"/>
        <v>90641.4</v>
      </c>
      <c r="F84">
        <f t="shared" si="36"/>
        <v>1.0328225497003171E-2</v>
      </c>
      <c r="G84">
        <f t="shared" si="10"/>
        <v>2.5227602536164427E-3</v>
      </c>
      <c r="H84">
        <f t="shared" si="11"/>
        <v>4.1606768507082711E-2</v>
      </c>
      <c r="I84">
        <f t="shared" si="12"/>
        <v>24.17071655870912</v>
      </c>
      <c r="J84">
        <f t="shared" si="38"/>
        <v>7.7386360671366471E-6</v>
      </c>
      <c r="K84">
        <f t="shared" si="39"/>
        <v>9.1820447584805328E-4</v>
      </c>
      <c r="L84">
        <f t="shared" si="40"/>
        <v>83.227339177133729</v>
      </c>
      <c r="M84">
        <f t="shared" si="17"/>
        <v>5.9101508439390348E-7</v>
      </c>
      <c r="N84">
        <f t="shared" si="37"/>
        <v>5.1249154646793539E-3</v>
      </c>
      <c r="O84">
        <f t="shared" si="16"/>
        <v>0.34522178532129888</v>
      </c>
      <c r="W84" t="e">
        <f t="shared" si="41"/>
        <v>#NUM!</v>
      </c>
      <c r="X84" t="e">
        <f t="shared" si="20"/>
        <v>#NUM!</v>
      </c>
      <c r="Y84">
        <v>4.3999999999999997E-2</v>
      </c>
      <c r="Z84">
        <f t="shared" si="21"/>
        <v>0.20976176963403032</v>
      </c>
      <c r="AA84">
        <f t="shared" si="22"/>
        <v>31684.567712814835</v>
      </c>
      <c r="AB84">
        <f t="shared" si="23"/>
        <v>0.51442637198247776</v>
      </c>
      <c r="AC84" t="e">
        <f t="shared" si="42"/>
        <v>#NUM!</v>
      </c>
      <c r="AD84" t="e">
        <f t="shared" si="24"/>
        <v>#NUM!</v>
      </c>
      <c r="AE84" t="e">
        <f t="shared" si="25"/>
        <v>#NUM!</v>
      </c>
      <c r="AH84">
        <v>44</v>
      </c>
      <c r="AI84">
        <f t="shared" si="30"/>
        <v>99.304463889515517</v>
      </c>
      <c r="AJ84">
        <f t="shared" si="27"/>
        <v>35.200000000000003</v>
      </c>
      <c r="AN84">
        <f t="shared" si="43"/>
        <v>6.078025489645038E-4</v>
      </c>
      <c r="AO84">
        <f t="shared" si="31"/>
        <v>1.3624756394607828E-8</v>
      </c>
      <c r="AP84">
        <f t="shared" si="32"/>
        <v>4.9794711539109877E-5</v>
      </c>
      <c r="AQ84">
        <f t="shared" si="33"/>
        <v>3.9559584891195841E-4</v>
      </c>
      <c r="AR84">
        <f t="shared" si="29"/>
        <v>35.857361579568384</v>
      </c>
      <c r="AS84">
        <f t="shared" si="34"/>
        <v>1.7305673138356834E-2</v>
      </c>
    </row>
    <row r="85" spans="2:45">
      <c r="B85">
        <v>0.51</v>
      </c>
      <c r="C85">
        <f t="shared" si="8"/>
        <v>1.1510290132648389</v>
      </c>
      <c r="D85">
        <f t="shared" si="9"/>
        <v>0.40799999999999997</v>
      </c>
      <c r="E85">
        <f t="shared" si="35"/>
        <v>90456.972000000009</v>
      </c>
      <c r="F85">
        <f t="shared" si="36"/>
        <v>1.0335239958694245E-2</v>
      </c>
      <c r="G85">
        <f t="shared" si="10"/>
        <v>2.5219040176338993E-3</v>
      </c>
      <c r="H85">
        <f t="shared" si="11"/>
        <v>4.1691598376274258E-2</v>
      </c>
      <c r="I85">
        <f t="shared" si="12"/>
        <v>24.203559013374807</v>
      </c>
      <c r="J85">
        <f t="shared" si="38"/>
        <v>7.7364568674638809E-6</v>
      </c>
      <c r="K85">
        <f t="shared" si="39"/>
        <v>9.1890646220766097E-4</v>
      </c>
      <c r="L85">
        <f t="shared" si="40"/>
        <v>83.121496122537451</v>
      </c>
      <c r="M85">
        <f t="shared" si="17"/>
        <v>5.9063915778491363E-7</v>
      </c>
      <c r="N85">
        <f t="shared" si="37"/>
        <v>5.1288429836140433E-3</v>
      </c>
      <c r="O85">
        <f t="shared" si="16"/>
        <v>0.34512457087742565</v>
      </c>
      <c r="W85" t="e">
        <f t="shared" si="41"/>
        <v>#NUM!</v>
      </c>
      <c r="X85" t="e">
        <f t="shared" si="20"/>
        <v>#NUM!</v>
      </c>
      <c r="Y85">
        <v>4.4999999999999998E-2</v>
      </c>
      <c r="Z85">
        <f t="shared" si="21"/>
        <v>0.21213203435596426</v>
      </c>
      <c r="AA85">
        <f t="shared" si="22"/>
        <v>32404.671524469715</v>
      </c>
      <c r="AB85">
        <f t="shared" si="23"/>
        <v>0.52023928385707674</v>
      </c>
      <c r="AC85" t="e">
        <f t="shared" si="42"/>
        <v>#NUM!</v>
      </c>
      <c r="AD85" t="e">
        <f t="shared" si="24"/>
        <v>#NUM!</v>
      </c>
      <c r="AE85" t="e">
        <f t="shared" si="25"/>
        <v>#NUM!</v>
      </c>
      <c r="AH85">
        <v>45</v>
      </c>
      <c r="AI85">
        <f t="shared" si="30"/>
        <v>101.56138352336814</v>
      </c>
      <c r="AJ85">
        <f t="shared" si="27"/>
        <v>36</v>
      </c>
      <c r="AN85">
        <f t="shared" si="43"/>
        <v>5.2605154510271983E-4</v>
      </c>
      <c r="AO85">
        <f t="shared" si="31"/>
        <v>1.1792191666919428E-8</v>
      </c>
      <c r="AP85">
        <f t="shared" si="32"/>
        <v>4.30971949487876E-5</v>
      </c>
      <c r="AQ85">
        <f t="shared" si="33"/>
        <v>3.4238719122007719E-4</v>
      </c>
      <c r="AR85">
        <f t="shared" si="29"/>
        <v>31.034454354255502</v>
      </c>
      <c r="AS85">
        <f t="shared" si="34"/>
        <v>1.6099833638420057E-2</v>
      </c>
    </row>
    <row r="86" spans="2:45">
      <c r="B86">
        <v>0.52</v>
      </c>
      <c r="C86">
        <f t="shared" si="8"/>
        <v>1.1735982096033652</v>
      </c>
      <c r="D86">
        <f t="shared" si="9"/>
        <v>0.41600000000000004</v>
      </c>
      <c r="E86">
        <f t="shared" si="35"/>
        <v>90272.543999999994</v>
      </c>
      <c r="F86">
        <f t="shared" si="36"/>
        <v>1.0342273514909376E-2</v>
      </c>
      <c r="G86">
        <f t="shared" si="10"/>
        <v>2.521046325634308E-3</v>
      </c>
      <c r="H86">
        <f t="shared" si="11"/>
        <v>4.1776774862552747E-2</v>
      </c>
      <c r="I86">
        <f t="shared" si="12"/>
        <v>24.236513259291122</v>
      </c>
      <c r="J86">
        <f t="shared" si="38"/>
        <v>7.7342759977444503E-6</v>
      </c>
      <c r="K86">
        <f t="shared" si="39"/>
        <v>9.19610673341376E-4</v>
      </c>
      <c r="L86">
        <f t="shared" si="40"/>
        <v>83.015594972078986</v>
      </c>
      <c r="M86">
        <f t="shared" si="17"/>
        <v>5.9026278521746923E-7</v>
      </c>
      <c r="N86">
        <f t="shared" si="37"/>
        <v>5.1327829743384379E-3</v>
      </c>
      <c r="O86">
        <f t="shared" si="16"/>
        <v>0.3450272819325052</v>
      </c>
      <c r="W86" t="e">
        <f t="shared" si="41"/>
        <v>#NUM!</v>
      </c>
      <c r="X86" t="e">
        <f t="shared" si="20"/>
        <v>#NUM!</v>
      </c>
      <c r="Y86">
        <v>4.5999999999999999E-2</v>
      </c>
      <c r="Z86">
        <f t="shared" si="21"/>
        <v>0.21447610589527216</v>
      </c>
      <c r="AA86">
        <f t="shared" si="22"/>
        <v>33124.775336124607</v>
      </c>
      <c r="AB86">
        <f t="shared" si="23"/>
        <v>0.52598795874543891</v>
      </c>
      <c r="AC86" t="e">
        <f t="shared" si="42"/>
        <v>#NUM!</v>
      </c>
      <c r="AD86" t="e">
        <f t="shared" si="24"/>
        <v>#NUM!</v>
      </c>
      <c r="AE86" t="e">
        <f t="shared" si="25"/>
        <v>#NUM!</v>
      </c>
      <c r="AH86">
        <v>46</v>
      </c>
      <c r="AI86">
        <f t="shared" si="30"/>
        <v>103.81830315722077</v>
      </c>
      <c r="AJ86">
        <f t="shared" si="27"/>
        <v>36.799999999999997</v>
      </c>
      <c r="AN86">
        <f t="shared" si="43"/>
        <v>4.5529626122235988E-4</v>
      </c>
      <c r="AO86">
        <f t="shared" si="31"/>
        <v>1.0206111601701528E-8</v>
      </c>
      <c r="AP86">
        <f t="shared" si="32"/>
        <v>3.7300511541169658E-5</v>
      </c>
      <c r="AQ86">
        <f t="shared" si="33"/>
        <v>2.9633523464413843E-4</v>
      </c>
      <c r="AR86">
        <f t="shared" si="29"/>
        <v>26.860240537473207</v>
      </c>
      <c r="AS86">
        <f t="shared" si="34"/>
        <v>1.4978015654894769E-2</v>
      </c>
    </row>
    <row r="87" spans="2:45">
      <c r="B87">
        <v>0.53</v>
      </c>
      <c r="C87">
        <f t="shared" si="8"/>
        <v>1.1961674059418914</v>
      </c>
      <c r="D87">
        <f t="shared" si="9"/>
        <v>0.42399999999999999</v>
      </c>
      <c r="E87">
        <f t="shared" si="35"/>
        <v>90088.116000000009</v>
      </c>
      <c r="F87">
        <f t="shared" si="36"/>
        <v>1.0349326256796972E-2</v>
      </c>
      <c r="G87">
        <f t="shared" si="10"/>
        <v>2.5201871721594682E-3</v>
      </c>
      <c r="H87">
        <f t="shared" si="11"/>
        <v>4.186230009469713E-2</v>
      </c>
      <c r="I87">
        <f t="shared" si="12"/>
        <v>24.269579906539629</v>
      </c>
      <c r="J87">
        <f t="shared" si="38"/>
        <v>7.7320934526751416E-6</v>
      </c>
      <c r="K87">
        <f t="shared" si="39"/>
        <v>9.2031712068915965E-4</v>
      </c>
      <c r="L87">
        <f t="shared" si="40"/>
        <v>82.909635525431028</v>
      </c>
      <c r="M87">
        <f t="shared" si="17"/>
        <v>5.8988596512530325E-7</v>
      </c>
      <c r="N87">
        <f t="shared" si="37"/>
        <v>5.1367355011142282E-3</v>
      </c>
      <c r="O87">
        <f t="shared" si="16"/>
        <v>0.34492991824996033</v>
      </c>
      <c r="W87" t="e">
        <f t="shared" si="41"/>
        <v>#NUM!</v>
      </c>
      <c r="X87" t="e">
        <f t="shared" si="20"/>
        <v>#NUM!</v>
      </c>
      <c r="Y87">
        <v>4.7E-2</v>
      </c>
      <c r="Z87">
        <f t="shared" si="21"/>
        <v>0.216794833886788</v>
      </c>
      <c r="AA87">
        <f t="shared" si="22"/>
        <v>33844.879147779488</v>
      </c>
      <c r="AB87">
        <f t="shared" si="23"/>
        <v>0.53167448031879705</v>
      </c>
      <c r="AC87" t="e">
        <f t="shared" si="42"/>
        <v>#NUM!</v>
      </c>
      <c r="AD87" t="e">
        <f t="shared" si="24"/>
        <v>#NUM!</v>
      </c>
      <c r="AE87" t="e">
        <f t="shared" si="25"/>
        <v>#NUM!</v>
      </c>
      <c r="AH87">
        <v>47</v>
      </c>
      <c r="AI87">
        <f t="shared" si="30"/>
        <v>106.0752227910734</v>
      </c>
      <c r="AJ87">
        <f t="shared" si="27"/>
        <v>37.6</v>
      </c>
      <c r="AN87">
        <f t="shared" si="43"/>
        <v>3.9405774474549223E-4</v>
      </c>
      <c r="AO87">
        <f t="shared" si="31"/>
        <v>8.8333633788025377E-9</v>
      </c>
      <c r="AP87">
        <f t="shared" si="32"/>
        <v>3.2283496939562995E-5</v>
      </c>
      <c r="AQ87">
        <f t="shared" si="33"/>
        <v>2.564773845034173E-4</v>
      </c>
      <c r="AR87">
        <f t="shared" si="29"/>
        <v>23.247469199728048</v>
      </c>
      <c r="AS87">
        <f t="shared" si="34"/>
        <v>1.3934364664670447E-2</v>
      </c>
    </row>
    <row r="88" spans="2:45">
      <c r="B88">
        <v>0.54</v>
      </c>
      <c r="C88">
        <f t="shared" si="8"/>
        <v>1.2187366022804178</v>
      </c>
      <c r="D88">
        <f t="shared" si="9"/>
        <v>0.43200000000000005</v>
      </c>
      <c r="E88">
        <f t="shared" si="35"/>
        <v>89903.687999999995</v>
      </c>
      <c r="F88">
        <f t="shared" si="36"/>
        <v>1.0356398276128274E-2</v>
      </c>
      <c r="G88">
        <f t="shared" si="10"/>
        <v>2.519326551719494E-3</v>
      </c>
      <c r="H88">
        <f t="shared" si="11"/>
        <v>4.1948176218954303E-2</v>
      </c>
      <c r="I88">
        <f t="shared" si="12"/>
        <v>24.302759569789298</v>
      </c>
      <c r="J88">
        <f t="shared" si="38"/>
        <v>7.7299092269254171E-6</v>
      </c>
      <c r="K88">
        <f t="shared" si="39"/>
        <v>9.2102581577328357E-4</v>
      </c>
      <c r="L88">
        <f t="shared" si="40"/>
        <v>82.80361758122676</v>
      </c>
      <c r="M88">
        <f t="shared" si="17"/>
        <v>5.8950869593342705E-7</v>
      </c>
      <c r="N88">
        <f t="shared" si="37"/>
        <v>5.1407006286660834E-3</v>
      </c>
      <c r="O88">
        <f t="shared" si="16"/>
        <v>0.34483247959199492</v>
      </c>
      <c r="W88" t="e">
        <f t="shared" si="41"/>
        <v>#NUM!</v>
      </c>
      <c r="X88" t="e">
        <f t="shared" si="20"/>
        <v>#NUM!</v>
      </c>
      <c r="Y88">
        <v>4.8000000000000001E-2</v>
      </c>
      <c r="Z88">
        <f t="shared" si="21"/>
        <v>0.21908902300206645</v>
      </c>
      <c r="AA88">
        <f t="shared" si="22"/>
        <v>34564.982959434368</v>
      </c>
      <c r="AB88">
        <f t="shared" si="23"/>
        <v>0.53730082197902163</v>
      </c>
      <c r="AC88" t="e">
        <f t="shared" si="42"/>
        <v>#NUM!</v>
      </c>
      <c r="AD88" t="e">
        <f t="shared" si="24"/>
        <v>#NUM!</v>
      </c>
      <c r="AE88" t="e">
        <f t="shared" si="25"/>
        <v>#NUM!</v>
      </c>
      <c r="AH88">
        <v>48</v>
      </c>
      <c r="AI88">
        <f t="shared" si="30"/>
        <v>108.33214242492602</v>
      </c>
      <c r="AJ88">
        <f t="shared" si="27"/>
        <v>38.4</v>
      </c>
      <c r="AN88">
        <f t="shared" si="43"/>
        <v>3.4105596601432739E-4</v>
      </c>
      <c r="AO88">
        <f t="shared" si="31"/>
        <v>7.6452533175280147E-9</v>
      </c>
      <c r="AP88">
        <f t="shared" si="32"/>
        <v>2.794128368712694E-5</v>
      </c>
      <c r="AQ88">
        <f t="shared" si="33"/>
        <v>2.2198051757398387E-4</v>
      </c>
      <c r="AR88">
        <f t="shared" si="29"/>
        <v>20.120624885630502</v>
      </c>
      <c r="AS88">
        <f t="shared" si="34"/>
        <v>1.2963434081106956E-2</v>
      </c>
    </row>
    <row r="89" spans="2:45">
      <c r="B89">
        <v>0.55000000000000004</v>
      </c>
      <c r="C89">
        <f t="shared" si="8"/>
        <v>1.241305798618944</v>
      </c>
      <c r="D89">
        <f t="shared" si="9"/>
        <v>0.44</v>
      </c>
      <c r="E89">
        <f t="shared" si="35"/>
        <v>89719.26</v>
      </c>
      <c r="F89">
        <f t="shared" si="36"/>
        <v>1.0363489665302919E-2</v>
      </c>
      <c r="G89">
        <f t="shared" si="10"/>
        <v>2.5184644587925627E-3</v>
      </c>
      <c r="H89">
        <f t="shared" si="11"/>
        <v>4.2034405399218482E-2</v>
      </c>
      <c r="I89">
        <f t="shared" si="12"/>
        <v>24.336052868340371</v>
      </c>
      <c r="J89">
        <f t="shared" si="38"/>
        <v>7.7277233151372156E-6</v>
      </c>
      <c r="K89">
        <f t="shared" si="39"/>
        <v>9.2173677019895999E-4</v>
      </c>
      <c r="L89">
        <f t="shared" si="40"/>
        <v>82.697540937040742</v>
      </c>
      <c r="M89">
        <f t="shared" si="17"/>
        <v>5.8913097605802221E-7</v>
      </c>
      <c r="N89">
        <f t="shared" si="37"/>
        <v>5.1446784221859275E-3</v>
      </c>
      <c r="O89">
        <f t="shared" si="16"/>
        <v>0.34473496571958495</v>
      </c>
      <c r="W89" t="e">
        <f t="shared" si="41"/>
        <v>#NUM!</v>
      </c>
      <c r="X89" t="e">
        <f t="shared" si="20"/>
        <v>#NUM!</v>
      </c>
      <c r="Y89">
        <v>4.9000000000000002E-2</v>
      </c>
      <c r="Z89">
        <f t="shared" si="21"/>
        <v>0.22135943621178655</v>
      </c>
      <c r="AA89">
        <f t="shared" si="22"/>
        <v>35285.086771089256</v>
      </c>
      <c r="AB89">
        <f t="shared" si="23"/>
        <v>0.54286885485944192</v>
      </c>
      <c r="AC89" t="e">
        <f t="shared" si="42"/>
        <v>#NUM!</v>
      </c>
      <c r="AD89" t="e">
        <f t="shared" si="24"/>
        <v>#NUM!</v>
      </c>
      <c r="AE89" t="e">
        <f t="shared" si="25"/>
        <v>#NUM!</v>
      </c>
      <c r="AH89">
        <v>49</v>
      </c>
      <c r="AI89">
        <f t="shared" si="30"/>
        <v>110.58906205877864</v>
      </c>
      <c r="AJ89">
        <f t="shared" si="27"/>
        <v>39.199999999999996</v>
      </c>
      <c r="AN89">
        <f t="shared" si="43"/>
        <v>2.9518306264756332E-4</v>
      </c>
      <c r="AO89">
        <f t="shared" si="31"/>
        <v>6.6169471109312301E-9</v>
      </c>
      <c r="AP89">
        <f t="shared" si="32"/>
        <v>2.4183109269297992E-5</v>
      </c>
      <c r="AQ89">
        <f t="shared" si="33"/>
        <v>1.9212356784524518E-4</v>
      </c>
      <c r="AR89">
        <f t="shared" si="29"/>
        <v>17.414349162488005</v>
      </c>
      <c r="AS89">
        <f t="shared" si="34"/>
        <v>1.2060156829488218E-2</v>
      </c>
    </row>
    <row r="90" spans="2:45">
      <c r="B90">
        <v>0.56000000000000005</v>
      </c>
      <c r="C90">
        <f t="shared" si="8"/>
        <v>1.2638749949574704</v>
      </c>
      <c r="D90">
        <f t="shared" si="9"/>
        <v>0.44800000000000006</v>
      </c>
      <c r="E90">
        <f t="shared" si="35"/>
        <v>89534.831999999995</v>
      </c>
      <c r="F90">
        <f t="shared" si="36"/>
        <v>1.037060051735454E-2</v>
      </c>
      <c r="G90">
        <f t="shared" si="10"/>
        <v>2.5176008878246637E-3</v>
      </c>
      <c r="H90">
        <f t="shared" si="11"/>
        <v>4.2120989817213114E-2</v>
      </c>
      <c r="I90">
        <f t="shared" si="12"/>
        <v>24.369460426168946</v>
      </c>
      <c r="J90">
        <f t="shared" si="38"/>
        <v>7.7255357119247563E-6</v>
      </c>
      <c r="K90">
        <f t="shared" si="39"/>
        <v>9.224499956552529E-4</v>
      </c>
      <c r="L90">
        <f t="shared" si="40"/>
        <v>82.591405389393799</v>
      </c>
      <c r="M90">
        <f t="shared" si="17"/>
        <v>5.8875280390641735E-7</v>
      </c>
      <c r="N90">
        <f t="shared" si="37"/>
        <v>5.1486689473372741E-3</v>
      </c>
      <c r="O90">
        <f t="shared" si="16"/>
        <v>0.34463737639246994</v>
      </c>
      <c r="W90" t="e">
        <f t="shared" si="41"/>
        <v>#NUM!</v>
      </c>
      <c r="X90" t="e">
        <f t="shared" si="20"/>
        <v>#NUM!</v>
      </c>
      <c r="Y90">
        <v>0.05</v>
      </c>
      <c r="Z90">
        <f t="shared" si="21"/>
        <v>0.22360679774997896</v>
      </c>
      <c r="AA90">
        <f t="shared" si="22"/>
        <v>36005.190582744137</v>
      </c>
      <c r="AB90">
        <f t="shared" si="23"/>
        <v>0.54838035509440997</v>
      </c>
      <c r="AC90" t="e">
        <f t="shared" si="42"/>
        <v>#NUM!</v>
      </c>
      <c r="AD90" t="e">
        <f t="shared" si="24"/>
        <v>#NUM!</v>
      </c>
      <c r="AE90" t="e">
        <f t="shared" si="25"/>
        <v>#NUM!</v>
      </c>
      <c r="AH90">
        <v>50</v>
      </c>
      <c r="AI90">
        <f t="shared" si="30"/>
        <v>112.84598169263127</v>
      </c>
      <c r="AJ90">
        <f t="shared" si="27"/>
        <v>40</v>
      </c>
      <c r="AN90">
        <f t="shared" si="43"/>
        <v>2.5548018259951758E-4</v>
      </c>
      <c r="AO90">
        <f t="shared" si="31"/>
        <v>5.7269507301319941E-9</v>
      </c>
      <c r="AP90">
        <f t="shared" si="32"/>
        <v>2.0930418962828587E-5</v>
      </c>
      <c r="AQ90">
        <f t="shared" si="33"/>
        <v>1.6628245453696104E-4</v>
      </c>
      <c r="AR90">
        <f t="shared" si="29"/>
        <v>15.072074474666499</v>
      </c>
      <c r="AS90">
        <f t="shared" si="34"/>
        <v>1.1219818903065887E-2</v>
      </c>
    </row>
    <row r="91" spans="2:45">
      <c r="B91">
        <v>0.56999999999999995</v>
      </c>
      <c r="C91">
        <f t="shared" si="8"/>
        <v>1.2864441912959963</v>
      </c>
      <c r="D91">
        <f t="shared" si="9"/>
        <v>0.45599999999999996</v>
      </c>
      <c r="E91">
        <f t="shared" si="35"/>
        <v>89350.40400000001</v>
      </c>
      <c r="F91">
        <f t="shared" si="36"/>
        <v>1.037773092595643E-2</v>
      </c>
      <c r="G91">
        <f t="shared" si="10"/>
        <v>2.516735833229344E-3</v>
      </c>
      <c r="H91">
        <f t="shared" si="11"/>
        <v>4.2207931672674767E-2</v>
      </c>
      <c r="I91">
        <f t="shared" si="12"/>
        <v>24.402982871971972</v>
      </c>
      <c r="J91">
        <f t="shared" si="38"/>
        <v>7.7233464118743363E-6</v>
      </c>
      <c r="K91">
        <f t="shared" si="39"/>
        <v>9.2316550391570212E-4</v>
      </c>
      <c r="L91">
        <f t="shared" si="40"/>
        <v>82.485210733731577</v>
      </c>
      <c r="M91">
        <f t="shared" si="17"/>
        <v>5.883741778769712E-7</v>
      </c>
      <c r="N91">
        <f t="shared" si="37"/>
        <v>5.1526722702596442E-3</v>
      </c>
      <c r="O91">
        <f t="shared" si="16"/>
        <v>0.34453971136914374</v>
      </c>
      <c r="W91" t="e">
        <f t="shared" si="41"/>
        <v>#NUM!</v>
      </c>
      <c r="X91" t="e">
        <f t="shared" si="20"/>
        <v>#NUM!</v>
      </c>
      <c r="Y91">
        <v>5.0999999999999997E-2</v>
      </c>
      <c r="Z91">
        <f t="shared" si="21"/>
        <v>0.22583179581272428</v>
      </c>
      <c r="AA91">
        <f t="shared" si="22"/>
        <v>36725.294394399018</v>
      </c>
      <c r="AB91">
        <f t="shared" si="23"/>
        <v>0.5538370104376743</v>
      </c>
      <c r="AC91" t="e">
        <f t="shared" si="42"/>
        <v>#NUM!</v>
      </c>
      <c r="AD91" t="e">
        <f t="shared" si="24"/>
        <v>#NUM!</v>
      </c>
      <c r="AE91" t="e">
        <f t="shared" si="25"/>
        <v>#NUM!</v>
      </c>
      <c r="AH91">
        <v>51</v>
      </c>
      <c r="AI91">
        <f t="shared" si="30"/>
        <v>115.1029013264839</v>
      </c>
      <c r="AJ91">
        <f t="shared" si="27"/>
        <v>40.800000000000004</v>
      </c>
      <c r="AN91">
        <f t="shared" si="43"/>
        <v>2.2111744188728293E-4</v>
      </c>
      <c r="AO91">
        <f t="shared" si="31"/>
        <v>4.9566611483378712E-9</v>
      </c>
      <c r="AP91">
        <f t="shared" si="32"/>
        <v>1.8115223856500037E-5</v>
      </c>
      <c r="AQ91">
        <f t="shared" si="33"/>
        <v>1.4391703733666005E-4</v>
      </c>
      <c r="AR91">
        <f t="shared" si="29"/>
        <v>13.044841748047137</v>
      </c>
      <c r="AS91">
        <f t="shared" si="34"/>
        <v>1.0438034761686969E-2</v>
      </c>
    </row>
    <row r="92" spans="2:45">
      <c r="B92">
        <v>0.57999999999999996</v>
      </c>
      <c r="C92">
        <f t="shared" si="8"/>
        <v>1.3090133876345227</v>
      </c>
      <c r="D92">
        <f t="shared" si="9"/>
        <v>0.46399999999999997</v>
      </c>
      <c r="E92">
        <f t="shared" si="35"/>
        <v>89165.975999999995</v>
      </c>
      <c r="F92">
        <f t="shared" si="36"/>
        <v>1.0384880985427279E-2</v>
      </c>
      <c r="G92">
        <f t="shared" si="10"/>
        <v>2.5158692893874511E-3</v>
      </c>
      <c r="H92">
        <f t="shared" si="11"/>
        <v>4.2295233183539505E-2</v>
      </c>
      <c r="I92">
        <f t="shared" si="12"/>
        <v>24.436620839212804</v>
      </c>
      <c r="J92">
        <f t="shared" si="38"/>
        <v>7.7211554095441299E-6</v>
      </c>
      <c r="K92">
        <f t="shared" si="39"/>
        <v>9.2388330683930463E-4</v>
      </c>
      <c r="L92">
        <f t="shared" si="40"/>
        <v>82.378956764434065</v>
      </c>
      <c r="M92">
        <f t="shared" si="17"/>
        <v>5.8799509635906534E-7</v>
      </c>
      <c r="N92">
        <f t="shared" si="37"/>
        <v>5.1566884575729574E-3</v>
      </c>
      <c r="O92">
        <f t="shared" si="16"/>
        <v>0.3444419704068456</v>
      </c>
      <c r="W92" t="e">
        <f t="shared" si="41"/>
        <v>#NUM!</v>
      </c>
      <c r="X92" t="e">
        <f t="shared" si="20"/>
        <v>#NUM!</v>
      </c>
      <c r="Y92">
        <v>5.1999999999999998E-2</v>
      </c>
      <c r="Z92">
        <f t="shared" si="21"/>
        <v>0.22803508501982758</v>
      </c>
      <c r="AA92">
        <f t="shared" si="22"/>
        <v>37445.398206053898</v>
      </c>
      <c r="AB92">
        <f t="shared" si="23"/>
        <v>0.55924042629946746</v>
      </c>
      <c r="AC92" t="e">
        <f t="shared" si="42"/>
        <v>#NUM!</v>
      </c>
      <c r="AD92" t="e">
        <f t="shared" si="24"/>
        <v>#NUM!</v>
      </c>
      <c r="AE92" t="e">
        <f t="shared" si="25"/>
        <v>#NUM!</v>
      </c>
      <c r="AH92">
        <v>52</v>
      </c>
      <c r="AI92">
        <f t="shared" si="30"/>
        <v>117.35982096033652</v>
      </c>
      <c r="AJ92">
        <f t="shared" si="27"/>
        <v>41.6</v>
      </c>
      <c r="AN92">
        <f t="shared" si="43"/>
        <v>1.9137657805505404E-4</v>
      </c>
      <c r="AO92">
        <f t="shared" si="31"/>
        <v>4.2899774936383807E-9</v>
      </c>
      <c r="AP92">
        <f t="shared" si="32"/>
        <v>1.567867972226934E-5</v>
      </c>
      <c r="AQ92">
        <f t="shared" si="33"/>
        <v>1.245598261911474E-4</v>
      </c>
      <c r="AR92">
        <f t="shared" si="29"/>
        <v>11.290277029722267</v>
      </c>
      <c r="AS92">
        <f t="shared" si="34"/>
        <v>9.7107244446176053E-3</v>
      </c>
    </row>
    <row r="93" spans="2:45">
      <c r="B93">
        <v>0.59</v>
      </c>
      <c r="C93">
        <f t="shared" si="8"/>
        <v>1.3315825839730489</v>
      </c>
      <c r="D93">
        <f t="shared" si="9"/>
        <v>0.47199999999999998</v>
      </c>
      <c r="E93">
        <f t="shared" si="35"/>
        <v>88981.547999999995</v>
      </c>
      <c r="F93">
        <f t="shared" si="36"/>
        <v>1.0392050790736953E-2</v>
      </c>
      <c r="G93">
        <f t="shared" si="10"/>
        <v>2.5150012506468741E-3</v>
      </c>
      <c r="H93">
        <f t="shared" si="11"/>
        <v>4.2382896586131397E-2</v>
      </c>
      <c r="I93">
        <f t="shared" si="12"/>
        <v>24.470374966167274</v>
      </c>
      <c r="J93">
        <f t="shared" si="38"/>
        <v>7.7189626994639831E-6</v>
      </c>
      <c r="K93">
        <f t="shared" si="39"/>
        <v>9.2460341637106737E-4</v>
      </c>
      <c r="L93">
        <f t="shared" si="40"/>
        <v>82.272643274786105</v>
      </c>
      <c r="M93">
        <f t="shared" si="17"/>
        <v>5.8761555773295772E-7</v>
      </c>
      <c r="N93">
        <f t="shared" si="37"/>
        <v>5.1607175763820805E-3</v>
      </c>
      <c r="O93">
        <f t="shared" si="16"/>
        <v>0.3443441532615511</v>
      </c>
      <c r="W93" t="e">
        <f t="shared" si="41"/>
        <v>#NUM!</v>
      </c>
      <c r="X93" t="e">
        <f t="shared" si="20"/>
        <v>#NUM!</v>
      </c>
      <c r="Y93">
        <v>5.2999999999999999E-2</v>
      </c>
      <c r="Z93">
        <f t="shared" si="21"/>
        <v>0.23021728866442676</v>
      </c>
      <c r="AA93">
        <f t="shared" si="22"/>
        <v>38165.502017708779</v>
      </c>
      <c r="AB93">
        <f t="shared" si="23"/>
        <v>0.56459213126351615</v>
      </c>
      <c r="AC93" t="e">
        <f t="shared" si="42"/>
        <v>#NUM!</v>
      </c>
      <c r="AD93" t="e">
        <f t="shared" si="24"/>
        <v>#NUM!</v>
      </c>
      <c r="AE93" t="e">
        <f t="shared" si="25"/>
        <v>#NUM!</v>
      </c>
      <c r="AH93">
        <v>53</v>
      </c>
      <c r="AI93">
        <f t="shared" si="30"/>
        <v>119.61674059418914</v>
      </c>
      <c r="AJ93">
        <f t="shared" si="27"/>
        <v>42.4</v>
      </c>
      <c r="AN93">
        <f t="shared" si="43"/>
        <v>1.6563593679205183E-4</v>
      </c>
      <c r="AO93">
        <f t="shared" si="31"/>
        <v>3.7129645027470298E-9</v>
      </c>
      <c r="AP93">
        <f t="shared" si="32"/>
        <v>1.3569857031896301E-5</v>
      </c>
      <c r="AQ93">
        <f t="shared" si="33"/>
        <v>1.078062096600487E-4</v>
      </c>
      <c r="AR93">
        <f t="shared" si="29"/>
        <v>9.7717057722803382</v>
      </c>
      <c r="AS93">
        <f t="shared" si="34"/>
        <v>9.0340922781190474E-3</v>
      </c>
    </row>
    <row r="94" spans="2:45">
      <c r="B94">
        <v>0.6</v>
      </c>
      <c r="C94">
        <f t="shared" si="8"/>
        <v>1.3541517803115752</v>
      </c>
      <c r="D94">
        <f t="shared" si="9"/>
        <v>0.48</v>
      </c>
      <c r="E94">
        <f t="shared" si="35"/>
        <v>88797.119999999995</v>
      </c>
      <c r="F94">
        <f t="shared" si="36"/>
        <v>1.0399240437512365E-2</v>
      </c>
      <c r="G94">
        <f t="shared" si="10"/>
        <v>2.5141317113222812E-3</v>
      </c>
      <c r="H94">
        <f t="shared" si="11"/>
        <v>4.2470924135353562E-2</v>
      </c>
      <c r="I94">
        <f t="shared" si="12"/>
        <v>24.50424589597036</v>
      </c>
      <c r="J94">
        <f t="shared" si="38"/>
        <v>7.7167682761352086E-6</v>
      </c>
      <c r="K94">
        <f t="shared" si="39"/>
        <v>9.2532584454305751E-4</v>
      </c>
      <c r="L94">
        <f t="shared" si="40"/>
        <v>82.166270056991223</v>
      </c>
      <c r="M94">
        <f t="shared" si="17"/>
        <v>5.872355603697897E-7</v>
      </c>
      <c r="N94">
        <f t="shared" si="37"/>
        <v>5.1647596942813205E-3</v>
      </c>
      <c r="O94">
        <f t="shared" si="16"/>
        <v>0.34424625968796296</v>
      </c>
      <c r="W94" t="e">
        <f t="shared" si="41"/>
        <v>#NUM!</v>
      </c>
      <c r="X94" t="e">
        <f t="shared" si="20"/>
        <v>#NUM!</v>
      </c>
      <c r="Y94">
        <v>5.3999999999999999E-2</v>
      </c>
      <c r="Z94">
        <f t="shared" si="21"/>
        <v>0.232379000772445</v>
      </c>
      <c r="AA94">
        <f t="shared" si="22"/>
        <v>38885.605829363667</v>
      </c>
      <c r="AB94">
        <f t="shared" si="23"/>
        <v>0.56989358213770835</v>
      </c>
      <c r="AC94" t="e">
        <f t="shared" si="42"/>
        <v>#NUM!</v>
      </c>
      <c r="AD94" t="e">
        <f t="shared" si="24"/>
        <v>#NUM!</v>
      </c>
      <c r="AE94" t="e">
        <f t="shared" si="25"/>
        <v>#NUM!</v>
      </c>
      <c r="AH94">
        <v>54</v>
      </c>
      <c r="AI94">
        <f t="shared" si="30"/>
        <v>121.87366022804177</v>
      </c>
      <c r="AJ94">
        <f t="shared" si="27"/>
        <v>43.2</v>
      </c>
      <c r="AN94">
        <f t="shared" si="43"/>
        <v>1.4335747788889888E-4</v>
      </c>
      <c r="AO94">
        <f t="shared" si="31"/>
        <v>3.213561241079452E-9</v>
      </c>
      <c r="AP94">
        <f t="shared" si="32"/>
        <v>1.1744676409491403E-5</v>
      </c>
      <c r="AQ94">
        <f t="shared" si="33"/>
        <v>9.3305997580884003E-5</v>
      </c>
      <c r="AR94">
        <f t="shared" si="29"/>
        <v>8.4573862491279392</v>
      </c>
      <c r="AS94">
        <f t="shared" si="34"/>
        <v>8.4046070666548116E-3</v>
      </c>
    </row>
    <row r="95" spans="2:45">
      <c r="B95">
        <v>0.61</v>
      </c>
      <c r="C95">
        <f t="shared" si="8"/>
        <v>1.3767209766501014</v>
      </c>
      <c r="D95">
        <f t="shared" si="9"/>
        <v>0.48799999999999999</v>
      </c>
      <c r="E95">
        <f t="shared" si="35"/>
        <v>88612.691999999995</v>
      </c>
      <c r="F95">
        <f t="shared" si="36"/>
        <v>1.0406450022043387E-2</v>
      </c>
      <c r="G95">
        <f t="shared" si="10"/>
        <v>2.5132606656948549E-3</v>
      </c>
      <c r="H95">
        <f t="shared" si="11"/>
        <v>4.2559318104881484E-2</v>
      </c>
      <c r="I95">
        <f t="shared" si="12"/>
        <v>24.538234276663331</v>
      </c>
      <c r="J95">
        <f t="shared" si="38"/>
        <v>7.7145721340303743E-6</v>
      </c>
      <c r="K95">
        <f t="shared" si="39"/>
        <v>9.2605060347501821E-4</v>
      </c>
      <c r="L95">
        <f t="shared" si="40"/>
        <v>82.059836902145918</v>
      </c>
      <c r="M95">
        <f t="shared" si="17"/>
        <v>5.8685510263145228E-7</v>
      </c>
      <c r="N95">
        <f t="shared" si="37"/>
        <v>5.1688148793590464E-3</v>
      </c>
      <c r="O95">
        <f t="shared" si="16"/>
        <v>0.34414828943950149</v>
      </c>
      <c r="W95" t="e">
        <f t="shared" si="41"/>
        <v>#NUM!</v>
      </c>
      <c r="X95" t="e">
        <f t="shared" si="20"/>
        <v>#NUM!</v>
      </c>
      <c r="Y95">
        <v>5.5E-2</v>
      </c>
      <c r="Z95">
        <f t="shared" si="21"/>
        <v>0.23452078799117149</v>
      </c>
      <c r="AA95">
        <f t="shared" si="22"/>
        <v>39605.709641018548</v>
      </c>
      <c r="AB95">
        <f t="shared" si="23"/>
        <v>0.57514616858570689</v>
      </c>
      <c r="AC95" t="e">
        <f t="shared" si="42"/>
        <v>#NUM!</v>
      </c>
      <c r="AD95" t="e">
        <f t="shared" si="24"/>
        <v>#NUM!</v>
      </c>
      <c r="AE95" t="e">
        <f t="shared" si="25"/>
        <v>#NUM!</v>
      </c>
      <c r="AH95">
        <v>55</v>
      </c>
      <c r="AI95">
        <f t="shared" si="30"/>
        <v>124.1305798618944</v>
      </c>
      <c r="AJ95">
        <f t="shared" si="27"/>
        <v>44</v>
      </c>
      <c r="AN95">
        <f t="shared" si="43"/>
        <v>1.2407552892623432E-4</v>
      </c>
      <c r="AO95">
        <f t="shared" si="31"/>
        <v>2.7813290007291267E-9</v>
      </c>
      <c r="AP95">
        <f t="shared" si="32"/>
        <v>1.0164987268431485E-5</v>
      </c>
      <c r="AQ95">
        <f t="shared" si="33"/>
        <v>8.075610126742157E-5</v>
      </c>
      <c r="AR95">
        <f t="shared" si="29"/>
        <v>7.3198460774208653</v>
      </c>
      <c r="AS95">
        <f t="shared" si="34"/>
        <v>7.8189836643522172E-3</v>
      </c>
    </row>
    <row r="96" spans="2:45">
      <c r="B96">
        <v>0.62</v>
      </c>
      <c r="C96">
        <f t="shared" si="8"/>
        <v>1.3992901729886278</v>
      </c>
      <c r="D96">
        <f t="shared" si="9"/>
        <v>0.496</v>
      </c>
      <c r="E96">
        <f t="shared" si="35"/>
        <v>88428.263999999996</v>
      </c>
      <c r="F96">
        <f t="shared" si="36"/>
        <v>1.0413679641288849E-2</v>
      </c>
      <c r="G96">
        <f t="shared" si="10"/>
        <v>2.5123881080120233E-3</v>
      </c>
      <c r="H96">
        <f t="shared" si="11"/>
        <v>4.2648080787358746E-2</v>
      </c>
      <c r="I96">
        <f t="shared" si="12"/>
        <v>24.572340761241477</v>
      </c>
      <c r="J96">
        <f t="shared" si="38"/>
        <v>7.7123742675930984E-6</v>
      </c>
      <c r="K96">
        <f t="shared" si="39"/>
        <v>9.2677770537535171E-4</v>
      </c>
      <c r="L96">
        <f t="shared" si="40"/>
        <v>81.953343600245816</v>
      </c>
      <c r="M96">
        <f t="shared" si="17"/>
        <v>5.8647418287056486E-7</v>
      </c>
      <c r="N96">
        <f t="shared" si="37"/>
        <v>5.1728832002023101E-3</v>
      </c>
      <c r="O96">
        <f t="shared" si="16"/>
        <v>0.34405024226829567</v>
      </c>
      <c r="W96" t="e">
        <f t="shared" si="41"/>
        <v>#NUM!</v>
      </c>
      <c r="X96" t="e">
        <f t="shared" si="20"/>
        <v>#NUM!</v>
      </c>
      <c r="Y96">
        <v>5.6000000000000001E-2</v>
      </c>
      <c r="Z96">
        <f t="shared" si="21"/>
        <v>0.23664319132398465</v>
      </c>
      <c r="AA96">
        <f t="shared" si="22"/>
        <v>40325.813452673428</v>
      </c>
      <c r="AB96">
        <f t="shared" si="23"/>
        <v>0.58035121738124029</v>
      </c>
      <c r="AC96" t="e">
        <f t="shared" si="42"/>
        <v>#NUM!</v>
      </c>
      <c r="AD96" t="e">
        <f t="shared" si="24"/>
        <v>#NUM!</v>
      </c>
      <c r="AE96" t="e">
        <f t="shared" si="25"/>
        <v>#NUM!</v>
      </c>
      <c r="AH96">
        <v>56</v>
      </c>
      <c r="AI96">
        <f t="shared" si="30"/>
        <v>126.38749949574702</v>
      </c>
      <c r="AJ96">
        <f t="shared" si="27"/>
        <v>44.800000000000004</v>
      </c>
      <c r="AN96">
        <f t="shared" si="43"/>
        <v>1.0738705162109261E-4</v>
      </c>
      <c r="AO96">
        <f t="shared" si="31"/>
        <v>2.4072331068128013E-9</v>
      </c>
      <c r="AP96">
        <f t="shared" si="32"/>
        <v>8.7977703739773336E-6</v>
      </c>
      <c r="AQ96">
        <f t="shared" si="33"/>
        <v>6.9894198240158249E-5</v>
      </c>
      <c r="AR96">
        <f t="shared" si="29"/>
        <v>6.3353079803654797</v>
      </c>
      <c r="AS96">
        <f t="shared" si="34"/>
        <v>7.2741658305437284E-3</v>
      </c>
    </row>
    <row r="97" spans="2:45">
      <c r="B97">
        <v>0.63</v>
      </c>
      <c r="C97">
        <f t="shared" si="8"/>
        <v>1.421859369327154</v>
      </c>
      <c r="D97">
        <f t="shared" si="9"/>
        <v>0.504</v>
      </c>
      <c r="E97">
        <f t="shared" si="35"/>
        <v>88243.835999999996</v>
      </c>
      <c r="F97">
        <f t="shared" si="36"/>
        <v>1.0420929392882573E-2</v>
      </c>
      <c r="G97">
        <f t="shared" si="10"/>
        <v>2.5115140324871946E-3</v>
      </c>
      <c r="H97">
        <f t="shared" si="11"/>
        <v>4.2737214494595263E-2</v>
      </c>
      <c r="I97">
        <f t="shared" si="12"/>
        <v>24.60656600770244</v>
      </c>
      <c r="J97">
        <f t="shared" si="38"/>
        <v>7.7101746712378354E-6</v>
      </c>
      <c r="K97">
        <f t="shared" si="39"/>
        <v>9.2750716254180212E-4</v>
      </c>
      <c r="L97">
        <f t="shared" si="40"/>
        <v>81.846789940164129</v>
      </c>
      <c r="M97">
        <f t="shared" si="17"/>
        <v>5.8609279943035565E-7</v>
      </c>
      <c r="N97">
        <f t="shared" si="37"/>
        <v>5.1769647259015871E-3</v>
      </c>
      <c r="O97">
        <f t="shared" si="16"/>
        <v>0.34395211792517338</v>
      </c>
      <c r="W97" t="e">
        <f t="shared" si="41"/>
        <v>#NUM!</v>
      </c>
      <c r="X97" t="e">
        <f t="shared" si="20"/>
        <v>#NUM!</v>
      </c>
      <c r="Y97">
        <v>5.7000000000000002E-2</v>
      </c>
      <c r="Z97">
        <f t="shared" si="21"/>
        <v>0.23874672772626646</v>
      </c>
      <c r="AA97">
        <f t="shared" si="22"/>
        <v>41045.917264328316</v>
      </c>
      <c r="AB97">
        <f t="shared" si="23"/>
        <v>0.58550999632197331</v>
      </c>
      <c r="AC97" t="e">
        <f t="shared" si="42"/>
        <v>#NUM!</v>
      </c>
      <c r="AD97" t="e">
        <f t="shared" si="24"/>
        <v>#NUM!</v>
      </c>
      <c r="AE97" t="e">
        <f t="shared" si="25"/>
        <v>#NUM!</v>
      </c>
      <c r="AH97">
        <v>57</v>
      </c>
      <c r="AI97">
        <f t="shared" si="30"/>
        <v>128.64441912959964</v>
      </c>
      <c r="AJ97">
        <f t="shared" si="27"/>
        <v>45.6</v>
      </c>
      <c r="AN97">
        <f t="shared" si="43"/>
        <v>9.294321737469456E-5</v>
      </c>
      <c r="AO97">
        <f t="shared" si="31"/>
        <v>2.0834540714228718E-9</v>
      </c>
      <c r="AP97">
        <f t="shared" si="32"/>
        <v>7.6144476632657618E-6</v>
      </c>
      <c r="AQ97">
        <f t="shared" si="33"/>
        <v>6.0493249066809303E-5</v>
      </c>
      <c r="AR97">
        <f t="shared" si="29"/>
        <v>5.4831927859642882</v>
      </c>
      <c r="AS97">
        <f t="shared" si="34"/>
        <v>6.767310279913983E-3</v>
      </c>
    </row>
    <row r="98" spans="2:45">
      <c r="B98">
        <v>0.64</v>
      </c>
      <c r="C98">
        <f t="shared" si="8"/>
        <v>1.4444285656656803</v>
      </c>
      <c r="D98">
        <f t="shared" si="9"/>
        <v>0.51200000000000001</v>
      </c>
      <c r="E98">
        <f t="shared" ref="E98:E129" si="44">$C$13+$C$18*$C$19*($C$3-D98)+4*$C$22/$C$11</f>
        <v>88059.407999999996</v>
      </c>
      <c r="F98">
        <f t="shared" ref="F98:F129" si="45">$C$11*($G$27/E98)^(1/3)</f>
        <v>1.0428199375139516E-2</v>
      </c>
      <c r="G98">
        <f t="shared" si="10"/>
        <v>2.5106384332994778E-3</v>
      </c>
      <c r="H98">
        <f t="shared" si="11"/>
        <v>4.282672155776799E-2</v>
      </c>
      <c r="I98">
        <f t="shared" si="12"/>
        <v>24.640910679095082</v>
      </c>
      <c r="J98">
        <f t="shared" si="38"/>
        <v>7.7079733393496583E-6</v>
      </c>
      <c r="K98">
        <f t="shared" si="39"/>
        <v>9.2823898736245087E-4</v>
      </c>
      <c r="L98">
        <f t="shared" si="40"/>
        <v>81.740175709656896</v>
      </c>
      <c r="M98">
        <f t="shared" si="17"/>
        <v>5.8571095064463609E-7</v>
      </c>
      <c r="N98">
        <f t="shared" ref="N98:N129" si="46">1/2*$G$24*G98*I98*(J98-M98)</f>
        <v>5.1810595260554822E-3</v>
      </c>
      <c r="O98">
        <f t="shared" si="16"/>
        <v>0.34385391615965188</v>
      </c>
      <c r="W98" t="e">
        <f t="shared" si="41"/>
        <v>#NUM!</v>
      </c>
      <c r="X98" t="e">
        <f t="shared" si="20"/>
        <v>#NUM!</v>
      </c>
      <c r="Y98">
        <v>5.8000000000000003E-2</v>
      </c>
      <c r="Z98">
        <f t="shared" si="21"/>
        <v>0.24083189157584592</v>
      </c>
      <c r="AA98">
        <f t="shared" si="22"/>
        <v>41766.021075983197</v>
      </c>
      <c r="AB98">
        <f t="shared" si="23"/>
        <v>0.59062371783566781</v>
      </c>
      <c r="AC98" t="e">
        <f t="shared" si="42"/>
        <v>#NUM!</v>
      </c>
      <c r="AD98" t="e">
        <f t="shared" si="24"/>
        <v>#NUM!</v>
      </c>
      <c r="AE98" t="e">
        <f t="shared" si="25"/>
        <v>#NUM!</v>
      </c>
      <c r="AH98">
        <v>58</v>
      </c>
      <c r="AI98">
        <f t="shared" si="30"/>
        <v>130.90133876345226</v>
      </c>
      <c r="AJ98">
        <f t="shared" si="27"/>
        <v>46.4</v>
      </c>
      <c r="AN98">
        <f t="shared" si="43"/>
        <v>8.0442115930697456E-5</v>
      </c>
      <c r="AO98">
        <f t="shared" si="31"/>
        <v>1.8032241478581918E-9</v>
      </c>
      <c r="AP98">
        <f t="shared" si="32"/>
        <v>6.5902848962857496E-6</v>
      </c>
      <c r="AQ98">
        <f t="shared" si="33"/>
        <v>5.2356751701837913E-5</v>
      </c>
      <c r="AR98">
        <f t="shared" si="29"/>
        <v>4.7456892737069705</v>
      </c>
      <c r="AS98">
        <f t="shared" si="34"/>
        <v>6.2957718440144706E-3</v>
      </c>
    </row>
    <row r="99" spans="2:45">
      <c r="B99">
        <v>0.65</v>
      </c>
      <c r="C99">
        <f t="shared" ref="C99:C134" si="47">B99*$G$18</f>
        <v>1.4669977620042065</v>
      </c>
      <c r="D99">
        <f t="shared" ref="D99:D134" si="48">C99*$G$13</f>
        <v>0.52</v>
      </c>
      <c r="E99">
        <f t="shared" si="44"/>
        <v>87874.98</v>
      </c>
      <c r="F99">
        <f t="shared" si="45"/>
        <v>1.0435489687061948E-2</v>
      </c>
      <c r="G99">
        <f t="shared" ref="G99:G134" si="49">2*SQRT($G$12*$G$13/(PI()*F99))</f>
        <v>2.5097613045934131E-3</v>
      </c>
      <c r="H99">
        <f t="shared" ref="H99:H134" si="50">$C$12*$G$18*$C$10*$C$26/($C$4*$C$27*E99)</f>
        <v>4.2916604327624168E-2</v>
      </c>
      <c r="I99">
        <f t="shared" ref="I99:I134" si="51">6*H99/F99</f>
        <v>24.67537544356891</v>
      </c>
      <c r="J99">
        <f t="shared" ref="J99:J134" si="52">J98-N98*(B99-B98)/$G$24</f>
        <v>7.7057702662840477E-6</v>
      </c>
      <c r="K99">
        <f t="shared" ref="K99:K134" si="53">N98*(C99-C98)/$G$21</f>
        <v>9.2897319231641522E-4</v>
      </c>
      <c r="L99">
        <f t="shared" ref="L99:L130" si="54">K99*E99</f>
        <v>81.633500695341141</v>
      </c>
      <c r="M99">
        <f t="shared" si="17"/>
        <v>5.8532863483767962E-7</v>
      </c>
      <c r="N99">
        <f t="shared" si="46"/>
        <v>5.1851676707755793E-3</v>
      </c>
      <c r="O99">
        <f t="shared" ref="O99:O134" si="55">J99/$G$10</f>
        <v>0.34375563671992826</v>
      </c>
      <c r="W99" t="e">
        <f t="shared" si="41"/>
        <v>#NUM!</v>
      </c>
      <c r="X99" t="e">
        <f t="shared" si="20"/>
        <v>#NUM!</v>
      </c>
      <c r="Y99">
        <v>5.8999999999999997E-2</v>
      </c>
      <c r="Z99">
        <f t="shared" si="21"/>
        <v>0.24289915602982237</v>
      </c>
      <c r="AA99">
        <f t="shared" si="22"/>
        <v>42486.124887638071</v>
      </c>
      <c r="AB99">
        <f t="shared" si="23"/>
        <v>0.59569354230770022</v>
      </c>
      <c r="AC99" t="e">
        <f t="shared" si="42"/>
        <v>#NUM!</v>
      </c>
      <c r="AD99" t="e">
        <f t="shared" si="24"/>
        <v>#NUM!</v>
      </c>
      <c r="AE99" t="e">
        <f t="shared" si="25"/>
        <v>#NUM!</v>
      </c>
      <c r="AH99">
        <v>59</v>
      </c>
      <c r="AI99">
        <f t="shared" si="30"/>
        <v>133.15825839730491</v>
      </c>
      <c r="AJ99">
        <f t="shared" si="27"/>
        <v>47.2</v>
      </c>
      <c r="AN99">
        <f t="shared" si="43"/>
        <v>6.9622444737636087E-5</v>
      </c>
      <c r="AO99">
        <f t="shared" si="31"/>
        <v>1.5606858687305961E-9</v>
      </c>
      <c r="AP99">
        <f t="shared" si="32"/>
        <v>5.7038746518331884E-6</v>
      </c>
      <c r="AQ99">
        <f t="shared" si="33"/>
        <v>4.5314634129511962E-5</v>
      </c>
      <c r="AR99">
        <f t="shared" si="29"/>
        <v>4.1073818779867457</v>
      </c>
      <c r="AS99">
        <f t="shared" si="34"/>
        <v>5.8570896667071628E-3</v>
      </c>
    </row>
    <row r="100" spans="2:45">
      <c r="B100">
        <v>0.66</v>
      </c>
      <c r="C100">
        <f t="shared" si="47"/>
        <v>1.4895669583427329</v>
      </c>
      <c r="D100">
        <f t="shared" si="48"/>
        <v>0.52800000000000002</v>
      </c>
      <c r="E100">
        <f t="shared" si="44"/>
        <v>87690.551999999996</v>
      </c>
      <c r="F100">
        <f t="shared" si="45"/>
        <v>1.0442800428345719E-2</v>
      </c>
      <c r="G100">
        <f t="shared" si="49"/>
        <v>2.5088826404786879E-3</v>
      </c>
      <c r="H100">
        <f t="shared" si="50"/>
        <v>4.3006865174687083E-2</v>
      </c>
      <c r="I100">
        <f t="shared" si="51"/>
        <v>24.709960974424149</v>
      </c>
      <c r="J100">
        <f t="shared" si="52"/>
        <v>7.7035654463666709E-6</v>
      </c>
      <c r="K100">
        <f t="shared" si="53"/>
        <v>9.2970978997486365E-4</v>
      </c>
      <c r="L100">
        <f t="shared" si="54"/>
        <v>81.526764682699863</v>
      </c>
      <c r="M100">
        <f t="shared" ref="M100:M134" si="56">$G$10*$G$23*SQRT(L100)</f>
        <v>5.849458503241938E-7</v>
      </c>
      <c r="N100">
        <f t="shared" si="46"/>
        <v>5.1892892306912679E-3</v>
      </c>
      <c r="O100">
        <f t="shared" si="55"/>
        <v>0.34365727935286955</v>
      </c>
      <c r="W100" t="e">
        <f t="shared" si="41"/>
        <v>#NUM!</v>
      </c>
      <c r="X100" t="e">
        <f t="shared" si="20"/>
        <v>#NUM!</v>
      </c>
      <c r="Y100">
        <v>0.06</v>
      </c>
      <c r="Z100">
        <f t="shared" si="21"/>
        <v>0.2449489742783178</v>
      </c>
      <c r="AA100">
        <f t="shared" si="22"/>
        <v>43206.228699292958</v>
      </c>
      <c r="AB100">
        <f t="shared" si="23"/>
        <v>0.60072058115580274</v>
      </c>
      <c r="AC100" t="e">
        <f t="shared" si="42"/>
        <v>#NUM!</v>
      </c>
      <c r="AD100" t="e">
        <f t="shared" si="24"/>
        <v>#NUM!</v>
      </c>
      <c r="AE100" t="e">
        <f t="shared" si="25"/>
        <v>#NUM!</v>
      </c>
      <c r="AH100">
        <v>60</v>
      </c>
      <c r="AI100">
        <f t="shared" si="30"/>
        <v>135.41517803115752</v>
      </c>
      <c r="AJ100">
        <f t="shared" si="27"/>
        <v>48</v>
      </c>
      <c r="AN100">
        <f t="shared" si="43"/>
        <v>6.0258047108323527E-5</v>
      </c>
      <c r="AO100">
        <f t="shared" si="31"/>
        <v>1.3507696110594263E-9</v>
      </c>
      <c r="AP100">
        <f t="shared" si="32"/>
        <v>4.9366888618368159E-6</v>
      </c>
      <c r="AQ100">
        <f t="shared" si="33"/>
        <v>3.9219699457012965E-5</v>
      </c>
      <c r="AR100">
        <f t="shared" si="29"/>
        <v>3.5549284663628948</v>
      </c>
      <c r="AS100">
        <f t="shared" si="34"/>
        <v>5.448974361493557E-3</v>
      </c>
    </row>
    <row r="101" spans="2:45">
      <c r="B101">
        <v>0.67</v>
      </c>
      <c r="C101">
        <f t="shared" si="47"/>
        <v>1.5121361546812591</v>
      </c>
      <c r="D101">
        <f t="shared" si="48"/>
        <v>0.53600000000000003</v>
      </c>
      <c r="E101">
        <f t="shared" si="44"/>
        <v>87506.123999999996</v>
      </c>
      <c r="F101">
        <f t="shared" si="45"/>
        <v>1.0450131699386576E-2</v>
      </c>
      <c r="G101">
        <f t="shared" si="49"/>
        <v>2.508002435029862E-3</v>
      </c>
      <c r="H101">
        <f t="shared" si="50"/>
        <v>4.3097506489464518E-2</v>
      </c>
      <c r="I101">
        <f t="shared" si="51"/>
        <v>24.744667950162395</v>
      </c>
      <c r="J101">
        <f t="shared" si="52"/>
        <v>7.7013588738931639E-6</v>
      </c>
      <c r="K101">
        <f t="shared" si="53"/>
        <v>9.3044879300173443E-4</v>
      </c>
      <c r="L101">
        <f t="shared" si="54"/>
        <v>81.419967456060107</v>
      </c>
      <c r="M101">
        <f t="shared" si="56"/>
        <v>5.8456259540919837E-7</v>
      </c>
      <c r="N101">
        <f t="shared" si="46"/>
        <v>5.1934242769547129E-3</v>
      </c>
      <c r="O101">
        <f t="shared" si="55"/>
        <v>0.34355884380400331</v>
      </c>
      <c r="W101" t="e">
        <f t="shared" si="41"/>
        <v>#NUM!</v>
      </c>
      <c r="X101" t="e">
        <f t="shared" si="20"/>
        <v>#NUM!</v>
      </c>
      <c r="Y101">
        <v>6.0999999999999999E-2</v>
      </c>
      <c r="Z101">
        <f t="shared" si="21"/>
        <v>0.24698178070456939</v>
      </c>
      <c r="AA101">
        <f t="shared" si="22"/>
        <v>43926.332510947839</v>
      </c>
      <c r="AB101">
        <f t="shared" si="23"/>
        <v>0.60570589967511035</v>
      </c>
      <c r="AC101" t="e">
        <f t="shared" si="42"/>
        <v>#NUM!</v>
      </c>
      <c r="AD101" t="e">
        <f t="shared" si="24"/>
        <v>#NUM!</v>
      </c>
      <c r="AE101" t="e">
        <f t="shared" si="25"/>
        <v>#NUM!</v>
      </c>
      <c r="AH101">
        <v>61</v>
      </c>
      <c r="AI101">
        <f t="shared" si="30"/>
        <v>137.67209766501014</v>
      </c>
      <c r="AJ101">
        <f t="shared" si="27"/>
        <v>48.8</v>
      </c>
      <c r="AN101">
        <f t="shared" si="43"/>
        <v>5.215318501084028E-5</v>
      </c>
      <c r="AO101">
        <f t="shared" si="31"/>
        <v>1.1690876291752922E-9</v>
      </c>
      <c r="AP101">
        <f t="shared" si="32"/>
        <v>4.2726915309667561E-6</v>
      </c>
      <c r="AQ101">
        <f t="shared" si="33"/>
        <v>3.3944549151653627E-5</v>
      </c>
      <c r="AR101">
        <f t="shared" si="29"/>
        <v>3.0767814574746968</v>
      </c>
      <c r="AS101">
        <f t="shared" si="34"/>
        <v>5.0692960637064048E-3</v>
      </c>
    </row>
    <row r="102" spans="2:45">
      <c r="B102">
        <v>0.68</v>
      </c>
      <c r="C102">
        <f t="shared" si="47"/>
        <v>1.5347053510197854</v>
      </c>
      <c r="D102">
        <f t="shared" si="48"/>
        <v>0.54400000000000004</v>
      </c>
      <c r="E102">
        <f t="shared" si="44"/>
        <v>87321.695999999996</v>
      </c>
      <c r="F102">
        <f t="shared" si="45"/>
        <v>1.0457483601286583E-2</v>
      </c>
      <c r="G102">
        <f t="shared" si="49"/>
        <v>2.5071206822860773E-3</v>
      </c>
      <c r="H102">
        <f t="shared" si="50"/>
        <v>4.3188530682659744E-2</v>
      </c>
      <c r="I102">
        <f t="shared" si="51"/>
        <v>24.779497054537824</v>
      </c>
      <c r="J102">
        <f t="shared" si="52"/>
        <v>7.6991505431289055E-6</v>
      </c>
      <c r="K102">
        <f t="shared" si="53"/>
        <v>9.3119021415477424E-4</v>
      </c>
      <c r="L102">
        <f t="shared" si="54"/>
        <v>81.313108798598094</v>
      </c>
      <c r="M102">
        <f t="shared" si="56"/>
        <v>5.8417886838799663E-7</v>
      </c>
      <c r="N102">
        <f t="shared" si="46"/>
        <v>5.1975728812457787E-3</v>
      </c>
      <c r="O102">
        <f t="shared" si="55"/>
        <v>0.34346032981750707</v>
      </c>
      <c r="W102" t="e">
        <f t="shared" si="41"/>
        <v>#NUM!</v>
      </c>
      <c r="X102" t="e">
        <f t="shared" si="20"/>
        <v>#NUM!</v>
      </c>
      <c r="Y102">
        <v>6.2E-2</v>
      </c>
      <c r="Z102">
        <f t="shared" si="21"/>
        <v>0.24899799195977465</v>
      </c>
      <c r="AA102">
        <f t="shared" si="22"/>
        <v>44646.436322602727</v>
      </c>
      <c r="AB102">
        <f t="shared" si="23"/>
        <v>0.61065051967414574</v>
      </c>
      <c r="AC102" t="e">
        <f t="shared" si="42"/>
        <v>#NUM!</v>
      </c>
      <c r="AD102" t="e">
        <f t="shared" si="24"/>
        <v>#NUM!</v>
      </c>
      <c r="AE102" t="e">
        <f t="shared" si="25"/>
        <v>#NUM!</v>
      </c>
      <c r="AH102">
        <v>62</v>
      </c>
      <c r="AI102">
        <f t="shared" si="30"/>
        <v>139.92901729886279</v>
      </c>
      <c r="AJ102">
        <f t="shared" si="27"/>
        <v>49.600000000000009</v>
      </c>
      <c r="AN102">
        <f t="shared" si="43"/>
        <v>4.5138447681276145E-5</v>
      </c>
      <c r="AO102">
        <f t="shared" si="31"/>
        <v>1.0118423404704323E-9</v>
      </c>
      <c r="AP102">
        <f t="shared" si="32"/>
        <v>3.6980035464504673E-6</v>
      </c>
      <c r="AQ102">
        <f t="shared" si="33"/>
        <v>2.9378920110592456E-5</v>
      </c>
      <c r="AR102">
        <f t="shared" si="29"/>
        <v>2.6629464493122548</v>
      </c>
      <c r="AS102">
        <f t="shared" si="34"/>
        <v>4.7160733152111119E-3</v>
      </c>
    </row>
    <row r="103" spans="2:45">
      <c r="B103">
        <v>0.69</v>
      </c>
      <c r="C103">
        <f t="shared" si="47"/>
        <v>1.5572745473583114</v>
      </c>
      <c r="D103">
        <f t="shared" si="48"/>
        <v>0.55199999999999994</v>
      </c>
      <c r="E103">
        <f t="shared" si="44"/>
        <v>87137.267999999996</v>
      </c>
      <c r="F103">
        <f t="shared" si="45"/>
        <v>1.0464856235860583E-2</v>
      </c>
      <c r="G103">
        <f t="shared" si="49"/>
        <v>2.506237376250775E-3</v>
      </c>
      <c r="H103">
        <f t="shared" si="50"/>
        <v>4.3279940185385279E-2</v>
      </c>
      <c r="I103">
        <f t="shared" si="51"/>
        <v>24.814448976609071</v>
      </c>
      <c r="J103">
        <f t="shared" si="52"/>
        <v>7.6969404483087945E-6</v>
      </c>
      <c r="K103">
        <f t="shared" si="53"/>
        <v>9.3193406628626449E-4</v>
      </c>
      <c r="L103">
        <f t="shared" si="54"/>
        <v>81.206188492315988</v>
      </c>
      <c r="M103">
        <f t="shared" si="56"/>
        <v>5.8379466754604768E-7</v>
      </c>
      <c r="N103">
        <f t="shared" si="46"/>
        <v>5.2017351157771083E-3</v>
      </c>
      <c r="O103">
        <f t="shared" si="55"/>
        <v>0.34336173713619877</v>
      </c>
      <c r="W103" t="e">
        <f t="shared" si="41"/>
        <v>#NUM!</v>
      </c>
      <c r="X103" t="e">
        <f t="shared" si="20"/>
        <v>#NUM!</v>
      </c>
      <c r="Y103">
        <v>6.3E-2</v>
      </c>
      <c r="Z103">
        <f t="shared" si="21"/>
        <v>0.25099800796022265</v>
      </c>
      <c r="AA103">
        <f t="shared" si="22"/>
        <v>45366.540134257608</v>
      </c>
      <c r="AB103">
        <f t="shared" si="23"/>
        <v>0.61555542192021484</v>
      </c>
      <c r="AC103" t="e">
        <f t="shared" si="42"/>
        <v>#NUM!</v>
      </c>
      <c r="AD103" t="e">
        <f t="shared" si="24"/>
        <v>#NUM!</v>
      </c>
      <c r="AE103" t="e">
        <f t="shared" si="25"/>
        <v>#NUM!</v>
      </c>
      <c r="AH103">
        <v>63</v>
      </c>
      <c r="AI103">
        <f t="shared" si="30"/>
        <v>142.18593693271541</v>
      </c>
      <c r="AJ103">
        <f t="shared" si="27"/>
        <v>50.400000000000006</v>
      </c>
      <c r="AN103">
        <f t="shared" si="43"/>
        <v>3.906721053856643E-5</v>
      </c>
      <c r="AO103">
        <f t="shared" si="31"/>
        <v>8.7574694695120299E-10</v>
      </c>
      <c r="AP103">
        <f t="shared" si="32"/>
        <v>3.2006125718291689E-6</v>
      </c>
      <c r="AQ103">
        <f t="shared" si="33"/>
        <v>2.5427379901509918E-5</v>
      </c>
      <c r="AR103">
        <f t="shared" si="29"/>
        <v>2.3047733126047207</v>
      </c>
      <c r="AS103">
        <f t="shared" si="34"/>
        <v>4.3874627236083347E-3</v>
      </c>
    </row>
    <row r="104" spans="2:45">
      <c r="B104">
        <v>0.7</v>
      </c>
      <c r="C104">
        <f t="shared" si="47"/>
        <v>1.5798437436968378</v>
      </c>
      <c r="D104">
        <f t="shared" si="48"/>
        <v>0.56000000000000005</v>
      </c>
      <c r="E104">
        <f t="shared" si="44"/>
        <v>86952.84</v>
      </c>
      <c r="F104">
        <f t="shared" si="45"/>
        <v>1.0472249705642738E-2</v>
      </c>
      <c r="G104">
        <f t="shared" si="49"/>
        <v>2.5053525108914032E-3</v>
      </c>
      <c r="H104">
        <f t="shared" si="50"/>
        <v>4.3371737449379305E-2</v>
      </c>
      <c r="I104">
        <f t="shared" si="51"/>
        <v>24.849524410791741</v>
      </c>
      <c r="J104">
        <f t="shared" si="52"/>
        <v>7.6947285836370266E-6</v>
      </c>
      <c r="K104">
        <f t="shared" si="53"/>
        <v>9.3268036234412451E-4</v>
      </c>
      <c r="L104">
        <f t="shared" si="54"/>
        <v>81.099206318050676</v>
      </c>
      <c r="M104">
        <f t="shared" si="56"/>
        <v>5.8340999115895116E-7</v>
      </c>
      <c r="N104">
        <f t="shared" si="46"/>
        <v>5.2059110532991851E-3</v>
      </c>
      <c r="O104">
        <f t="shared" si="55"/>
        <v>0.34326306550152669</v>
      </c>
      <c r="W104" t="e">
        <f t="shared" ref="W104:W135" si="57">2*$X$36/($X$37^2)*LN($X$36)-2*$X$36/($X$37^2)*LN($X$36-$X$37*Z104)-2*Z104/$X$37</f>
        <v>#NUM!</v>
      </c>
      <c r="X104" t="e">
        <f t="shared" si="20"/>
        <v>#NUM!</v>
      </c>
      <c r="Y104">
        <v>6.4000000000000001E-2</v>
      </c>
      <c r="Z104">
        <f t="shared" si="21"/>
        <v>0.25298221281347033</v>
      </c>
      <c r="AA104">
        <f t="shared" si="22"/>
        <v>46086.643945912489</v>
      </c>
      <c r="AB104">
        <f t="shared" si="23"/>
        <v>0.62042154841079067</v>
      </c>
      <c r="AC104" t="e">
        <f t="shared" ref="AC104:AC135" si="58">$X$36*W104</f>
        <v>#NUM!</v>
      </c>
      <c r="AD104" t="e">
        <f t="shared" si="24"/>
        <v>#NUM!</v>
      </c>
      <c r="AE104" t="e">
        <f t="shared" si="25"/>
        <v>#NUM!</v>
      </c>
      <c r="AH104">
        <v>64</v>
      </c>
      <c r="AI104">
        <f t="shared" si="30"/>
        <v>144.44285656656803</v>
      </c>
      <c r="AJ104">
        <f t="shared" si="27"/>
        <v>51.2</v>
      </c>
      <c r="AN104">
        <f t="shared" ref="AN104:AN124" si="59">$C$7*EXP(-$G$14*$G$17*AI104)</f>
        <v>3.3812570384377162E-5</v>
      </c>
      <c r="AO104">
        <f t="shared" si="31"/>
        <v>7.5795673339562537E-10</v>
      </c>
      <c r="AP104">
        <f t="shared" si="32"/>
        <v>2.7701219607492218E-6</v>
      </c>
      <c r="AQ104">
        <f t="shared" si="33"/>
        <v>2.2007331999333767E-5</v>
      </c>
      <c r="AR104">
        <f t="shared" si="29"/>
        <v>1.9947753826844117</v>
      </c>
      <c r="AS104">
        <f t="shared" si="34"/>
        <v>4.0817493419715804E-3</v>
      </c>
    </row>
    <row r="105" spans="2:45">
      <c r="B105">
        <v>0.71</v>
      </c>
      <c r="C105">
        <f t="shared" si="47"/>
        <v>1.6024129400353639</v>
      </c>
      <c r="D105">
        <f t="shared" si="48"/>
        <v>0.56799999999999995</v>
      </c>
      <c r="E105">
        <f t="shared" si="44"/>
        <v>86768.411999999997</v>
      </c>
      <c r="F105">
        <f t="shared" si="45"/>
        <v>1.0479664113893165E-2</v>
      </c>
      <c r="G105">
        <f t="shared" si="49"/>
        <v>2.5044660801391261E-3</v>
      </c>
      <c r="H105">
        <f t="shared" si="50"/>
        <v>4.3463924947224883E-2</v>
      </c>
      <c r="I105">
        <f t="shared" si="51"/>
        <v>24.884724056911487</v>
      </c>
      <c r="J105">
        <f t="shared" si="52"/>
        <v>7.6925149432868606E-6</v>
      </c>
      <c r="K105">
        <f t="shared" si="53"/>
        <v>9.3342911537258166E-4</v>
      </c>
      <c r="L105">
        <f t="shared" si="54"/>
        <v>80.9921620554437</v>
      </c>
      <c r="M105">
        <f t="shared" si="56"/>
        <v>5.8302483749229233E-7</v>
      </c>
      <c r="N105">
        <f t="shared" si="46"/>
        <v>5.2101007671055289E-3</v>
      </c>
      <c r="O105">
        <f t="shared" si="55"/>
        <v>0.3431643146535589</v>
      </c>
      <c r="W105" t="e">
        <f t="shared" si="57"/>
        <v>#NUM!</v>
      </c>
      <c r="X105" t="e">
        <f t="shared" ref="X105:X156" si="60">W105/$G$13</f>
        <v>#NUM!</v>
      </c>
      <c r="Y105">
        <v>6.5000000000000002E-2</v>
      </c>
      <c r="Z105">
        <f t="shared" ref="Z105:Z156" si="61">SQRT(Y105)</f>
        <v>0.25495097567963926</v>
      </c>
      <c r="AA105">
        <f t="shared" ref="AA105:AA112" si="62">Y105*$C$25*$C$10/($G$16*$C$4)</f>
        <v>46806.747757567377</v>
      </c>
      <c r="AB105">
        <f t="shared" ref="AB105:AB156" si="63">$G$23*SQRT(AA105)</f>
        <v>0.62524980448578515</v>
      </c>
      <c r="AC105" t="e">
        <f t="shared" si="58"/>
        <v>#NUM!</v>
      </c>
      <c r="AD105" t="e">
        <f t="shared" ref="AD105:AD156" si="64">AC105*$C$25*$C$10/($G$16*$C$4)</f>
        <v>#NUM!</v>
      </c>
      <c r="AE105" t="e">
        <f t="shared" ref="AE105:AE156" si="65">$G$23*SQRT(AD105)</f>
        <v>#NUM!</v>
      </c>
      <c r="AH105">
        <v>65</v>
      </c>
      <c r="AI105">
        <f t="shared" si="30"/>
        <v>146.69977620042064</v>
      </c>
      <c r="AJ105">
        <f t="shared" ref="AJ105:AJ124" si="66">AI105*$G$13</f>
        <v>52</v>
      </c>
      <c r="AN105">
        <f t="shared" si="59"/>
        <v>2.9264692826477253E-5</v>
      </c>
      <c r="AO105">
        <f t="shared" ref="AO105:AO124" si="67">AN105*$G$10</f>
        <v>6.5600960608519199E-10</v>
      </c>
      <c r="AP105">
        <f t="shared" si="32"/>
        <v>2.397533442493328E-6</v>
      </c>
      <c r="AQ105">
        <f t="shared" si="33"/>
        <v>1.904728932374718E-5</v>
      </c>
      <c r="AR105">
        <f t="shared" si="29"/>
        <v>1.7264729705094974</v>
      </c>
      <c r="AS105">
        <f t="shared" si="34"/>
        <v>3.7973377189135979E-3</v>
      </c>
    </row>
    <row r="106" spans="2:45">
      <c r="B106">
        <v>0.72</v>
      </c>
      <c r="C106">
        <f t="shared" si="47"/>
        <v>1.6249821363738903</v>
      </c>
      <c r="D106">
        <f t="shared" si="48"/>
        <v>0.57600000000000007</v>
      </c>
      <c r="E106">
        <f t="shared" si="44"/>
        <v>86583.983999999997</v>
      </c>
      <c r="F106">
        <f t="shared" si="45"/>
        <v>1.0487099564604627E-2</v>
      </c>
      <c r="G106">
        <f t="shared" si="49"/>
        <v>2.5035780778885266E-3</v>
      </c>
      <c r="H106">
        <f t="shared" si="50"/>
        <v>4.3556505172571952E-2</v>
      </c>
      <c r="I106">
        <f t="shared" si="51"/>
        <v>24.920048620257802</v>
      </c>
      <c r="J106">
        <f t="shared" si="52"/>
        <v>7.6902995214003909E-6</v>
      </c>
      <c r="K106">
        <f t="shared" si="53"/>
        <v>9.3418033851333981E-4</v>
      </c>
      <c r="L106">
        <f t="shared" si="54"/>
        <v>80.885055482953589</v>
      </c>
      <c r="M106">
        <f t="shared" si="56"/>
        <v>5.8263920480163956E-7</v>
      </c>
      <c r="N106">
        <f t="shared" si="46"/>
        <v>5.2143043310378659E-3</v>
      </c>
      <c r="O106">
        <f t="shared" si="55"/>
        <v>0.34306548433097339</v>
      </c>
      <c r="W106" t="e">
        <f t="shared" si="57"/>
        <v>#NUM!</v>
      </c>
      <c r="X106" t="e">
        <f t="shared" si="60"/>
        <v>#NUM!</v>
      </c>
      <c r="Y106">
        <v>6.6000000000000003E-2</v>
      </c>
      <c r="Z106">
        <f t="shared" si="61"/>
        <v>0.25690465157330261</v>
      </c>
      <c r="AA106">
        <f t="shared" si="62"/>
        <v>47526.851569222257</v>
      </c>
      <c r="AB106">
        <f t="shared" si="63"/>
        <v>0.63004106079412159</v>
      </c>
      <c r="AC106" t="e">
        <f t="shared" si="58"/>
        <v>#NUM!</v>
      </c>
      <c r="AD106" t="e">
        <f t="shared" si="64"/>
        <v>#NUM!</v>
      </c>
      <c r="AE106" t="e">
        <f t="shared" si="65"/>
        <v>#NUM!</v>
      </c>
      <c r="AH106">
        <v>66</v>
      </c>
      <c r="AI106">
        <f t="shared" ref="AI106:AI124" si="68">AH106*$G$18</f>
        <v>148.95669583427326</v>
      </c>
      <c r="AJ106">
        <f t="shared" si="66"/>
        <v>52.8</v>
      </c>
      <c r="AN106">
        <f t="shared" si="59"/>
        <v>2.5328516480479433E-5</v>
      </c>
      <c r="AO106">
        <f t="shared" si="67"/>
        <v>5.6777462922995362E-10</v>
      </c>
      <c r="AP106">
        <f t="shared" ref="AP106:AP124" si="69">(AO105-AO106)*$G$24</f>
        <v>2.0750590368661508E-6</v>
      </c>
      <c r="AQ106">
        <f t="shared" ref="AQ106:AQ124" si="70">AP106/$G$21</f>
        <v>1.6485379990338022E-5</v>
      </c>
      <c r="AR106">
        <f t="shared" ref="AR106:AR124" si="71">AQ106*$G$15</f>
        <v>1.4942579218562246</v>
      </c>
      <c r="AS106">
        <f t="shared" ref="AS106:AS124" si="72">$G$23*SQRT(AR106)</f>
        <v>3.5327435722740936E-3</v>
      </c>
    </row>
    <row r="107" spans="2:45">
      <c r="B107">
        <v>0.73</v>
      </c>
      <c r="C107">
        <f t="shared" si="47"/>
        <v>1.6475513327124165</v>
      </c>
      <c r="D107">
        <f t="shared" si="48"/>
        <v>0.58399999999999996</v>
      </c>
      <c r="E107">
        <f t="shared" si="44"/>
        <v>86399.555999999997</v>
      </c>
      <c r="F107">
        <f t="shared" si="45"/>
        <v>1.0494556162509296E-2</v>
      </c>
      <c r="G107">
        <f t="shared" si="49"/>
        <v>2.5026884979973073E-3</v>
      </c>
      <c r="H107">
        <f t="shared" si="50"/>
        <v>4.364948064036217E-2</v>
      </c>
      <c r="I107">
        <f t="shared" si="51"/>
        <v>24.955498811638385</v>
      </c>
      <c r="J107">
        <f t="shared" si="52"/>
        <v>7.6880823120883128E-6</v>
      </c>
      <c r="K107">
        <f t="shared" si="53"/>
        <v>9.3493404500631563E-4</v>
      </c>
      <c r="L107">
        <f t="shared" si="54"/>
        <v>80.777886377829688</v>
      </c>
      <c r="M107">
        <f t="shared" si="56"/>
        <v>5.822530913324021E-7</v>
      </c>
      <c r="N107">
        <f t="shared" si="46"/>
        <v>5.2185218194914385E-3</v>
      </c>
      <c r="O107">
        <f t="shared" si="55"/>
        <v>0.34296657427104732</v>
      </c>
      <c r="W107" t="e">
        <f t="shared" si="57"/>
        <v>#NUM!</v>
      </c>
      <c r="X107" t="e">
        <f t="shared" si="60"/>
        <v>#NUM!</v>
      </c>
      <c r="Y107">
        <v>6.7000000000000004E-2</v>
      </c>
      <c r="Z107">
        <f t="shared" si="61"/>
        <v>0.2588435821108957</v>
      </c>
      <c r="AA107">
        <f t="shared" si="62"/>
        <v>48246.955380877138</v>
      </c>
      <c r="AB107">
        <f t="shared" si="63"/>
        <v>0.63479615512670784</v>
      </c>
      <c r="AC107" t="e">
        <f t="shared" si="58"/>
        <v>#NUM!</v>
      </c>
      <c r="AD107" t="e">
        <f t="shared" si="64"/>
        <v>#NUM!</v>
      </c>
      <c r="AE107" t="e">
        <f t="shared" si="65"/>
        <v>#NUM!</v>
      </c>
      <c r="AH107">
        <v>67</v>
      </c>
      <c r="AI107">
        <f t="shared" si="68"/>
        <v>151.21361546812591</v>
      </c>
      <c r="AJ107">
        <f t="shared" si="66"/>
        <v>53.6</v>
      </c>
      <c r="AN107">
        <f t="shared" si="59"/>
        <v>2.1921765962343844E-5</v>
      </c>
      <c r="AO107">
        <f t="shared" si="67"/>
        <v>4.9140748337661806E-10</v>
      </c>
      <c r="AP107">
        <f t="shared" si="69"/>
        <v>1.7959582670104305E-6</v>
      </c>
      <c r="AQ107">
        <f t="shared" si="70"/>
        <v>1.426805404205262E-5</v>
      </c>
      <c r="AR107">
        <f t="shared" si="71"/>
        <v>1.2932763936473082</v>
      </c>
      <c r="AS107">
        <f t="shared" si="72"/>
        <v>3.2865860429749883E-3</v>
      </c>
    </row>
    <row r="108" spans="2:45">
      <c r="B108">
        <v>0.74</v>
      </c>
      <c r="C108">
        <f t="shared" si="47"/>
        <v>1.6701205290509429</v>
      </c>
      <c r="D108">
        <f t="shared" si="48"/>
        <v>0.59200000000000008</v>
      </c>
      <c r="E108">
        <f t="shared" si="44"/>
        <v>86215.127999999997</v>
      </c>
      <c r="F108">
        <f t="shared" si="45"/>
        <v>1.0502034013085613E-2</v>
      </c>
      <c r="G108">
        <f t="shared" si="49"/>
        <v>2.50179733428599E-3</v>
      </c>
      <c r="H108">
        <f t="shared" si="50"/>
        <v>4.3742853887056656E-2</v>
      </c>
      <c r="I108">
        <f t="shared" si="51"/>
        <v>24.991075347434261</v>
      </c>
      <c r="J108">
        <f t="shared" si="52"/>
        <v>7.6858633094296864E-6</v>
      </c>
      <c r="K108">
        <f t="shared" si="53"/>
        <v>9.3569024819074485E-4</v>
      </c>
      <c r="L108">
        <f t="shared" si="54"/>
        <v>80.670654516116826</v>
      </c>
      <c r="M108">
        <f t="shared" si="56"/>
        <v>5.8186649531979972E-7</v>
      </c>
      <c r="N108">
        <f t="shared" si="46"/>
        <v>5.222753307420322E-3</v>
      </c>
      <c r="O108">
        <f t="shared" si="55"/>
        <v>0.34286758420964658</v>
      </c>
      <c r="W108" t="e">
        <f t="shared" si="57"/>
        <v>#NUM!</v>
      </c>
      <c r="X108" t="e">
        <f t="shared" si="60"/>
        <v>#NUM!</v>
      </c>
      <c r="Y108">
        <v>6.8000000000000005E-2</v>
      </c>
      <c r="Z108">
        <f t="shared" si="61"/>
        <v>0.26076809620810598</v>
      </c>
      <c r="AA108">
        <f t="shared" si="62"/>
        <v>48967.059192532026</v>
      </c>
      <c r="AB108">
        <f t="shared" si="63"/>
        <v>0.63951589412673771</v>
      </c>
      <c r="AC108" t="e">
        <f t="shared" si="58"/>
        <v>#NUM!</v>
      </c>
      <c r="AD108" t="e">
        <f t="shared" si="64"/>
        <v>#NUM!</v>
      </c>
      <c r="AE108" t="e">
        <f t="shared" si="65"/>
        <v>#NUM!</v>
      </c>
      <c r="AH108">
        <v>68</v>
      </c>
      <c r="AI108">
        <f t="shared" si="68"/>
        <v>153.47053510197853</v>
      </c>
      <c r="AJ108">
        <f t="shared" si="66"/>
        <v>54.4</v>
      </c>
      <c r="AN108">
        <f t="shared" si="59"/>
        <v>1.8973232138492873E-5</v>
      </c>
      <c r="AO108">
        <f t="shared" si="67"/>
        <v>4.253119147751492E-10</v>
      </c>
      <c r="AP108">
        <f t="shared" si="69"/>
        <v>1.5543972675178648E-6</v>
      </c>
      <c r="AQ108">
        <f t="shared" si="70"/>
        <v>1.2348964128594094E-5</v>
      </c>
      <c r="AR108">
        <f t="shared" si="71"/>
        <v>1.1193273971655486</v>
      </c>
      <c r="AS108">
        <f t="shared" si="72"/>
        <v>3.0575804886185339E-3</v>
      </c>
    </row>
    <row r="109" spans="2:45">
      <c r="B109">
        <v>0.75</v>
      </c>
      <c r="C109">
        <f t="shared" si="47"/>
        <v>1.692689725389469</v>
      </c>
      <c r="D109">
        <f t="shared" si="48"/>
        <v>0.6</v>
      </c>
      <c r="E109">
        <f t="shared" si="44"/>
        <v>86030.7</v>
      </c>
      <c r="F109">
        <f t="shared" si="45"/>
        <v>1.0509533222565213E-2</v>
      </c>
      <c r="G109">
        <f t="shared" si="49"/>
        <v>2.5009045805376084E-3</v>
      </c>
      <c r="H109">
        <f t="shared" si="50"/>
        <v>4.383662747086664E-2</v>
      </c>
      <c r="I109">
        <f t="shared" si="51"/>
        <v>25.026778949655466</v>
      </c>
      <c r="J109">
        <f t="shared" si="52"/>
        <v>7.6836425074717014E-6</v>
      </c>
      <c r="K109">
        <f t="shared" si="53"/>
        <v>9.3644896150598994E-4</v>
      </c>
      <c r="L109">
        <f t="shared" si="54"/>
        <v>80.563359672633368</v>
      </c>
      <c r="M109">
        <f t="shared" si="56"/>
        <v>5.8147941498873376E-7</v>
      </c>
      <c r="N109">
        <f t="shared" si="46"/>
        <v>5.2269988703428456E-3</v>
      </c>
      <c r="O109">
        <f t="shared" si="55"/>
        <v>0.34276851388121543</v>
      </c>
      <c r="W109" t="e">
        <f t="shared" si="57"/>
        <v>#NUM!</v>
      </c>
      <c r="X109" t="e">
        <f t="shared" si="60"/>
        <v>#NUM!</v>
      </c>
      <c r="Y109">
        <v>6.9000000000000006E-2</v>
      </c>
      <c r="Z109">
        <f t="shared" si="61"/>
        <v>0.26267851073127396</v>
      </c>
      <c r="AA109">
        <f t="shared" si="62"/>
        <v>49687.163004186899</v>
      </c>
      <c r="AB109">
        <f t="shared" si="63"/>
        <v>0.64420105488720691</v>
      </c>
      <c r="AC109" t="e">
        <f t="shared" si="58"/>
        <v>#NUM!</v>
      </c>
      <c r="AD109" t="e">
        <f t="shared" si="64"/>
        <v>#NUM!</v>
      </c>
      <c r="AE109" t="e">
        <f t="shared" si="65"/>
        <v>#NUM!</v>
      </c>
      <c r="AH109">
        <v>69</v>
      </c>
      <c r="AI109">
        <f t="shared" si="68"/>
        <v>155.72745473583115</v>
      </c>
      <c r="AJ109">
        <f t="shared" si="66"/>
        <v>55.199999999999996</v>
      </c>
      <c r="AN109">
        <f t="shared" si="59"/>
        <v>1.6421283686702097E-5</v>
      </c>
      <c r="AO109">
        <f t="shared" si="67"/>
        <v>3.6810636990456248E-10</v>
      </c>
      <c r="AP109">
        <f t="shared" si="69"/>
        <v>1.3453268428609072E-6</v>
      </c>
      <c r="AQ109">
        <f t="shared" si="70"/>
        <v>1.0687996737316155E-5</v>
      </c>
      <c r="AR109">
        <f t="shared" si="71"/>
        <v>0.96877498746576851</v>
      </c>
      <c r="AS109">
        <f t="shared" si="72"/>
        <v>2.8445317792192846E-3</v>
      </c>
    </row>
    <row r="110" spans="2:45">
      <c r="B110">
        <v>0.76</v>
      </c>
      <c r="C110">
        <f t="shared" si="47"/>
        <v>1.7152589217279952</v>
      </c>
      <c r="D110">
        <f t="shared" si="48"/>
        <v>0.60799999999999998</v>
      </c>
      <c r="E110">
        <f t="shared" si="44"/>
        <v>85846.271999999997</v>
      </c>
      <c r="F110">
        <f t="shared" si="45"/>
        <v>1.0517053897939926E-2</v>
      </c>
      <c r="G110">
        <f t="shared" si="49"/>
        <v>2.5000102304974015E-3</v>
      </c>
      <c r="H110">
        <f t="shared" si="50"/>
        <v>4.393080397198712E-2</v>
      </c>
      <c r="I110">
        <f t="shared" si="51"/>
        <v>25.06261034599752</v>
      </c>
      <c r="J110">
        <f t="shared" si="52"/>
        <v>7.6814199002294346E-6</v>
      </c>
      <c r="K110">
        <f t="shared" si="53"/>
        <v>9.3721019849264924E-4</v>
      </c>
      <c r="L110">
        <f t="shared" si="54"/>
        <v>80.45600162097395</v>
      </c>
      <c r="M110">
        <f t="shared" si="56"/>
        <v>5.8109184855374917E-7</v>
      </c>
      <c r="N110">
        <f t="shared" si="46"/>
        <v>5.2312585843470464E-3</v>
      </c>
      <c r="O110">
        <f t="shared" si="55"/>
        <v>0.34266936301876538</v>
      </c>
      <c r="W110" t="e">
        <f t="shared" si="57"/>
        <v>#NUM!</v>
      </c>
      <c r="X110" t="e">
        <f t="shared" si="60"/>
        <v>#NUM!</v>
      </c>
      <c r="Y110">
        <v>7.0000000000000007E-2</v>
      </c>
      <c r="Z110">
        <f t="shared" si="61"/>
        <v>0.26457513110645908</v>
      </c>
      <c r="AA110">
        <f t="shared" si="62"/>
        <v>50407.266815841795</v>
      </c>
      <c r="AB110">
        <f t="shared" si="63"/>
        <v>0.64885238644460552</v>
      </c>
      <c r="AC110" t="e">
        <f t="shared" si="58"/>
        <v>#NUM!</v>
      </c>
      <c r="AD110" t="e">
        <f t="shared" si="64"/>
        <v>#NUM!</v>
      </c>
      <c r="AE110" t="e">
        <f t="shared" si="65"/>
        <v>#NUM!</v>
      </c>
      <c r="AH110">
        <v>70</v>
      </c>
      <c r="AI110">
        <f t="shared" si="68"/>
        <v>157.98437436968379</v>
      </c>
      <c r="AJ110">
        <f t="shared" si="66"/>
        <v>56.000000000000007</v>
      </c>
      <c r="AN110">
        <f t="shared" si="59"/>
        <v>1.4212578855874792E-5</v>
      </c>
      <c r="AO110">
        <f t="shared" si="67"/>
        <v>3.1859511774070726E-10</v>
      </c>
      <c r="AP110">
        <f t="shared" si="69"/>
        <v>1.164376927278211E-6</v>
      </c>
      <c r="AQ110">
        <f t="shared" si="70"/>
        <v>9.2504337260461533E-6</v>
      </c>
      <c r="AR110">
        <f t="shared" si="71"/>
        <v>0.83847226353603976</v>
      </c>
      <c r="AS110">
        <f t="shared" si="72"/>
        <v>2.6463280600813387E-3</v>
      </c>
    </row>
    <row r="111" spans="2:45">
      <c r="B111">
        <v>0.77</v>
      </c>
      <c r="C111">
        <f t="shared" si="47"/>
        <v>1.7378281180665216</v>
      </c>
      <c r="D111">
        <f t="shared" si="48"/>
        <v>0.61599999999999999</v>
      </c>
      <c r="E111">
        <f t="shared" si="44"/>
        <v>85661.843999999997</v>
      </c>
      <c r="F111">
        <f t="shared" si="45"/>
        <v>1.052459614696887E-2</v>
      </c>
      <c r="G111">
        <f t="shared" si="49"/>
        <v>2.4991142778725021E-3</v>
      </c>
      <c r="H111">
        <f t="shared" si="50"/>
        <v>4.4025385992833482E-2</v>
      </c>
      <c r="I111">
        <f t="shared" si="51"/>
        <v>25.098570269898474</v>
      </c>
      <c r="J111">
        <f t="shared" si="52"/>
        <v>7.6791954816856098E-6</v>
      </c>
      <c r="K111">
        <f t="shared" si="53"/>
        <v>9.3797397279344328E-4</v>
      </c>
      <c r="L111">
        <f t="shared" si="54"/>
        <v>80.348580133492177</v>
      </c>
      <c r="M111">
        <f t="shared" si="56"/>
        <v>5.8070379421892149E-7</v>
      </c>
      <c r="N111">
        <f t="shared" si="46"/>
        <v>5.2355325260962007E-3</v>
      </c>
      <c r="O111">
        <f t="shared" si="55"/>
        <v>0.34257013135386494</v>
      </c>
      <c r="W111" t="e">
        <f t="shared" si="57"/>
        <v>#NUM!</v>
      </c>
      <c r="X111" t="e">
        <f t="shared" si="60"/>
        <v>#NUM!</v>
      </c>
      <c r="Y111">
        <v>7.0999999999999994E-2</v>
      </c>
      <c r="Z111">
        <f t="shared" si="61"/>
        <v>0.26645825188948452</v>
      </c>
      <c r="AA111">
        <f t="shared" si="62"/>
        <v>51127.370627496661</v>
      </c>
      <c r="AB111">
        <f t="shared" si="63"/>
        <v>0.65347061117691363</v>
      </c>
      <c r="AC111" t="e">
        <f t="shared" si="58"/>
        <v>#NUM!</v>
      </c>
      <c r="AD111" t="e">
        <f t="shared" si="64"/>
        <v>#NUM!</v>
      </c>
      <c r="AE111" t="e">
        <f t="shared" si="65"/>
        <v>#NUM!</v>
      </c>
      <c r="AH111">
        <v>71</v>
      </c>
      <c r="AI111">
        <f t="shared" si="68"/>
        <v>160.24129400353641</v>
      </c>
      <c r="AJ111">
        <f t="shared" si="66"/>
        <v>56.800000000000004</v>
      </c>
      <c r="AN111">
        <f t="shared" si="59"/>
        <v>1.2300950497435034E-5</v>
      </c>
      <c r="AO111">
        <f t="shared" si="67"/>
        <v>2.7574325615319218E-10</v>
      </c>
      <c r="AP111">
        <f t="shared" si="69"/>
        <v>1.0077652400770317E-6</v>
      </c>
      <c r="AQ111">
        <f t="shared" si="70"/>
        <v>8.0062266319007469E-6</v>
      </c>
      <c r="AR111">
        <f t="shared" si="71"/>
        <v>0.72569559063276834</v>
      </c>
      <c r="AS111">
        <f t="shared" si="72"/>
        <v>2.461934949271616E-3</v>
      </c>
    </row>
    <row r="112" spans="2:45">
      <c r="B112">
        <v>0.78</v>
      </c>
      <c r="C112">
        <f t="shared" si="47"/>
        <v>1.7603973144050478</v>
      </c>
      <c r="D112">
        <f t="shared" si="48"/>
        <v>0.624</v>
      </c>
      <c r="E112">
        <f t="shared" si="44"/>
        <v>85477.415999999997</v>
      </c>
      <c r="F112">
        <f t="shared" si="45"/>
        <v>1.0532160078185623E-2</v>
      </c>
      <c r="G112">
        <f t="shared" si="49"/>
        <v>2.4982167163316192E-3</v>
      </c>
      <c r="H112">
        <f t="shared" si="50"/>
        <v>4.4120376158281231E-2</v>
      </c>
      <c r="I112">
        <f t="shared" si="51"/>
        <v>25.134659460596719</v>
      </c>
      <c r="J112">
        <f t="shared" si="52"/>
        <v>7.6769692457903517E-6</v>
      </c>
      <c r="K112">
        <f t="shared" si="53"/>
        <v>9.3874029815420616E-4</v>
      </c>
      <c r="L112">
        <f t="shared" si="54"/>
        <v>80.241094981291113</v>
      </c>
      <c r="M112">
        <f t="shared" si="56"/>
        <v>5.8031525017777329E-7</v>
      </c>
      <c r="N112">
        <f t="shared" si="46"/>
        <v>5.2398207728344267E-3</v>
      </c>
      <c r="O112">
        <f t="shared" si="55"/>
        <v>0.34247081861662804</v>
      </c>
      <c r="W112" t="e">
        <f t="shared" si="57"/>
        <v>#NUM!</v>
      </c>
      <c r="X112" t="e">
        <f t="shared" si="60"/>
        <v>#NUM!</v>
      </c>
      <c r="Y112">
        <v>7.1999999999999995E-2</v>
      </c>
      <c r="Z112">
        <f t="shared" si="61"/>
        <v>0.26832815729997478</v>
      </c>
      <c r="AA112">
        <f t="shared" si="62"/>
        <v>51847.474439151541</v>
      </c>
      <c r="AB112">
        <f t="shared" si="63"/>
        <v>0.65805642611329185</v>
      </c>
      <c r="AC112" t="e">
        <f t="shared" si="58"/>
        <v>#NUM!</v>
      </c>
      <c r="AD112" t="e">
        <f t="shared" si="64"/>
        <v>#NUM!</v>
      </c>
      <c r="AE112" t="e">
        <f t="shared" si="65"/>
        <v>#NUM!</v>
      </c>
      <c r="AH112">
        <v>72</v>
      </c>
      <c r="AI112">
        <f t="shared" si="68"/>
        <v>162.49821363738903</v>
      </c>
      <c r="AJ112">
        <f t="shared" si="66"/>
        <v>57.6</v>
      </c>
      <c r="AN112">
        <f t="shared" si="59"/>
        <v>1.0646441062861812E-5</v>
      </c>
      <c r="AO112">
        <f t="shared" si="67"/>
        <v>2.3865508000611094E-10</v>
      </c>
      <c r="AP112">
        <f t="shared" si="69"/>
        <v>8.7221822703198855E-7</v>
      </c>
      <c r="AQ112">
        <f t="shared" si="70"/>
        <v>6.9293685874291295E-6</v>
      </c>
      <c r="AR112">
        <f t="shared" si="71"/>
        <v>0.62808766988059861</v>
      </c>
      <c r="AS112">
        <f t="shared" si="72"/>
        <v>2.2903901394065447E-3</v>
      </c>
    </row>
    <row r="113" spans="2:45">
      <c r="B113">
        <v>0.79</v>
      </c>
      <c r="C113">
        <f t="shared" si="47"/>
        <v>1.7829665107435742</v>
      </c>
      <c r="D113">
        <f t="shared" si="48"/>
        <v>0.63200000000000001</v>
      </c>
      <c r="E113">
        <f t="shared" si="44"/>
        <v>85292.987999999998</v>
      </c>
      <c r="F113">
        <f t="shared" si="45"/>
        <v>1.0539745800905467E-2</v>
      </c>
      <c r="G113">
        <f t="shared" si="49"/>
        <v>2.4973175395047241E-3</v>
      </c>
      <c r="H113">
        <f t="shared" si="50"/>
        <v>4.4215777115908829E-2</v>
      </c>
      <c r="I113">
        <f t="shared" si="51"/>
        <v>25.170878663189544</v>
      </c>
      <c r="J113">
        <f t="shared" si="52"/>
        <v>7.6747411864609423E-6</v>
      </c>
      <c r="K113">
        <f t="shared" si="53"/>
        <v>9.395091884249827E-4</v>
      </c>
      <c r="L113">
        <f t="shared" si="54"/>
        <v>80.133545934221786</v>
      </c>
      <c r="M113">
        <f t="shared" si="56"/>
        <v>5.7992621461321782E-7</v>
      </c>
      <c r="N113">
        <f t="shared" si="46"/>
        <v>5.2441234023923354E-3</v>
      </c>
      <c r="O113">
        <f t="shared" si="55"/>
        <v>0.34237142453570374</v>
      </c>
      <c r="W113" t="e">
        <f t="shared" si="57"/>
        <v>#NUM!</v>
      </c>
      <c r="X113" t="e">
        <f t="shared" si="60"/>
        <v>#NUM!</v>
      </c>
      <c r="Y113">
        <v>1.0720000000000001</v>
      </c>
      <c r="Z113">
        <f t="shared" si="61"/>
        <v>1.0353743284435828</v>
      </c>
      <c r="AA113">
        <f t="shared" ref="AA113:AA156" si="73">Y113*$C$25*$C$10/($G$16*$C$4)</f>
        <v>771951.28609403421</v>
      </c>
      <c r="AB113">
        <f t="shared" si="63"/>
        <v>2.5391846205068314</v>
      </c>
      <c r="AC113" t="e">
        <f t="shared" si="58"/>
        <v>#NUM!</v>
      </c>
      <c r="AD113" t="e">
        <f t="shared" si="64"/>
        <v>#NUM!</v>
      </c>
      <c r="AE113" t="e">
        <f t="shared" si="65"/>
        <v>#NUM!</v>
      </c>
      <c r="AH113">
        <v>73</v>
      </c>
      <c r="AI113">
        <f t="shared" si="68"/>
        <v>164.75513327124165</v>
      </c>
      <c r="AJ113">
        <f t="shared" si="66"/>
        <v>58.4</v>
      </c>
      <c r="AN113">
        <f t="shared" si="59"/>
        <v>9.2144673965337184E-6</v>
      </c>
      <c r="AO113">
        <f t="shared" si="67"/>
        <v>2.065553588047885E-10</v>
      </c>
      <c r="AP113">
        <f t="shared" si="69"/>
        <v>7.5490263536838712E-7</v>
      </c>
      <c r="AQ113">
        <f t="shared" si="70"/>
        <v>5.9973507156452964E-6</v>
      </c>
      <c r="AR113">
        <f t="shared" si="71"/>
        <v>0.54360826515709149</v>
      </c>
      <c r="AS113">
        <f t="shared" si="72"/>
        <v>2.1307983755796257E-3</v>
      </c>
    </row>
    <row r="114" spans="2:45">
      <c r="B114">
        <v>0.8</v>
      </c>
      <c r="C114">
        <f t="shared" si="47"/>
        <v>1.8055357070821003</v>
      </c>
      <c r="D114">
        <f t="shared" si="48"/>
        <v>0.64</v>
      </c>
      <c r="E114">
        <f t="shared" si="44"/>
        <v>85108.56</v>
      </c>
      <c r="F114">
        <f t="shared" si="45"/>
        <v>1.0547353425232725E-2</v>
      </c>
      <c r="G114">
        <f t="shared" si="49"/>
        <v>2.4964167409827257E-3</v>
      </c>
      <c r="H114">
        <f t="shared" si="50"/>
        <v>4.4311591536243679E-2</v>
      </c>
      <c r="I114">
        <f t="shared" si="51"/>
        <v>25.207228628692295</v>
      </c>
      <c r="J114">
        <f t="shared" si="52"/>
        <v>7.6725112975815648E-6</v>
      </c>
      <c r="K114">
        <f t="shared" si="53"/>
        <v>9.4028065756090291E-4</v>
      </c>
      <c r="L114">
        <f t="shared" si="54"/>
        <v>80.025932760861551</v>
      </c>
      <c r="M114">
        <f t="shared" si="56"/>
        <v>5.7953668569742946E-7</v>
      </c>
      <c r="N114">
        <f t="shared" si="46"/>
        <v>5.2484404931927809E-3</v>
      </c>
      <c r="O114">
        <f t="shared" si="55"/>
        <v>0.34227194883826451</v>
      </c>
      <c r="W114" t="e">
        <f t="shared" si="57"/>
        <v>#NUM!</v>
      </c>
      <c r="X114" t="e">
        <f t="shared" si="60"/>
        <v>#NUM!</v>
      </c>
      <c r="Y114">
        <v>2.0720000000000001</v>
      </c>
      <c r="Z114">
        <f t="shared" si="61"/>
        <v>1.4394443372357266</v>
      </c>
      <c r="AA114">
        <f t="shared" si="73"/>
        <v>1492055.0977489171</v>
      </c>
      <c r="AB114">
        <f t="shared" si="63"/>
        <v>3.5301386394995662</v>
      </c>
      <c r="AC114" t="e">
        <f t="shared" si="58"/>
        <v>#NUM!</v>
      </c>
      <c r="AD114" t="e">
        <f t="shared" si="64"/>
        <v>#NUM!</v>
      </c>
      <c r="AE114" t="e">
        <f t="shared" si="65"/>
        <v>#NUM!</v>
      </c>
      <c r="AH114">
        <v>74</v>
      </c>
      <c r="AI114">
        <f t="shared" si="68"/>
        <v>167.01205290509427</v>
      </c>
      <c r="AJ114">
        <f t="shared" si="66"/>
        <v>59.199999999999996</v>
      </c>
      <c r="AN114">
        <f t="shared" si="59"/>
        <v>7.9750978660806593E-6</v>
      </c>
      <c r="AO114">
        <f t="shared" si="67"/>
        <v>1.7877313254711516E-10</v>
      </c>
      <c r="AP114">
        <f t="shared" si="69"/>
        <v>6.5336629208649866E-7</v>
      </c>
      <c r="AQ114">
        <f t="shared" si="70"/>
        <v>5.1906916413284114E-6</v>
      </c>
      <c r="AR114">
        <f t="shared" si="71"/>
        <v>0.47049155733830506</v>
      </c>
      <c r="AS114">
        <f t="shared" si="72"/>
        <v>1.9823267832218532E-3</v>
      </c>
    </row>
    <row r="115" spans="2:45">
      <c r="B115">
        <v>0.81</v>
      </c>
      <c r="C115">
        <f t="shared" si="47"/>
        <v>1.8281049034206267</v>
      </c>
      <c r="D115">
        <f t="shared" si="48"/>
        <v>0.64800000000000002</v>
      </c>
      <c r="E115">
        <f t="shared" si="44"/>
        <v>84924.131999999998</v>
      </c>
      <c r="F115">
        <f t="shared" si="45"/>
        <v>1.0554983062068183E-2</v>
      </c>
      <c r="G115">
        <f t="shared" si="49"/>
        <v>2.4955143143171477E-3</v>
      </c>
      <c r="H115">
        <f t="shared" si="50"/>
        <v>4.440782211301126E-2</v>
      </c>
      <c r="I115">
        <f t="shared" si="51"/>
        <v>25.24371011409837</v>
      </c>
      <c r="J115">
        <f t="shared" si="52"/>
        <v>7.6702795730030565E-6</v>
      </c>
      <c r="K115">
        <f t="shared" si="53"/>
        <v>9.4105471962336121E-4</v>
      </c>
      <c r="L115">
        <f t="shared" si="54"/>
        <v>79.91825522851731</v>
      </c>
      <c r="M115">
        <f t="shared" si="56"/>
        <v>5.7914666159180419E-7</v>
      </c>
      <c r="N115">
        <f t="shared" si="46"/>
        <v>5.2527721242566286E-3</v>
      </c>
      <c r="O115">
        <f t="shared" si="55"/>
        <v>0.34217239124999521</v>
      </c>
      <c r="W115" t="e">
        <f t="shared" si="57"/>
        <v>#NUM!</v>
      </c>
      <c r="X115" t="e">
        <f t="shared" si="60"/>
        <v>#NUM!</v>
      </c>
      <c r="Y115">
        <v>3.0720000000000001</v>
      </c>
      <c r="Z115">
        <f t="shared" si="61"/>
        <v>1.7527121840165316</v>
      </c>
      <c r="AA115">
        <f t="shared" si="73"/>
        <v>2212158.9094037996</v>
      </c>
      <c r="AB115">
        <f t="shared" si="63"/>
        <v>4.298406575832173</v>
      </c>
      <c r="AC115" t="e">
        <f t="shared" si="58"/>
        <v>#NUM!</v>
      </c>
      <c r="AD115" t="e">
        <f t="shared" si="64"/>
        <v>#NUM!</v>
      </c>
      <c r="AE115" t="e">
        <f t="shared" si="65"/>
        <v>#NUM!</v>
      </c>
      <c r="AH115">
        <v>75</v>
      </c>
      <c r="AI115">
        <f t="shared" si="68"/>
        <v>169.26897253894691</v>
      </c>
      <c r="AJ115">
        <f t="shared" si="66"/>
        <v>60</v>
      </c>
      <c r="AN115">
        <f t="shared" si="59"/>
        <v>6.9024267205600952E-6</v>
      </c>
      <c r="AO115">
        <f t="shared" si="67"/>
        <v>1.547276870744998E-10</v>
      </c>
      <c r="AP115">
        <f t="shared" si="69"/>
        <v>5.6548684775294481E-7</v>
      </c>
      <c r="AQ115">
        <f t="shared" si="70"/>
        <v>4.4925302842586262E-6</v>
      </c>
      <c r="AR115">
        <f t="shared" si="71"/>
        <v>0.40720923450759983</v>
      </c>
      <c r="AS115">
        <f t="shared" si="72"/>
        <v>1.8442005215109829E-3</v>
      </c>
    </row>
    <row r="116" spans="2:45">
      <c r="B116">
        <v>0.82</v>
      </c>
      <c r="C116">
        <f t="shared" si="47"/>
        <v>1.8506740997591526</v>
      </c>
      <c r="D116">
        <f t="shared" si="48"/>
        <v>0.65599999999999992</v>
      </c>
      <c r="E116">
        <f t="shared" si="44"/>
        <v>84739.703999999998</v>
      </c>
      <c r="F116">
        <f t="shared" si="45"/>
        <v>1.0562634823116592E-2</v>
      </c>
      <c r="G116">
        <f t="shared" si="49"/>
        <v>2.4946102530198008E-3</v>
      </c>
      <c r="H116">
        <f t="shared" si="50"/>
        <v>4.4504471563387653E-2</v>
      </c>
      <c r="I116">
        <f t="shared" si="51"/>
        <v>25.280323882439916</v>
      </c>
      <c r="J116">
        <f t="shared" si="52"/>
        <v>7.6680460065426562E-6</v>
      </c>
      <c r="K116">
        <f t="shared" si="53"/>
        <v>9.4183138878089297E-4</v>
      </c>
      <c r="L116">
        <f t="shared" si="54"/>
        <v>79.810513103201785</v>
      </c>
      <c r="M116">
        <f t="shared" si="56"/>
        <v>5.7875614044682174E-7</v>
      </c>
      <c r="N116">
        <f t="shared" si="46"/>
        <v>5.2571183752086696E-3</v>
      </c>
      <c r="O116">
        <f t="shared" si="55"/>
        <v>0.34207275149508187</v>
      </c>
      <c r="W116" t="e">
        <f t="shared" si="57"/>
        <v>#NUM!</v>
      </c>
      <c r="X116" t="e">
        <f t="shared" si="60"/>
        <v>#NUM!</v>
      </c>
      <c r="Y116">
        <v>4.0720000000000001</v>
      </c>
      <c r="Z116">
        <f t="shared" si="61"/>
        <v>2.0179197209007103</v>
      </c>
      <c r="AA116">
        <f t="shared" si="73"/>
        <v>2932262.7210586821</v>
      </c>
      <c r="AB116">
        <f t="shared" si="63"/>
        <v>4.9488098941287584</v>
      </c>
      <c r="AC116" t="e">
        <f t="shared" si="58"/>
        <v>#NUM!</v>
      </c>
      <c r="AD116" t="e">
        <f t="shared" si="64"/>
        <v>#NUM!</v>
      </c>
      <c r="AE116" t="e">
        <f t="shared" si="65"/>
        <v>#NUM!</v>
      </c>
      <c r="AH116">
        <v>76</v>
      </c>
      <c r="AI116">
        <f t="shared" si="68"/>
        <v>171.52589217279953</v>
      </c>
      <c r="AJ116">
        <f t="shared" si="66"/>
        <v>60.800000000000004</v>
      </c>
      <c r="AN116">
        <f t="shared" si="59"/>
        <v>5.974032599065325E-6</v>
      </c>
      <c r="AO116">
        <f t="shared" si="67"/>
        <v>1.3391641577413724E-10</v>
      </c>
      <c r="AP116">
        <f t="shared" si="69"/>
        <v>4.8942741438398984E-7</v>
      </c>
      <c r="AQ116">
        <f t="shared" si="70"/>
        <v>3.8882734228101591E-6</v>
      </c>
      <c r="AR116">
        <f t="shared" si="71"/>
        <v>0.35243854662630475</v>
      </c>
      <c r="AS116">
        <f t="shared" si="72"/>
        <v>1.7156987396465403E-3</v>
      </c>
    </row>
    <row r="117" spans="2:45">
      <c r="B117">
        <v>0.83</v>
      </c>
      <c r="C117">
        <f t="shared" si="47"/>
        <v>1.873243296097679</v>
      </c>
      <c r="D117">
        <f t="shared" si="48"/>
        <v>0.66400000000000003</v>
      </c>
      <c r="E117">
        <f t="shared" si="44"/>
        <v>84555.275999999998</v>
      </c>
      <c r="F117">
        <f t="shared" si="45"/>
        <v>1.0570308820894271E-2</v>
      </c>
      <c r="G117">
        <f t="shared" si="49"/>
        <v>2.493704550562447E-3</v>
      </c>
      <c r="H117">
        <f t="shared" si="50"/>
        <v>4.4601542628255234E-2</v>
      </c>
      <c r="I117">
        <f t="shared" si="51"/>
        <v>25.317070702849257</v>
      </c>
      <c r="J117">
        <f t="shared" si="52"/>
        <v>7.6658105919837419E-6</v>
      </c>
      <c r="K117">
        <f t="shared" si="53"/>
        <v>9.4261067931042982E-4</v>
      </c>
      <c r="L117">
        <f t="shared" si="54"/>
        <v>79.702706149640875</v>
      </c>
      <c r="M117">
        <f t="shared" si="56"/>
        <v>5.7836512040201893E-7</v>
      </c>
      <c r="N117">
        <f t="shared" si="46"/>
        <v>5.2614793262834979E-3</v>
      </c>
      <c r="O117">
        <f t="shared" si="55"/>
        <v>0.34197302929619994</v>
      </c>
      <c r="W117" t="e">
        <f t="shared" si="57"/>
        <v>#NUM!</v>
      </c>
      <c r="X117" t="e">
        <f t="shared" si="60"/>
        <v>#NUM!</v>
      </c>
      <c r="Y117">
        <v>5.0720000000000001</v>
      </c>
      <c r="Z117">
        <f t="shared" si="61"/>
        <v>2.2521101216414796</v>
      </c>
      <c r="AA117">
        <f t="shared" si="73"/>
        <v>3652366.532713565</v>
      </c>
      <c r="AB117">
        <f t="shared" si="63"/>
        <v>5.5231458106133786</v>
      </c>
      <c r="AC117" t="e">
        <f t="shared" si="58"/>
        <v>#NUM!</v>
      </c>
      <c r="AD117" t="e">
        <f t="shared" si="64"/>
        <v>#NUM!</v>
      </c>
      <c r="AE117" t="e">
        <f t="shared" si="65"/>
        <v>#NUM!</v>
      </c>
      <c r="AH117">
        <v>77</v>
      </c>
      <c r="AI117">
        <f t="shared" si="68"/>
        <v>173.78281180665215</v>
      </c>
      <c r="AJ117">
        <f t="shared" si="66"/>
        <v>61.6</v>
      </c>
      <c r="AN117">
        <f t="shared" si="59"/>
        <v>5.1705098713165572E-6</v>
      </c>
      <c r="AO117">
        <f t="shared" si="67"/>
        <v>1.1590431391349317E-10</v>
      </c>
      <c r="AP117">
        <f t="shared" si="69"/>
        <v>4.2359817014746699E-7</v>
      </c>
      <c r="AQ117">
        <f t="shared" si="70"/>
        <v>3.3652906611462806E-6</v>
      </c>
      <c r="AR117">
        <f t="shared" si="71"/>
        <v>0.30503465693322446</v>
      </c>
      <c r="AS117">
        <f t="shared" si="72"/>
        <v>1.5961508148869981E-3</v>
      </c>
    </row>
    <row r="118" spans="2:45">
      <c r="B118">
        <v>0.84</v>
      </c>
      <c r="C118">
        <f t="shared" si="47"/>
        <v>1.8958124924362052</v>
      </c>
      <c r="D118">
        <f t="shared" si="48"/>
        <v>0.67199999999999993</v>
      </c>
      <c r="E118">
        <f t="shared" si="44"/>
        <v>84370.847999999998</v>
      </c>
      <c r="F118">
        <f t="shared" si="45"/>
        <v>1.0578005168736779E-2</v>
      </c>
      <c r="G118">
        <f t="shared" si="49"/>
        <v>2.4927972003764699E-3</v>
      </c>
      <c r="H118">
        <f t="shared" si="50"/>
        <v>4.469903807246179E-2</v>
      </c>
      <c r="I118">
        <f t="shared" si="51"/>
        <v>25.353951350621092</v>
      </c>
      <c r="J118">
        <f t="shared" si="52"/>
        <v>7.6635733230755762E-6</v>
      </c>
      <c r="K118">
        <f t="shared" si="53"/>
        <v>9.4339260559811238E-4</v>
      </c>
      <c r="L118">
        <f t="shared" si="54"/>
        <v>79.594834131242294</v>
      </c>
      <c r="M118">
        <f t="shared" si="56"/>
        <v>5.779735995858233E-7</v>
      </c>
      <c r="N118">
        <f t="shared" si="46"/>
        <v>5.2658550583315903E-3</v>
      </c>
      <c r="O118">
        <f t="shared" si="55"/>
        <v>0.34187322437450313</v>
      </c>
      <c r="W118" t="e">
        <f t="shared" si="57"/>
        <v>#NUM!</v>
      </c>
      <c r="X118" t="e">
        <f t="shared" si="60"/>
        <v>#NUM!</v>
      </c>
      <c r="Y118">
        <v>6.0720000000000001</v>
      </c>
      <c r="Z118">
        <f t="shared" si="61"/>
        <v>2.4641428530018303</v>
      </c>
      <c r="AA118">
        <f t="shared" si="73"/>
        <v>4372470.3443684475</v>
      </c>
      <c r="AB118">
        <f t="shared" si="63"/>
        <v>6.0431415606756671</v>
      </c>
      <c r="AC118" t="e">
        <f t="shared" si="58"/>
        <v>#NUM!</v>
      </c>
      <c r="AD118" t="e">
        <f t="shared" si="64"/>
        <v>#NUM!</v>
      </c>
      <c r="AE118" t="e">
        <f t="shared" si="65"/>
        <v>#NUM!</v>
      </c>
      <c r="AH118">
        <v>78</v>
      </c>
      <c r="AI118">
        <f t="shared" si="68"/>
        <v>176.0397314405048</v>
      </c>
      <c r="AJ118">
        <f t="shared" si="66"/>
        <v>62.400000000000006</v>
      </c>
      <c r="AN118">
        <f t="shared" si="59"/>
        <v>4.4750630141463644E-6</v>
      </c>
      <c r="AO118">
        <f t="shared" si="67"/>
        <v>1.0031488601378744E-10</v>
      </c>
      <c r="AP118">
        <f t="shared" si="69"/>
        <v>3.6662312833073714E-7</v>
      </c>
      <c r="AQ118">
        <f t="shared" si="70"/>
        <v>2.9126504241086411E-6</v>
      </c>
      <c r="AR118">
        <f t="shared" si="71"/>
        <v>0.26400671215180099</v>
      </c>
      <c r="AS118">
        <f t="shared" si="72"/>
        <v>1.4849328527159103E-3</v>
      </c>
    </row>
    <row r="119" spans="2:45">
      <c r="B119">
        <v>0.85</v>
      </c>
      <c r="C119">
        <f t="shared" si="47"/>
        <v>1.9183816887747316</v>
      </c>
      <c r="D119">
        <f t="shared" si="48"/>
        <v>0.68</v>
      </c>
      <c r="E119">
        <f t="shared" si="44"/>
        <v>84186.42</v>
      </c>
      <c r="F119">
        <f t="shared" si="45"/>
        <v>1.0585723980806689E-2</v>
      </c>
      <c r="G119">
        <f t="shared" si="49"/>
        <v>2.4918881958525328E-3</v>
      </c>
      <c r="H119">
        <f t="shared" si="50"/>
        <v>4.4796960685083022E-2</v>
      </c>
      <c r="I119">
        <f t="shared" si="51"/>
        <v>25.390966607275502</v>
      </c>
      <c r="J119">
        <f t="shared" si="52"/>
        <v>7.6613341935330426E-6</v>
      </c>
      <c r="K119">
        <f t="shared" si="53"/>
        <v>9.4417718214062142E-4</v>
      </c>
      <c r="L119">
        <f t="shared" si="54"/>
        <v>79.486896810106856</v>
      </c>
      <c r="M119">
        <f t="shared" si="56"/>
        <v>5.7758157611554044E-7</v>
      </c>
      <c r="N119">
        <f t="shared" si="46"/>
        <v>5.2702456528253283E-3</v>
      </c>
      <c r="O119">
        <f t="shared" si="55"/>
        <v>0.34177333644961133</v>
      </c>
      <c r="W119" t="e">
        <f t="shared" si="57"/>
        <v>#NUM!</v>
      </c>
      <c r="X119" t="e">
        <f t="shared" si="60"/>
        <v>#NUM!</v>
      </c>
      <c r="Y119">
        <v>7.0720000000000001</v>
      </c>
      <c r="Z119">
        <f t="shared" si="61"/>
        <v>2.6593232221751459</v>
      </c>
      <c r="AA119">
        <f t="shared" si="73"/>
        <v>5092574.1560233301</v>
      </c>
      <c r="AB119">
        <f t="shared" si="63"/>
        <v>6.5218080468099453</v>
      </c>
      <c r="AC119" t="e">
        <f t="shared" si="58"/>
        <v>#NUM!</v>
      </c>
      <c r="AD119" t="e">
        <f t="shared" si="64"/>
        <v>#NUM!</v>
      </c>
      <c r="AE119" t="e">
        <f t="shared" si="65"/>
        <v>#NUM!</v>
      </c>
      <c r="AH119">
        <v>79</v>
      </c>
      <c r="AI119">
        <f t="shared" si="68"/>
        <v>178.29665107435741</v>
      </c>
      <c r="AJ119">
        <f t="shared" si="66"/>
        <v>63.2</v>
      </c>
      <c r="AN119">
        <f t="shared" si="59"/>
        <v>3.8731555453894882E-6</v>
      </c>
      <c r="AO119">
        <f t="shared" si="67"/>
        <v>8.6822276205093797E-11</v>
      </c>
      <c r="AP119">
        <f t="shared" si="69"/>
        <v>3.1731137596798056E-7</v>
      </c>
      <c r="AQ119">
        <f t="shared" si="70"/>
        <v>2.5208914614734361E-6</v>
      </c>
      <c r="AR119">
        <f t="shared" si="71"/>
        <v>0.2284971313159983</v>
      </c>
      <c r="AS119">
        <f t="shared" si="72"/>
        <v>1.3814644308727682E-3</v>
      </c>
    </row>
    <row r="120" spans="2:45">
      <c r="B120">
        <v>0.86</v>
      </c>
      <c r="C120">
        <f t="shared" si="47"/>
        <v>1.9409508851132578</v>
      </c>
      <c r="D120">
        <f t="shared" si="48"/>
        <v>0.68799999999999994</v>
      </c>
      <c r="E120">
        <f t="shared" si="44"/>
        <v>84001.991999999998</v>
      </c>
      <c r="F120">
        <f t="shared" si="45"/>
        <v>1.0593465372101452E-2</v>
      </c>
      <c r="G120">
        <f t="shared" si="49"/>
        <v>2.4909775303402371E-3</v>
      </c>
      <c r="H120">
        <f t="shared" si="50"/>
        <v>4.4895313279688494E-2</v>
      </c>
      <c r="I120">
        <f t="shared" si="51"/>
        <v>25.428117260621679</v>
      </c>
      <c r="J120">
        <f t="shared" si="52"/>
        <v>7.6590931970363808E-6</v>
      </c>
      <c r="K120">
        <f t="shared" si="53"/>
        <v>9.4496442354606266E-4</v>
      </c>
      <c r="L120">
        <f t="shared" si="54"/>
        <v>79.378893947000961</v>
      </c>
      <c r="M120">
        <f t="shared" si="56"/>
        <v>5.771890480971994E-7</v>
      </c>
      <c r="N120">
        <f t="shared" si="46"/>
        <v>5.2746511918651999E-3</v>
      </c>
      <c r="O120">
        <f t="shared" si="55"/>
        <v>0.34167336523959907</v>
      </c>
      <c r="W120" t="e">
        <f t="shared" si="57"/>
        <v>#NUM!</v>
      </c>
      <c r="X120" t="e">
        <f t="shared" si="60"/>
        <v>#NUM!</v>
      </c>
      <c r="Y120">
        <v>8.0719999999999992</v>
      </c>
      <c r="Z120">
        <f t="shared" si="61"/>
        <v>2.8411265371327619</v>
      </c>
      <c r="AA120">
        <f t="shared" si="73"/>
        <v>5812677.9676782126</v>
      </c>
      <c r="AB120">
        <f t="shared" si="63"/>
        <v>6.9676682237678618</v>
      </c>
      <c r="AC120" t="e">
        <f t="shared" si="58"/>
        <v>#NUM!</v>
      </c>
      <c r="AD120" t="e">
        <f t="shared" si="64"/>
        <v>#NUM!</v>
      </c>
      <c r="AE120" t="e">
        <f t="shared" si="65"/>
        <v>#NUM!</v>
      </c>
      <c r="AH120">
        <v>80</v>
      </c>
      <c r="AI120">
        <f t="shared" si="68"/>
        <v>180.55357070821003</v>
      </c>
      <c r="AJ120">
        <f t="shared" si="66"/>
        <v>64</v>
      </c>
      <c r="AN120">
        <f t="shared" si="59"/>
        <v>3.3522061770660628E-6</v>
      </c>
      <c r="AO120">
        <f t="shared" si="67"/>
        <v>7.5144457068889391E-11</v>
      </c>
      <c r="AP120">
        <f t="shared" si="69"/>
        <v>2.746321809459487E-7</v>
      </c>
      <c r="AQ120">
        <f t="shared" si="70"/>
        <v>2.1818250854716617E-6</v>
      </c>
      <c r="AR120">
        <f t="shared" si="71"/>
        <v>0.19776368030227107</v>
      </c>
      <c r="AS120">
        <f t="shared" si="72"/>
        <v>1.2852055702560242E-3</v>
      </c>
    </row>
    <row r="121" spans="2:45">
      <c r="B121">
        <v>0.87</v>
      </c>
      <c r="C121">
        <f t="shared" si="47"/>
        <v>1.9635200814517841</v>
      </c>
      <c r="D121">
        <f t="shared" si="48"/>
        <v>0.69600000000000006</v>
      </c>
      <c r="E121">
        <f t="shared" si="44"/>
        <v>83817.563999999998</v>
      </c>
      <c r="F121">
        <f t="shared" si="45"/>
        <v>1.0601229458461347E-2</v>
      </c>
      <c r="G121">
        <f t="shared" si="49"/>
        <v>2.4900651971477773E-3</v>
      </c>
      <c r="H121">
        <f t="shared" si="50"/>
        <v>4.499409869461115E-2</v>
      </c>
      <c r="I121">
        <f t="shared" si="51"/>
        <v>25.465404104822507</v>
      </c>
      <c r="J121">
        <f t="shared" si="52"/>
        <v>7.6568503272309192E-6</v>
      </c>
      <c r="K121">
        <f t="shared" si="53"/>
        <v>9.4575434453523686E-4</v>
      </c>
      <c r="L121">
        <f t="shared" si="54"/>
        <v>79.270825301360262</v>
      </c>
      <c r="M121">
        <f t="shared" si="56"/>
        <v>5.7679601362551167E-7</v>
      </c>
      <c r="N121">
        <f t="shared" si="46"/>
        <v>5.2790717581859964E-3</v>
      </c>
      <c r="O121">
        <f t="shared" si="55"/>
        <v>0.34157331046098338</v>
      </c>
      <c r="W121" t="e">
        <f t="shared" si="57"/>
        <v>#NUM!</v>
      </c>
      <c r="X121" t="e">
        <f t="shared" si="60"/>
        <v>#NUM!</v>
      </c>
      <c r="Y121">
        <v>9.0719999999999992</v>
      </c>
      <c r="Z121">
        <f t="shared" si="61"/>
        <v>3.0119760955226718</v>
      </c>
      <c r="AA121">
        <f t="shared" si="73"/>
        <v>6532781.7793330941</v>
      </c>
      <c r="AB121">
        <f t="shared" si="63"/>
        <v>7.3866650630425772</v>
      </c>
      <c r="AC121" t="e">
        <f t="shared" si="58"/>
        <v>#NUM!</v>
      </c>
      <c r="AD121" t="e">
        <f t="shared" si="64"/>
        <v>#NUM!</v>
      </c>
      <c r="AE121" t="e">
        <f t="shared" si="65"/>
        <v>#NUM!</v>
      </c>
      <c r="AH121">
        <v>81</v>
      </c>
      <c r="AI121">
        <f t="shared" si="68"/>
        <v>182.81049034206265</v>
      </c>
      <c r="AJ121">
        <f t="shared" si="66"/>
        <v>64.8</v>
      </c>
      <c r="AN121">
        <f t="shared" si="59"/>
        <v>2.9013258367422052E-6</v>
      </c>
      <c r="AO121">
        <f t="shared" si="67"/>
        <v>6.5037334598777474E-11</v>
      </c>
      <c r="AP121">
        <f t="shared" si="69"/>
        <v>2.3769344726782845E-7</v>
      </c>
      <c r="AQ121">
        <f t="shared" si="70"/>
        <v>1.8883640078700472E-6</v>
      </c>
      <c r="AR121">
        <f t="shared" si="71"/>
        <v>0.17116395738295209</v>
      </c>
      <c r="AS121">
        <f t="shared" si="72"/>
        <v>1.1956539168898996E-3</v>
      </c>
    </row>
    <row r="122" spans="2:45">
      <c r="B122">
        <v>0.88</v>
      </c>
      <c r="C122">
        <f t="shared" si="47"/>
        <v>1.9860892777903103</v>
      </c>
      <c r="D122">
        <f t="shared" si="48"/>
        <v>0.70399999999999996</v>
      </c>
      <c r="E122">
        <f t="shared" si="44"/>
        <v>83633.135999999999</v>
      </c>
      <c r="F122">
        <f t="shared" si="45"/>
        <v>1.0609016356577539E-2</v>
      </c>
      <c r="G122">
        <f t="shared" si="49"/>
        <v>2.4891511895415901E-3</v>
      </c>
      <c r="H122">
        <f t="shared" si="50"/>
        <v>4.5093319793220316E-2</v>
      </c>
      <c r="I122">
        <f t="shared" si="51"/>
        <v>25.502827940459913</v>
      </c>
      <c r="J122">
        <f t="shared" si="52"/>
        <v>7.6546055777268074E-6</v>
      </c>
      <c r="K122">
        <f t="shared" si="53"/>
        <v>9.4654695994260212E-4</v>
      </c>
      <c r="L122">
        <f t="shared" si="54"/>
        <v>79.162690631266187</v>
      </c>
      <c r="M122">
        <f t="shared" si="56"/>
        <v>5.764024707837299E-7</v>
      </c>
      <c r="N122">
        <f t="shared" si="46"/>
        <v>5.2835074351631536E-3</v>
      </c>
      <c r="O122">
        <f t="shared" si="55"/>
        <v>0.34147317182871206</v>
      </c>
      <c r="W122" t="e">
        <f t="shared" si="57"/>
        <v>#NUM!</v>
      </c>
      <c r="X122" t="e">
        <f t="shared" si="60"/>
        <v>#NUM!</v>
      </c>
      <c r="Y122">
        <v>10.071999999999999</v>
      </c>
      <c r="Z122">
        <f t="shared" si="61"/>
        <v>3.1736414416250618</v>
      </c>
      <c r="AA122">
        <f t="shared" si="73"/>
        <v>7252885.5909879785</v>
      </c>
      <c r="AB122">
        <f t="shared" si="63"/>
        <v>7.7831382507728364</v>
      </c>
      <c r="AC122" t="e">
        <f t="shared" si="58"/>
        <v>#NUM!</v>
      </c>
      <c r="AD122" t="e">
        <f t="shared" si="64"/>
        <v>#NUM!</v>
      </c>
      <c r="AE122" t="e">
        <f t="shared" si="65"/>
        <v>#NUM!</v>
      </c>
      <c r="AH122">
        <v>82</v>
      </c>
      <c r="AI122">
        <f t="shared" si="68"/>
        <v>185.06740997591527</v>
      </c>
      <c r="AJ122">
        <f t="shared" si="66"/>
        <v>65.599999999999994</v>
      </c>
      <c r="AN122">
        <f t="shared" si="59"/>
        <v>2.5110900601929121E-6</v>
      </c>
      <c r="AO122">
        <f t="shared" si="67"/>
        <v>5.6289646059130957E-11</v>
      </c>
      <c r="AP122">
        <f t="shared" si="69"/>
        <v>2.0572306813957433E-7</v>
      </c>
      <c r="AQ122">
        <f t="shared" si="70"/>
        <v>1.634374198905187E-6</v>
      </c>
      <c r="AR122">
        <f t="shared" si="71"/>
        <v>0.14814196551264461</v>
      </c>
      <c r="AS122">
        <f t="shared" si="72"/>
        <v>1.1123421202487976E-3</v>
      </c>
    </row>
    <row r="123" spans="2:45">
      <c r="B123">
        <v>0.89</v>
      </c>
      <c r="C123">
        <f t="shared" si="47"/>
        <v>2.0086584741288367</v>
      </c>
      <c r="D123">
        <f t="shared" si="48"/>
        <v>0.71200000000000008</v>
      </c>
      <c r="E123">
        <f t="shared" si="44"/>
        <v>83448.707999999999</v>
      </c>
      <c r="F123">
        <f t="shared" si="45"/>
        <v>1.0616826184000212E-2</v>
      </c>
      <c r="G123">
        <f t="shared" si="49"/>
        <v>2.4882355007460008E-3</v>
      </c>
      <c r="H123">
        <f t="shared" si="50"/>
        <v>4.5192979464198382E-2</v>
      </c>
      <c r="I123">
        <f t="shared" si="51"/>
        <v>25.540389574601036</v>
      </c>
      <c r="J123">
        <f t="shared" si="52"/>
        <v>7.652358942098743E-6</v>
      </c>
      <c r="K123">
        <f t="shared" si="53"/>
        <v>9.4734228471755986E-4</v>
      </c>
      <c r="L123">
        <f t="shared" si="54"/>
        <v>79.054489693448517</v>
      </c>
      <c r="M123">
        <f t="shared" si="56"/>
        <v>5.760084176436019E-7</v>
      </c>
      <c r="N123">
        <f t="shared" si="46"/>
        <v>5.2879583068190968E-3</v>
      </c>
      <c r="O123">
        <f t="shared" si="55"/>
        <v>0.34137294905615134</v>
      </c>
      <c r="W123" t="e">
        <f t="shared" si="57"/>
        <v>#NUM!</v>
      </c>
      <c r="X123" t="e">
        <f t="shared" si="60"/>
        <v>#NUM!</v>
      </c>
      <c r="Y123">
        <v>11.071999999999999</v>
      </c>
      <c r="Z123">
        <f t="shared" si="61"/>
        <v>3.3274614948936674</v>
      </c>
      <c r="AA123">
        <f t="shared" si="73"/>
        <v>7972989.402642861</v>
      </c>
      <c r="AB123">
        <f t="shared" si="63"/>
        <v>8.1603713952070009</v>
      </c>
      <c r="AC123" t="e">
        <f t="shared" si="58"/>
        <v>#NUM!</v>
      </c>
      <c r="AD123" t="e">
        <f t="shared" si="64"/>
        <v>#NUM!</v>
      </c>
      <c r="AE123" t="e">
        <f t="shared" si="65"/>
        <v>#NUM!</v>
      </c>
      <c r="AH123">
        <v>83</v>
      </c>
      <c r="AI123">
        <f t="shared" si="68"/>
        <v>187.32432960976791</v>
      </c>
      <c r="AJ123">
        <f t="shared" si="66"/>
        <v>66.400000000000006</v>
      </c>
      <c r="AN123">
        <f t="shared" si="59"/>
        <v>2.1733419978363834E-6</v>
      </c>
      <c r="AO123">
        <f t="shared" si="67"/>
        <v>4.8718544094852646E-11</v>
      </c>
      <c r="AP123">
        <f t="shared" si="69"/>
        <v>1.7805278711395805E-7</v>
      </c>
      <c r="AQ123">
        <f t="shared" si="70"/>
        <v>1.4145466715710101E-6</v>
      </c>
      <c r="AR123">
        <f t="shared" si="71"/>
        <v>0.12821649067653654</v>
      </c>
      <c r="AS123">
        <f t="shared" si="72"/>
        <v>1.034835394256939E-3</v>
      </c>
    </row>
    <row r="124" spans="2:45">
      <c r="B124">
        <v>0.9</v>
      </c>
      <c r="C124">
        <f t="shared" si="47"/>
        <v>2.0312276704673629</v>
      </c>
      <c r="D124">
        <f t="shared" si="48"/>
        <v>0.72</v>
      </c>
      <c r="E124">
        <f t="shared" si="44"/>
        <v>83264.28</v>
      </c>
      <c r="F124">
        <f t="shared" si="45"/>
        <v>1.0624659059146812E-2</v>
      </c>
      <c r="G124">
        <f t="shared" si="49"/>
        <v>2.4873181239428686E-3</v>
      </c>
      <c r="H124">
        <f t="shared" si="50"/>
        <v>4.5293080621821108E-2</v>
      </c>
      <c r="I124">
        <f t="shared" si="51"/>
        <v>25.57808982086523</v>
      </c>
      <c r="J124">
        <f t="shared" si="52"/>
        <v>7.6501104138856943E-6</v>
      </c>
      <c r="K124">
        <f t="shared" si="53"/>
        <v>9.4814033392544295E-4</v>
      </c>
      <c r="L124">
        <f t="shared" si="54"/>
        <v>78.946222243261573</v>
      </c>
      <c r="M124">
        <f t="shared" si="56"/>
        <v>5.7561385226522687E-7</v>
      </c>
      <c r="N124">
        <f t="shared" si="46"/>
        <v>5.2924244578297381E-3</v>
      </c>
      <c r="O124">
        <f t="shared" si="55"/>
        <v>0.34127264185507356</v>
      </c>
      <c r="W124" t="e">
        <f t="shared" si="57"/>
        <v>#NUM!</v>
      </c>
      <c r="X124" t="e">
        <f t="shared" si="60"/>
        <v>#NUM!</v>
      </c>
      <c r="Y124">
        <v>12.071999999999999</v>
      </c>
      <c r="Z124">
        <f t="shared" si="61"/>
        <v>3.4744783781166344</v>
      </c>
      <c r="AA124">
        <f t="shared" si="73"/>
        <v>8693093.2142977435</v>
      </c>
      <c r="AB124">
        <f t="shared" si="63"/>
        <v>8.5209202311007513</v>
      </c>
      <c r="AC124" t="e">
        <f t="shared" si="58"/>
        <v>#NUM!</v>
      </c>
      <c r="AD124" t="e">
        <f t="shared" si="64"/>
        <v>#NUM!</v>
      </c>
      <c r="AE124" t="e">
        <f t="shared" si="65"/>
        <v>#NUM!</v>
      </c>
      <c r="AH124">
        <v>84</v>
      </c>
      <c r="AI124">
        <f t="shared" si="68"/>
        <v>189.58124924362053</v>
      </c>
      <c r="AJ124">
        <f t="shared" si="66"/>
        <v>67.2</v>
      </c>
      <c r="AN124">
        <f t="shared" si="59"/>
        <v>1.8810219173089231E-6</v>
      </c>
      <c r="AO124">
        <f t="shared" si="67"/>
        <v>4.2165774789715384E-11</v>
      </c>
      <c r="AP124">
        <f t="shared" si="69"/>
        <v>1.541042299521717E-7</v>
      </c>
      <c r="AQ124">
        <f t="shared" si="70"/>
        <v>1.2242865112487159E-6</v>
      </c>
      <c r="AR124">
        <f t="shared" si="71"/>
        <v>0.11097104338069935</v>
      </c>
      <c r="AS124">
        <f t="shared" si="72"/>
        <v>9.6272924823467918E-4</v>
      </c>
    </row>
    <row r="125" spans="2:45">
      <c r="B125">
        <v>0.91</v>
      </c>
      <c r="C125">
        <f t="shared" si="47"/>
        <v>2.053796866805889</v>
      </c>
      <c r="D125">
        <f t="shared" si="48"/>
        <v>0.72799999999999998</v>
      </c>
      <c r="E125">
        <f t="shared" si="44"/>
        <v>83079.851999999999</v>
      </c>
      <c r="F125">
        <f t="shared" si="45"/>
        <v>1.0632515101310384E-2</v>
      </c>
      <c r="G125">
        <f t="shared" si="49"/>
        <v>2.4863990522712232E-3</v>
      </c>
      <c r="H125">
        <f t="shared" si="50"/>
        <v>4.5393626206241759E-2</v>
      </c>
      <c r="I125">
        <f t="shared" si="51"/>
        <v>25.615929499491973</v>
      </c>
      <c r="J125">
        <f t="shared" si="52"/>
        <v>7.6478599865906238E-6</v>
      </c>
      <c r="K125">
        <f t="shared" si="53"/>
        <v>9.4894112274882122E-4</v>
      </c>
      <c r="L125">
        <f t="shared" si="54"/>
        <v>78.837888034685903</v>
      </c>
      <c r="M125">
        <f t="shared" si="56"/>
        <v>5.7521877269700513E-7</v>
      </c>
      <c r="N125">
        <f t="shared" si="46"/>
        <v>5.2969059735309913E-3</v>
      </c>
      <c r="O125">
        <f t="shared" si="55"/>
        <v>0.34117224993564488</v>
      </c>
      <c r="W125" t="e">
        <f t="shared" si="57"/>
        <v>#NUM!</v>
      </c>
      <c r="X125" t="e">
        <f t="shared" si="60"/>
        <v>#NUM!</v>
      </c>
      <c r="Y125">
        <v>13.071999999999999</v>
      </c>
      <c r="Z125">
        <f t="shared" si="61"/>
        <v>3.6155220923125335</v>
      </c>
      <c r="AA125">
        <f t="shared" si="73"/>
        <v>9413197.025952626</v>
      </c>
      <c r="AB125">
        <f t="shared" si="63"/>
        <v>8.8668202790995778</v>
      </c>
      <c r="AC125" t="e">
        <f t="shared" si="58"/>
        <v>#NUM!</v>
      </c>
      <c r="AD125" t="e">
        <f t="shared" si="64"/>
        <v>#NUM!</v>
      </c>
      <c r="AE125" t="e">
        <f t="shared" si="65"/>
        <v>#NUM!</v>
      </c>
    </row>
    <row r="126" spans="2:45">
      <c r="B126">
        <v>0.92</v>
      </c>
      <c r="C126">
        <f t="shared" si="47"/>
        <v>2.0763660631444156</v>
      </c>
      <c r="D126">
        <f t="shared" si="48"/>
        <v>0.7360000000000001</v>
      </c>
      <c r="E126">
        <f t="shared" si="44"/>
        <v>82895.423999999999</v>
      </c>
      <c r="F126">
        <f t="shared" si="45"/>
        <v>1.0640394430668006E-2</v>
      </c>
      <c r="G126">
        <f t="shared" si="49"/>
        <v>2.485478278826901E-3</v>
      </c>
      <c r="H126">
        <f t="shared" si="50"/>
        <v>4.5494619183778909E-2</v>
      </c>
      <c r="I126">
        <f t="shared" si="51"/>
        <v>25.653909437409503</v>
      </c>
      <c r="J126">
        <f t="shared" si="52"/>
        <v>7.6456076536802088E-6</v>
      </c>
      <c r="K126">
        <f t="shared" si="53"/>
        <v>9.4974466648858511E-4</v>
      </c>
      <c r="L126">
        <f t="shared" si="54"/>
        <v>78.729486820309859</v>
      </c>
      <c r="M126">
        <f t="shared" si="56"/>
        <v>5.7482317697551238E-7</v>
      </c>
      <c r="N126">
        <f t="shared" si="46"/>
        <v>5.3014029399254042E-3</v>
      </c>
      <c r="O126">
        <f t="shared" si="55"/>
        <v>0.34107177300641267</v>
      </c>
      <c r="W126" t="e">
        <f t="shared" si="57"/>
        <v>#NUM!</v>
      </c>
      <c r="X126" t="e">
        <f t="shared" si="60"/>
        <v>#NUM!</v>
      </c>
      <c r="Y126">
        <v>14.071999999999999</v>
      </c>
      <c r="Z126">
        <f t="shared" si="61"/>
        <v>3.7512664528129696</v>
      </c>
      <c r="AA126">
        <f t="shared" si="73"/>
        <v>10133300.837607509</v>
      </c>
      <c r="AB126">
        <f t="shared" si="63"/>
        <v>9.1997240251499353</v>
      </c>
      <c r="AC126" t="e">
        <f t="shared" si="58"/>
        <v>#NUM!</v>
      </c>
      <c r="AD126" t="e">
        <f t="shared" si="64"/>
        <v>#NUM!</v>
      </c>
      <c r="AE126" t="e">
        <f t="shared" si="65"/>
        <v>#NUM!</v>
      </c>
    </row>
    <row r="127" spans="2:45">
      <c r="B127">
        <v>0.93</v>
      </c>
      <c r="C127">
        <f t="shared" si="47"/>
        <v>2.0989352594829418</v>
      </c>
      <c r="D127">
        <f t="shared" si="48"/>
        <v>0.74400000000000011</v>
      </c>
      <c r="E127">
        <f t="shared" si="44"/>
        <v>82710.995999999999</v>
      </c>
      <c r="F127">
        <f t="shared" si="45"/>
        <v>1.0648297168289324E-2</v>
      </c>
      <c r="G127">
        <f t="shared" si="49"/>
        <v>2.4845557966621766E-3</v>
      </c>
      <c r="H127">
        <f t="shared" si="50"/>
        <v>4.5596062547208195E-2</v>
      </c>
      <c r="I127">
        <f t="shared" si="51"/>
        <v>25.692030468304438</v>
      </c>
      <c r="J127">
        <f t="shared" si="52"/>
        <v>7.6433534085845551E-6</v>
      </c>
      <c r="K127">
        <f t="shared" si="53"/>
        <v>9.5055098056508864E-4</v>
      </c>
      <c r="L127">
        <f t="shared" si="54"/>
        <v>78.621018351315129</v>
      </c>
      <c r="M127">
        <f t="shared" si="56"/>
        <v>5.7442706312538923E-7</v>
      </c>
      <c r="N127">
        <f t="shared" si="46"/>
        <v>5.3059154436888734E-3</v>
      </c>
      <c r="O127">
        <f t="shared" si="55"/>
        <v>0.34097121077429293</v>
      </c>
      <c r="W127" t="e">
        <f t="shared" si="57"/>
        <v>#NUM!</v>
      </c>
      <c r="X127" t="e">
        <f t="shared" si="60"/>
        <v>#NUM!</v>
      </c>
      <c r="Y127">
        <v>15.071999999999999</v>
      </c>
      <c r="Z127">
        <f t="shared" si="61"/>
        <v>3.8822673787362971</v>
      </c>
      <c r="AA127">
        <f t="shared" si="73"/>
        <v>10853404.649262391</v>
      </c>
      <c r="AB127">
        <f t="shared" si="63"/>
        <v>9.520994822810815</v>
      </c>
      <c r="AC127" t="e">
        <f t="shared" si="58"/>
        <v>#NUM!</v>
      </c>
      <c r="AD127" t="e">
        <f t="shared" si="64"/>
        <v>#NUM!</v>
      </c>
      <c r="AE127" t="e">
        <f t="shared" si="65"/>
        <v>#NUM!</v>
      </c>
    </row>
    <row r="128" spans="2:45">
      <c r="B128">
        <v>0.94</v>
      </c>
      <c r="C128">
        <f t="shared" si="47"/>
        <v>2.121504455821468</v>
      </c>
      <c r="D128">
        <f t="shared" si="48"/>
        <v>0.752</v>
      </c>
      <c r="E128">
        <f t="shared" si="44"/>
        <v>82526.567999999999</v>
      </c>
      <c r="F128">
        <f t="shared" si="45"/>
        <v>1.0656223436145194E-2</v>
      </c>
      <c r="G128">
        <f t="shared" si="49"/>
        <v>2.4836315987853889E-3</v>
      </c>
      <c r="H128">
        <f t="shared" si="50"/>
        <v>4.5697959316057912E-2</v>
      </c>
      <c r="I128">
        <f t="shared" si="51"/>
        <v>25.730293432692207</v>
      </c>
      <c r="J128">
        <f t="shared" si="52"/>
        <v>7.641097244696916E-6</v>
      </c>
      <c r="K128">
        <f t="shared" si="53"/>
        <v>9.5136008051953001E-4</v>
      </c>
      <c r="L128">
        <f t="shared" si="54"/>
        <v>78.512482377480467</v>
      </c>
      <c r="M128">
        <f t="shared" si="56"/>
        <v>5.7403042915929607E-7</v>
      </c>
      <c r="N128">
        <f t="shared" si="46"/>
        <v>5.3104435721773851E-3</v>
      </c>
      <c r="O128">
        <f t="shared" si="55"/>
        <v>0.3408705629445577</v>
      </c>
      <c r="W128" t="e">
        <f t="shared" si="57"/>
        <v>#NUM!</v>
      </c>
      <c r="X128" t="e">
        <f t="shared" si="60"/>
        <v>#NUM!</v>
      </c>
      <c r="Y128">
        <v>16.071999999999999</v>
      </c>
      <c r="Z128">
        <f t="shared" si="61"/>
        <v>4.0089898977173783</v>
      </c>
      <c r="AA128">
        <f t="shared" si="73"/>
        <v>11573508.460917272</v>
      </c>
      <c r="AB128">
        <f t="shared" si="63"/>
        <v>9.8317731205037351</v>
      </c>
      <c r="AC128" t="e">
        <f t="shared" si="58"/>
        <v>#NUM!</v>
      </c>
      <c r="AD128" t="e">
        <f t="shared" si="64"/>
        <v>#NUM!</v>
      </c>
      <c r="AE128" t="e">
        <f t="shared" si="65"/>
        <v>#NUM!</v>
      </c>
    </row>
    <row r="129" spans="2:31">
      <c r="B129">
        <v>0.95</v>
      </c>
      <c r="C129">
        <f t="shared" si="47"/>
        <v>2.1440736521599941</v>
      </c>
      <c r="D129">
        <f t="shared" si="48"/>
        <v>0.76</v>
      </c>
      <c r="E129">
        <f t="shared" si="44"/>
        <v>82342.14</v>
      </c>
      <c r="F129">
        <f t="shared" si="45"/>
        <v>1.0664173357116414E-2</v>
      </c>
      <c r="G129">
        <f t="shared" si="49"/>
        <v>2.4827056781605676E-3</v>
      </c>
      <c r="H129">
        <f t="shared" si="50"/>
        <v>4.5800312536908645E-2</v>
      </c>
      <c r="I129">
        <f t="shared" si="51"/>
        <v>25.768699177988434</v>
      </c>
      <c r="J129">
        <f t="shared" si="52"/>
        <v>7.6388391553733953E-6</v>
      </c>
      <c r="K129">
        <f t="shared" si="53"/>
        <v>9.5217198201497457E-4</v>
      </c>
      <c r="L129">
        <f t="shared" si="54"/>
        <v>78.403878647154514</v>
      </c>
      <c r="M129">
        <f t="shared" si="56"/>
        <v>5.7363327307775349E-7</v>
      </c>
      <c r="N129">
        <f t="shared" si="46"/>
        <v>5.31498741343394E-3</v>
      </c>
      <c r="O129">
        <f t="shared" si="55"/>
        <v>0.34076982922082166</v>
      </c>
      <c r="W129" t="e">
        <f t="shared" si="57"/>
        <v>#NUM!</v>
      </c>
      <c r="X129" t="e">
        <f t="shared" si="60"/>
        <v>#NUM!</v>
      </c>
      <c r="Y129">
        <v>17.071999999999999</v>
      </c>
      <c r="Z129">
        <f t="shared" si="61"/>
        <v>4.1318276827573532</v>
      </c>
      <c r="AA129">
        <f t="shared" si="73"/>
        <v>12293612.272572158</v>
      </c>
      <c r="AB129">
        <f t="shared" si="63"/>
        <v>10.133024374298584</v>
      </c>
      <c r="AC129" t="e">
        <f t="shared" si="58"/>
        <v>#NUM!</v>
      </c>
      <c r="AD129" t="e">
        <f t="shared" si="64"/>
        <v>#NUM!</v>
      </c>
      <c r="AE129" t="e">
        <f t="shared" si="65"/>
        <v>#NUM!</v>
      </c>
    </row>
    <row r="130" spans="2:31">
      <c r="B130">
        <v>0.96</v>
      </c>
      <c r="C130">
        <f t="shared" si="47"/>
        <v>2.1666428484985203</v>
      </c>
      <c r="D130">
        <f t="shared" si="48"/>
        <v>0.76800000000000002</v>
      </c>
      <c r="E130">
        <f t="shared" ref="E130:E161" si="74">$C$13+$C$18*$C$19*($C$3-D130)+4*$C$22/$C$11</f>
        <v>82157.712</v>
      </c>
      <c r="F130">
        <f t="shared" ref="F130:F161" si="75">$C$11*($G$27/E130)^(1/3)</f>
        <v>1.0672147055002577E-2</v>
      </c>
      <c r="G130">
        <f t="shared" si="49"/>
        <v>2.4817780277070476E-3</v>
      </c>
      <c r="H130">
        <f t="shared" si="50"/>
        <v>4.5903125283696881E-2</v>
      </c>
      <c r="I130">
        <f t="shared" si="51"/>
        <v>25.807248558581147</v>
      </c>
      <c r="J130">
        <f t="shared" si="52"/>
        <v>7.6365791339326632E-6</v>
      </c>
      <c r="K130">
        <f t="shared" si="53"/>
        <v>9.5298670083768884E-4</v>
      </c>
      <c r="L130">
        <f t="shared" si="54"/>
        <v>78.295206907253004</v>
      </c>
      <c r="M130">
        <f t="shared" si="56"/>
        <v>5.7323559286907244E-7</v>
      </c>
      <c r="N130">
        <f t="shared" ref="N130:N161" si="76">1/2*$G$24*G130*I130*(J130-M130)</f>
        <v>5.3195470561954623E-3</v>
      </c>
      <c r="O130">
        <f t="shared" si="55"/>
        <v>0.34066900930502964</v>
      </c>
      <c r="W130" t="e">
        <f t="shared" si="57"/>
        <v>#NUM!</v>
      </c>
      <c r="X130" t="e">
        <f t="shared" si="60"/>
        <v>#NUM!</v>
      </c>
      <c r="Y130">
        <v>18.071999999999999</v>
      </c>
      <c r="Z130">
        <f t="shared" si="61"/>
        <v>4.2511175001404045</v>
      </c>
      <c r="AA130">
        <f t="shared" si="73"/>
        <v>13013716.08422704</v>
      </c>
      <c r="AB130">
        <f t="shared" si="63"/>
        <v>10.425574480439849</v>
      </c>
      <c r="AC130" t="e">
        <f t="shared" si="58"/>
        <v>#NUM!</v>
      </c>
      <c r="AD130" t="e">
        <f t="shared" si="64"/>
        <v>#NUM!</v>
      </c>
      <c r="AE130" t="e">
        <f t="shared" si="65"/>
        <v>#NUM!</v>
      </c>
    </row>
    <row r="131" spans="2:31">
      <c r="B131">
        <v>0.97</v>
      </c>
      <c r="C131">
        <f t="shared" si="47"/>
        <v>2.1892120448370465</v>
      </c>
      <c r="D131">
        <f t="shared" si="48"/>
        <v>0.77599999999999991</v>
      </c>
      <c r="E131">
        <f t="shared" si="74"/>
        <v>81973.284</v>
      </c>
      <c r="F131">
        <f t="shared" si="75"/>
        <v>1.0680144654531017E-2</v>
      </c>
      <c r="G131">
        <f t="shared" si="49"/>
        <v>2.4808486402990871E-3</v>
      </c>
      <c r="H131">
        <f t="shared" si="50"/>
        <v>4.6006400658022757E-2</v>
      </c>
      <c r="I131">
        <f t="shared" si="51"/>
        <v>25.845942435904007</v>
      </c>
      <c r="J131">
        <f t="shared" si="52"/>
        <v>7.6343171736556546E-6</v>
      </c>
      <c r="K131">
        <f t="shared" si="53"/>
        <v>9.5380425289836148E-4</v>
      </c>
      <c r="L131">
        <f t="shared" ref="L131:L162" si="77">K131*E131</f>
        <v>78.186466903245204</v>
      </c>
      <c r="M131">
        <f t="shared" si="56"/>
        <v>5.7283738650924397E-7</v>
      </c>
      <c r="N131">
        <f t="shared" si="76"/>
        <v>5.3241225898998596E-3</v>
      </c>
      <c r="O131">
        <f t="shared" si="55"/>
        <v>0.34056810289744305</v>
      </c>
      <c r="W131" t="e">
        <f t="shared" si="57"/>
        <v>#NUM!</v>
      </c>
      <c r="X131" t="e">
        <f t="shared" si="60"/>
        <v>#NUM!</v>
      </c>
      <c r="Y131">
        <v>19.071999999999999</v>
      </c>
      <c r="Z131">
        <f t="shared" si="61"/>
        <v>4.3671501004659774</v>
      </c>
      <c r="AA131">
        <f t="shared" si="73"/>
        <v>13733819.895881923</v>
      </c>
      <c r="AB131">
        <f t="shared" si="63"/>
        <v>10.71013648485714</v>
      </c>
      <c r="AC131" t="e">
        <f t="shared" si="58"/>
        <v>#NUM!</v>
      </c>
      <c r="AD131" t="e">
        <f t="shared" si="64"/>
        <v>#NUM!</v>
      </c>
      <c r="AE131" t="e">
        <f t="shared" si="65"/>
        <v>#NUM!</v>
      </c>
    </row>
    <row r="132" spans="2:31">
      <c r="B132">
        <v>0.98</v>
      </c>
      <c r="C132">
        <f t="shared" si="47"/>
        <v>2.2117812411755731</v>
      </c>
      <c r="D132">
        <f t="shared" si="48"/>
        <v>0.78400000000000003</v>
      </c>
      <c r="E132">
        <f t="shared" si="74"/>
        <v>81788.856</v>
      </c>
      <c r="F132">
        <f t="shared" si="75"/>
        <v>1.0688166281365865E-2</v>
      </c>
      <c r="G132">
        <f t="shared" si="49"/>
        <v>2.4799175087654789E-3</v>
      </c>
      <c r="H132">
        <f t="shared" si="50"/>
        <v>4.6110141789461968E-2</v>
      </c>
      <c r="I132">
        <f t="shared" si="51"/>
        <v>25.884781678510404</v>
      </c>
      <c r="J132">
        <f t="shared" si="52"/>
        <v>7.6320532677852759E-6</v>
      </c>
      <c r="K132">
        <f t="shared" si="53"/>
        <v>9.5462465423338692E-4</v>
      </c>
      <c r="L132">
        <f t="shared" si="77"/>
        <v>78.077658379144268</v>
      </c>
      <c r="M132">
        <f t="shared" si="56"/>
        <v>5.7243865196184227E-7</v>
      </c>
      <c r="N132">
        <f t="shared" si="76"/>
        <v>5.3287141046931491E-3</v>
      </c>
      <c r="O132">
        <f t="shared" si="55"/>
        <v>0.34046710969662686</v>
      </c>
      <c r="W132" t="e">
        <f t="shared" si="57"/>
        <v>#NUM!</v>
      </c>
      <c r="X132" t="e">
        <f t="shared" si="60"/>
        <v>#NUM!</v>
      </c>
      <c r="Y132">
        <v>20.071999999999999</v>
      </c>
      <c r="Z132">
        <f t="shared" si="61"/>
        <v>4.4801785678698121</v>
      </c>
      <c r="AA132">
        <f t="shared" si="73"/>
        <v>14453923.707536802</v>
      </c>
      <c r="AB132">
        <f t="shared" si="63"/>
        <v>10.987331059057857</v>
      </c>
      <c r="AC132" t="e">
        <f t="shared" si="58"/>
        <v>#NUM!</v>
      </c>
      <c r="AD132" t="e">
        <f t="shared" si="64"/>
        <v>#NUM!</v>
      </c>
      <c r="AE132" t="e">
        <f t="shared" si="65"/>
        <v>#NUM!</v>
      </c>
    </row>
    <row r="133" spans="2:31">
      <c r="B133">
        <v>0.99</v>
      </c>
      <c r="C133">
        <f t="shared" si="47"/>
        <v>2.2343504375140992</v>
      </c>
      <c r="D133">
        <f t="shared" si="48"/>
        <v>0.79200000000000004</v>
      </c>
      <c r="E133">
        <f t="shared" si="74"/>
        <v>81604.428</v>
      </c>
      <c r="F133">
        <f t="shared" si="75"/>
        <v>1.069621206211723E-2</v>
      </c>
      <c r="G133">
        <f t="shared" si="49"/>
        <v>2.4789846258891557E-3</v>
      </c>
      <c r="H133">
        <f t="shared" si="50"/>
        <v>4.6214351835881837E-2</v>
      </c>
      <c r="I133">
        <f t="shared" si="51"/>
        <v>25.923767162148469</v>
      </c>
      <c r="J133">
        <f t="shared" si="52"/>
        <v>7.6297874095261021E-6</v>
      </c>
      <c r="K133">
        <f t="shared" si="53"/>
        <v>9.554479210060504E-4</v>
      </c>
      <c r="L133">
        <f t="shared" si="77"/>
        <v>77.968781077487932</v>
      </c>
      <c r="M133">
        <f t="shared" si="56"/>
        <v>5.7203938717789177E-7</v>
      </c>
      <c r="N133">
        <f t="shared" si="76"/>
        <v>5.333321691436672E-3</v>
      </c>
      <c r="O133">
        <f t="shared" si="55"/>
        <v>0.34036602939943617</v>
      </c>
      <c r="W133" t="e">
        <f t="shared" si="57"/>
        <v>#NUM!</v>
      </c>
      <c r="X133" t="e">
        <f t="shared" si="60"/>
        <v>#NUM!</v>
      </c>
      <c r="Y133">
        <v>21.071999999999999</v>
      </c>
      <c r="Z133">
        <f t="shared" si="61"/>
        <v>4.5904248169423276</v>
      </c>
      <c r="AA133">
        <f t="shared" si="73"/>
        <v>15174027.519191688</v>
      </c>
      <c r="AB133">
        <f t="shared" si="63"/>
        <v>11.257702433374535</v>
      </c>
      <c r="AC133" t="e">
        <f t="shared" si="58"/>
        <v>#NUM!</v>
      </c>
      <c r="AD133" t="e">
        <f t="shared" si="64"/>
        <v>#NUM!</v>
      </c>
      <c r="AE133" t="e">
        <f t="shared" si="65"/>
        <v>#NUM!</v>
      </c>
    </row>
    <row r="134" spans="2:31">
      <c r="B134">
        <v>1</v>
      </c>
      <c r="C134">
        <f t="shared" si="47"/>
        <v>2.2569196338526254</v>
      </c>
      <c r="D134">
        <f t="shared" si="48"/>
        <v>0.8</v>
      </c>
      <c r="E134">
        <f t="shared" si="74"/>
        <v>81420</v>
      </c>
      <c r="F134">
        <f t="shared" si="75"/>
        <v>1.0704282124350459E-2</v>
      </c>
      <c r="G134">
        <f t="shared" si="49"/>
        <v>2.4780499844067922E-3</v>
      </c>
      <c r="H134">
        <f t="shared" si="50"/>
        <v>4.6319033983761811E-2</v>
      </c>
      <c r="I134">
        <f t="shared" si="51"/>
        <v>25.96289976983719</v>
      </c>
      <c r="J134">
        <f t="shared" si="52"/>
        <v>7.6275195920440696E-6</v>
      </c>
      <c r="K134">
        <f t="shared" si="53"/>
        <v>9.562740695080083E-4</v>
      </c>
      <c r="L134">
        <f t="shared" si="77"/>
        <v>77.859834739342034</v>
      </c>
      <c r="M134">
        <f t="shared" si="56"/>
        <v>5.7163959009581742E-7</v>
      </c>
      <c r="N134">
        <f t="shared" si="76"/>
        <v>5.3379454417143779E-3</v>
      </c>
      <c r="O134">
        <f t="shared" si="55"/>
        <v>0.34026486170100223</v>
      </c>
      <c r="W134" t="e">
        <f t="shared" si="57"/>
        <v>#NUM!</v>
      </c>
      <c r="X134" t="e">
        <f t="shared" si="60"/>
        <v>#NUM!</v>
      </c>
      <c r="Y134">
        <v>22.071999999999999</v>
      </c>
      <c r="Z134">
        <f t="shared" si="61"/>
        <v>4.6980847161369921</v>
      </c>
      <c r="AA134">
        <f t="shared" si="73"/>
        <v>15894131.330846569</v>
      </c>
      <c r="AB134">
        <f t="shared" si="63"/>
        <v>11.521730961772901</v>
      </c>
      <c r="AC134" t="e">
        <f t="shared" si="58"/>
        <v>#NUM!</v>
      </c>
      <c r="AD134" t="e">
        <f t="shared" si="64"/>
        <v>#NUM!</v>
      </c>
      <c r="AE134" t="e">
        <f t="shared" si="65"/>
        <v>#NUM!</v>
      </c>
    </row>
    <row r="135" spans="2:31">
      <c r="W135" t="e">
        <f t="shared" si="57"/>
        <v>#NUM!</v>
      </c>
      <c r="X135" t="e">
        <f t="shared" si="60"/>
        <v>#NUM!</v>
      </c>
      <c r="Y135">
        <v>23.071999999999999</v>
      </c>
      <c r="Z135">
        <f t="shared" si="61"/>
        <v>4.8033321767289836</v>
      </c>
      <c r="AA135">
        <f t="shared" si="73"/>
        <v>16614235.142501451</v>
      </c>
      <c r="AB135">
        <f t="shared" si="63"/>
        <v>11.779843149742943</v>
      </c>
      <c r="AC135" t="e">
        <f t="shared" si="58"/>
        <v>#NUM!</v>
      </c>
      <c r="AD135" t="e">
        <f t="shared" si="64"/>
        <v>#NUM!</v>
      </c>
      <c r="AE135" t="e">
        <f t="shared" si="65"/>
        <v>#NUM!</v>
      </c>
    </row>
    <row r="136" spans="2:31">
      <c r="W136" t="e">
        <f t="shared" ref="W136:W156" si="78">2*$X$36/($X$37^2)*LN($X$36)-2*$X$36/($X$37^2)*LN($X$36-$X$37*Z136)-2*Z136/$X$37</f>
        <v>#NUM!</v>
      </c>
      <c r="X136" t="e">
        <f t="shared" si="60"/>
        <v>#NUM!</v>
      </c>
      <c r="Y136">
        <v>24.071999999999999</v>
      </c>
      <c r="Z136">
        <f t="shared" si="61"/>
        <v>4.9063224516943444</v>
      </c>
      <c r="AA136">
        <f t="shared" si="73"/>
        <v>17334338.954156335</v>
      </c>
      <c r="AB136">
        <f t="shared" si="63"/>
        <v>12.032419744574039</v>
      </c>
      <c r="AC136" t="e">
        <f t="shared" ref="AC136:AC156" si="79">$X$36*W136</f>
        <v>#NUM!</v>
      </c>
      <c r="AD136" t="e">
        <f t="shared" si="64"/>
        <v>#NUM!</v>
      </c>
      <c r="AE136" t="e">
        <f t="shared" si="65"/>
        <v>#NUM!</v>
      </c>
    </row>
    <row r="137" spans="2:31">
      <c r="W137" t="e">
        <f t="shared" si="78"/>
        <v>#NUM!</v>
      </c>
      <c r="X137" t="e">
        <f t="shared" si="60"/>
        <v>#NUM!</v>
      </c>
      <c r="Y137">
        <v>25.071999999999999</v>
      </c>
      <c r="Z137">
        <f t="shared" si="61"/>
        <v>5.0071948234515498</v>
      </c>
      <c r="AA137">
        <f t="shared" si="73"/>
        <v>18054442.76581122</v>
      </c>
      <c r="AB137">
        <f t="shared" si="63"/>
        <v>12.279802326857082</v>
      </c>
      <c r="AC137" t="e">
        <f t="shared" si="79"/>
        <v>#NUM!</v>
      </c>
      <c r="AD137" t="e">
        <f t="shared" si="64"/>
        <v>#NUM!</v>
      </c>
      <c r="AE137" t="e">
        <f t="shared" si="65"/>
        <v>#NUM!</v>
      </c>
    </row>
    <row r="138" spans="2:31">
      <c r="W138" t="e">
        <f t="shared" si="78"/>
        <v>#NUM!</v>
      </c>
      <c r="X138" t="e">
        <f t="shared" si="60"/>
        <v>#NUM!</v>
      </c>
      <c r="Y138">
        <v>26.071999999999999</v>
      </c>
      <c r="Z138">
        <f t="shared" si="61"/>
        <v>5.1060748133962939</v>
      </c>
      <c r="AA138">
        <f t="shared" si="73"/>
        <v>18774546.5774661</v>
      </c>
      <c r="AB138">
        <f t="shared" si="63"/>
        <v>12.522298729217171</v>
      </c>
      <c r="AC138" t="e">
        <f t="shared" si="79"/>
        <v>#NUM!</v>
      </c>
      <c r="AD138" t="e">
        <f t="shared" si="64"/>
        <v>#NUM!</v>
      </c>
      <c r="AE138" t="e">
        <f t="shared" si="65"/>
        <v>#NUM!</v>
      </c>
    </row>
    <row r="139" spans="2:31">
      <c r="W139" t="e">
        <f t="shared" si="78"/>
        <v>#NUM!</v>
      </c>
      <c r="X139" t="e">
        <f t="shared" si="60"/>
        <v>#NUM!</v>
      </c>
      <c r="Y139">
        <v>27.071999999999999</v>
      </c>
      <c r="Z139">
        <f t="shared" si="61"/>
        <v>5.2030760132829119</v>
      </c>
      <c r="AA139">
        <f t="shared" si="73"/>
        <v>19494650.389120981</v>
      </c>
      <c r="AB139">
        <f t="shared" si="63"/>
        <v>12.760187527651128</v>
      </c>
      <c r="AC139" t="e">
        <f t="shared" si="79"/>
        <v>#NUM!</v>
      </c>
      <c r="AD139" t="e">
        <f t="shared" si="64"/>
        <v>#NUM!</v>
      </c>
      <c r="AE139" t="e">
        <f t="shared" si="65"/>
        <v>#NUM!</v>
      </c>
    </row>
    <row r="140" spans="2:31">
      <c r="W140" t="e">
        <f t="shared" si="78"/>
        <v>#NUM!</v>
      </c>
      <c r="X140" t="e">
        <f t="shared" si="60"/>
        <v>#NUM!</v>
      </c>
      <c r="Y140">
        <v>28.071999999999999</v>
      </c>
      <c r="Z140">
        <f t="shared" si="61"/>
        <v>5.2983016146686097</v>
      </c>
      <c r="AA140">
        <f t="shared" si="73"/>
        <v>20214754.200775865</v>
      </c>
      <c r="AB140">
        <f t="shared" si="63"/>
        <v>12.99372179238469</v>
      </c>
      <c r="AC140" t="e">
        <f t="shared" si="79"/>
        <v>#NUM!</v>
      </c>
      <c r="AD140" t="e">
        <f t="shared" si="64"/>
        <v>#NUM!</v>
      </c>
      <c r="AE140" t="e">
        <f t="shared" si="65"/>
        <v>#NUM!</v>
      </c>
    </row>
    <row r="141" spans="2:31">
      <c r="W141" t="e">
        <f t="shared" si="78"/>
        <v>#NUM!</v>
      </c>
      <c r="X141" t="e">
        <f t="shared" si="60"/>
        <v>#NUM!</v>
      </c>
      <c r="Y141">
        <v>29.071999999999999</v>
      </c>
      <c r="Z141">
        <f t="shared" si="61"/>
        <v>5.3918456951214768</v>
      </c>
      <c r="AA141">
        <f t="shared" si="73"/>
        <v>20934858.01243075</v>
      </c>
      <c r="AB141">
        <f t="shared" si="63"/>
        <v>13.223132242209571</v>
      </c>
      <c r="AC141" t="e">
        <f t="shared" si="79"/>
        <v>#NUM!</v>
      </c>
      <c r="AD141" t="e">
        <f t="shared" si="64"/>
        <v>#NUM!</v>
      </c>
      <c r="AE141" t="e">
        <f t="shared" si="65"/>
        <v>#NUM!</v>
      </c>
    </row>
    <row r="142" spans="2:31">
      <c r="W142" t="e">
        <f t="shared" si="78"/>
        <v>#NUM!</v>
      </c>
      <c r="X142" t="e">
        <f t="shared" si="60"/>
        <v>#NUM!</v>
      </c>
      <c r="Y142">
        <v>30.071999999999999</v>
      </c>
      <c r="Z142">
        <f t="shared" si="61"/>
        <v>5.4837943068645449</v>
      </c>
      <c r="AA142">
        <f t="shared" si="73"/>
        <v>21654961.82408563</v>
      </c>
      <c r="AB142">
        <f t="shared" si="63"/>
        <v>13.448629914308434</v>
      </c>
      <c r="AC142" t="e">
        <f t="shared" si="79"/>
        <v>#NUM!</v>
      </c>
      <c r="AD142" t="e">
        <f t="shared" si="64"/>
        <v>#NUM!</v>
      </c>
      <c r="AE142" t="e">
        <f t="shared" si="65"/>
        <v>#NUM!</v>
      </c>
    </row>
    <row r="143" spans="2:31">
      <c r="W143" t="e">
        <f t="shared" si="78"/>
        <v>#NUM!</v>
      </c>
      <c r="X143" t="e">
        <f t="shared" si="60"/>
        <v>#NUM!</v>
      </c>
      <c r="Y143">
        <v>31.071999999999999</v>
      </c>
      <c r="Z143">
        <f t="shared" si="61"/>
        <v>5.5742264037263505</v>
      </c>
      <c r="AA143">
        <f t="shared" si="73"/>
        <v>22375065.635740515</v>
      </c>
      <c r="AB143">
        <f t="shared" si="63"/>
        <v>13.67040843753767</v>
      </c>
      <c r="AC143" t="e">
        <f t="shared" si="79"/>
        <v>#NUM!</v>
      </c>
      <c r="AD143" t="e">
        <f t="shared" si="64"/>
        <v>#NUM!</v>
      </c>
      <c r="AE143" t="e">
        <f t="shared" si="65"/>
        <v>#NUM!</v>
      </c>
    </row>
    <row r="144" spans="2:31">
      <c r="W144" t="e">
        <f t="shared" si="78"/>
        <v>#NUM!</v>
      </c>
      <c r="X144" t="e">
        <f t="shared" si="60"/>
        <v>#NUM!</v>
      </c>
      <c r="Y144">
        <v>32.072000000000003</v>
      </c>
      <c r="Z144">
        <f t="shared" si="61"/>
        <v>5.6632146348165193</v>
      </c>
      <c r="AA144">
        <f t="shared" si="73"/>
        <v>23095169.447395399</v>
      </c>
      <c r="AB144">
        <f t="shared" si="63"/>
        <v>13.888645978862396</v>
      </c>
      <c r="AC144" t="e">
        <f t="shared" si="79"/>
        <v>#NUM!</v>
      </c>
      <c r="AD144" t="e">
        <f t="shared" si="64"/>
        <v>#NUM!</v>
      </c>
      <c r="AE144" t="e">
        <f t="shared" si="65"/>
        <v>#NUM!</v>
      </c>
    </row>
    <row r="145" spans="23:31">
      <c r="W145" t="e">
        <f t="shared" si="78"/>
        <v>#NUM!</v>
      </c>
      <c r="X145" t="e">
        <f t="shared" si="60"/>
        <v>#NUM!</v>
      </c>
      <c r="Y145">
        <v>33.072000000000003</v>
      </c>
      <c r="Z145">
        <f t="shared" si="61"/>
        <v>5.750826027624206</v>
      </c>
      <c r="AA145">
        <f t="shared" si="73"/>
        <v>23815273.259050284</v>
      </c>
      <c r="AB145">
        <f t="shared" si="63"/>
        <v>14.103506918608577</v>
      </c>
      <c r="AC145" t="e">
        <f t="shared" si="79"/>
        <v>#NUM!</v>
      </c>
      <c r="AD145" t="e">
        <f t="shared" si="64"/>
        <v>#NUM!</v>
      </c>
      <c r="AE145" t="e">
        <f t="shared" si="65"/>
        <v>#NUM!</v>
      </c>
    </row>
    <row r="146" spans="23:31">
      <c r="W146" t="e">
        <f t="shared" si="78"/>
        <v>#NUM!</v>
      </c>
      <c r="X146" t="e">
        <f t="shared" si="60"/>
        <v>#NUM!</v>
      </c>
      <c r="Y146">
        <v>34.072000000000003</v>
      </c>
      <c r="Z146">
        <f t="shared" si="61"/>
        <v>5.8371225788054169</v>
      </c>
      <c r="AA146">
        <f t="shared" si="73"/>
        <v>24535377.07070516</v>
      </c>
      <c r="AB146">
        <f t="shared" si="63"/>
        <v>14.31514329932849</v>
      </c>
      <c r="AC146" t="e">
        <f t="shared" si="79"/>
        <v>#NUM!</v>
      </c>
      <c r="AD146" t="e">
        <f t="shared" si="64"/>
        <v>#NUM!</v>
      </c>
      <c r="AE146" t="e">
        <f t="shared" si="65"/>
        <v>#NUM!</v>
      </c>
    </row>
    <row r="147" spans="23:31">
      <c r="W147" t="e">
        <f t="shared" si="78"/>
        <v>#NUM!</v>
      </c>
      <c r="X147" t="e">
        <f t="shared" si="60"/>
        <v>#NUM!</v>
      </c>
      <c r="Y147">
        <v>35.072000000000003</v>
      </c>
      <c r="Z147">
        <f t="shared" si="61"/>
        <v>5.922161767462959</v>
      </c>
      <c r="AA147">
        <f t="shared" si="73"/>
        <v>25255480.882360049</v>
      </c>
      <c r="AB147">
        <f t="shared" si="63"/>
        <v>14.523696084584628</v>
      </c>
      <c r="AC147" t="e">
        <f t="shared" si="79"/>
        <v>#NUM!</v>
      </c>
      <c r="AD147" t="e">
        <f t="shared" si="64"/>
        <v>#NUM!</v>
      </c>
      <c r="AE147" t="e">
        <f t="shared" si="65"/>
        <v>#NUM!</v>
      </c>
    </row>
    <row r="148" spans="23:31">
      <c r="W148" t="e">
        <f t="shared" si="78"/>
        <v>#NUM!</v>
      </c>
      <c r="X148" t="e">
        <f t="shared" si="60"/>
        <v>#NUM!</v>
      </c>
      <c r="Y148">
        <v>36.072000000000003</v>
      </c>
      <c r="Z148">
        <f t="shared" si="61"/>
        <v>6.0059970029962555</v>
      </c>
      <c r="AA148">
        <f t="shared" si="73"/>
        <v>25975584.694014929</v>
      </c>
      <c r="AB148">
        <f t="shared" si="63"/>
        <v>14.729296257270686</v>
      </c>
      <c r="AC148" t="e">
        <f t="shared" si="79"/>
        <v>#NUM!</v>
      </c>
      <c r="AD148" t="e">
        <f t="shared" si="64"/>
        <v>#NUM!</v>
      </c>
      <c r="AE148" t="e">
        <f t="shared" si="65"/>
        <v>#NUM!</v>
      </c>
    </row>
    <row r="149" spans="23:31">
      <c r="W149" t="e">
        <f t="shared" si="78"/>
        <v>#NUM!</v>
      </c>
      <c r="X149" t="e">
        <f t="shared" si="60"/>
        <v>#NUM!</v>
      </c>
      <c r="Y149">
        <v>37.072000000000003</v>
      </c>
      <c r="Z149">
        <f t="shared" si="61"/>
        <v>6.0886780174353117</v>
      </c>
      <c r="AA149">
        <f t="shared" si="73"/>
        <v>26695688.505669806</v>
      </c>
      <c r="AB149">
        <f t="shared" si="63"/>
        <v>14.932065781783766</v>
      </c>
      <c r="AC149" t="e">
        <f t="shared" si="79"/>
        <v>#NUM!</v>
      </c>
      <c r="AD149" t="e">
        <f t="shared" si="64"/>
        <v>#NUM!</v>
      </c>
      <c r="AE149" t="e">
        <f t="shared" si="65"/>
        <v>#NUM!</v>
      </c>
    </row>
    <row r="150" spans="23:31">
      <c r="W150" t="e">
        <f t="shared" si="78"/>
        <v>#NUM!</v>
      </c>
      <c r="X150" t="e">
        <f t="shared" si="60"/>
        <v>#NUM!</v>
      </c>
      <c r="Y150">
        <v>38.072000000000003</v>
      </c>
      <c r="Z150">
        <f t="shared" si="61"/>
        <v>6.170251210445163</v>
      </c>
      <c r="AA150">
        <f t="shared" si="73"/>
        <v>27415792.317324694</v>
      </c>
      <c r="AB150">
        <f t="shared" si="63"/>
        <v>15.13211845012413</v>
      </c>
      <c r="AC150" t="e">
        <f t="shared" si="79"/>
        <v>#NUM!</v>
      </c>
      <c r="AD150" t="e">
        <f t="shared" si="64"/>
        <v>#NUM!</v>
      </c>
      <c r="AE150" t="e">
        <f t="shared" si="65"/>
        <v>#NUM!</v>
      </c>
    </row>
    <row r="151" spans="23:31">
      <c r="W151" t="e">
        <f t="shared" si="78"/>
        <v>#NUM!</v>
      </c>
      <c r="X151" t="e">
        <f t="shared" si="60"/>
        <v>#NUM!</v>
      </c>
      <c r="Y151">
        <v>39.072000000000003</v>
      </c>
      <c r="Z151">
        <f t="shared" si="61"/>
        <v>6.2507599537976182</v>
      </c>
      <c r="AA151">
        <f t="shared" si="73"/>
        <v>28135896.128979579</v>
      </c>
      <c r="AB151">
        <f t="shared" si="63"/>
        <v>15.329560628591302</v>
      </c>
      <c r="AC151" t="e">
        <f t="shared" si="79"/>
        <v>#NUM!</v>
      </c>
      <c r="AD151" t="e">
        <f t="shared" si="64"/>
        <v>#NUM!</v>
      </c>
      <c r="AE151" t="e">
        <f t="shared" si="65"/>
        <v>#NUM!</v>
      </c>
    </row>
    <row r="152" spans="23:31">
      <c r="W152" t="e">
        <f t="shared" si="78"/>
        <v>#NUM!</v>
      </c>
      <c r="X152" t="e">
        <f t="shared" si="60"/>
        <v>#NUM!</v>
      </c>
      <c r="Y152">
        <v>40.072000000000003</v>
      </c>
      <c r="Z152">
        <f t="shared" si="61"/>
        <v>6.3302448609828676</v>
      </c>
      <c r="AA152">
        <f t="shared" si="73"/>
        <v>28855999.940634459</v>
      </c>
      <c r="AB152">
        <f t="shared" si="63"/>
        <v>15.524491918988073</v>
      </c>
      <c r="AC152" t="e">
        <f t="shared" si="79"/>
        <v>#NUM!</v>
      </c>
      <c r="AD152" t="e">
        <f t="shared" si="64"/>
        <v>#NUM!</v>
      </c>
      <c r="AE152" t="e">
        <f t="shared" si="65"/>
        <v>#NUM!</v>
      </c>
    </row>
    <row r="153" spans="23:31">
      <c r="W153" t="e">
        <f t="shared" si="78"/>
        <v>#NUM!</v>
      </c>
      <c r="X153" t="e">
        <f t="shared" si="60"/>
        <v>#NUM!</v>
      </c>
      <c r="Y153">
        <v>41.072000000000003</v>
      </c>
      <c r="Z153">
        <f t="shared" si="61"/>
        <v>6.4087440267184963</v>
      </c>
      <c r="AA153">
        <f t="shared" si="73"/>
        <v>29576103.752289344</v>
      </c>
      <c r="AB153">
        <f t="shared" si="63"/>
        <v>15.717005745999947</v>
      </c>
      <c r="AC153" t="e">
        <f t="shared" si="79"/>
        <v>#NUM!</v>
      </c>
      <c r="AD153" t="e">
        <f t="shared" si="64"/>
        <v>#NUM!</v>
      </c>
      <c r="AE153" t="e">
        <f t="shared" si="65"/>
        <v>#NUM!</v>
      </c>
    </row>
    <row r="154" spans="23:31">
      <c r="W154" t="e">
        <f t="shared" si="78"/>
        <v>#NUM!</v>
      </c>
      <c r="X154" t="e">
        <f t="shared" si="60"/>
        <v>#NUM!</v>
      </c>
      <c r="Y154">
        <v>42.072000000000003</v>
      </c>
      <c r="Z154">
        <f t="shared" si="61"/>
        <v>6.4862932403646383</v>
      </c>
      <c r="AA154">
        <f t="shared" si="73"/>
        <v>30296207.563944224</v>
      </c>
      <c r="AB154">
        <f t="shared" si="63"/>
        <v>15.907189880581196</v>
      </c>
      <c r="AC154" t="e">
        <f t="shared" si="79"/>
        <v>#NUM!</v>
      </c>
      <c r="AD154" t="e">
        <f t="shared" si="64"/>
        <v>#NUM!</v>
      </c>
      <c r="AE154" t="e">
        <f t="shared" si="65"/>
        <v>#NUM!</v>
      </c>
    </row>
    <row r="155" spans="23:31">
      <c r="W155" t="e">
        <f t="shared" si="78"/>
        <v>#NUM!</v>
      </c>
      <c r="X155" t="e">
        <f t="shared" si="60"/>
        <v>#NUM!</v>
      </c>
      <c r="Y155">
        <v>43.072000000000003</v>
      </c>
      <c r="Z155">
        <f t="shared" si="61"/>
        <v>6.5629261766379789</v>
      </c>
      <c r="AA155">
        <f t="shared" si="73"/>
        <v>31016311.375599109</v>
      </c>
      <c r="AB155">
        <f t="shared" si="63"/>
        <v>16.095126907667868</v>
      </c>
      <c r="AC155" t="e">
        <f t="shared" si="79"/>
        <v>#NUM!</v>
      </c>
      <c r="AD155" t="e">
        <f t="shared" si="64"/>
        <v>#NUM!</v>
      </c>
      <c r="AE155" t="e">
        <f t="shared" si="65"/>
        <v>#NUM!</v>
      </c>
    </row>
    <row r="156" spans="23:31">
      <c r="W156" t="e">
        <f t="shared" si="78"/>
        <v>#NUM!</v>
      </c>
      <c r="X156" t="e">
        <f t="shared" si="60"/>
        <v>#NUM!</v>
      </c>
      <c r="Y156">
        <v>44.072000000000003</v>
      </c>
      <c r="Z156">
        <f t="shared" si="61"/>
        <v>6.6386745665079863</v>
      </c>
      <c r="AA156">
        <f t="shared" si="73"/>
        <v>31736415.187253989</v>
      </c>
      <c r="AB156">
        <f t="shared" si="63"/>
        <v>16.280894645289113</v>
      </c>
      <c r="AC156" t="e">
        <f t="shared" si="79"/>
        <v>#NUM!</v>
      </c>
      <c r="AD156" t="e">
        <f t="shared" si="64"/>
        <v>#NUM!</v>
      </c>
      <c r="AE156" t="e">
        <f t="shared" si="65"/>
        <v>#NUM!</v>
      </c>
    </row>
  </sheetData>
  <phoneticPr fontId="9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23592-3AC5-43F5-BA5E-A9160717E174}">
  <dimension ref="B2:T112"/>
  <sheetViews>
    <sheetView zoomScale="110" zoomScaleNormal="110" workbookViewId="0">
      <selection activeCell="N28" sqref="N28"/>
    </sheetView>
  </sheetViews>
  <sheetFormatPr defaultColWidth="11.42578125" defaultRowHeight="15"/>
  <sheetData>
    <row r="2" spans="2:20" ht="18.75">
      <c r="B2" s="3"/>
    </row>
    <row r="3" spans="2:20" ht="24">
      <c r="B3" s="4" t="s">
        <v>146</v>
      </c>
    </row>
    <row r="5" spans="2:20" ht="15.75">
      <c r="B5" s="2" t="s">
        <v>147</v>
      </c>
      <c r="F5" s="1" t="s">
        <v>148</v>
      </c>
    </row>
    <row r="6" spans="2:20">
      <c r="B6" t="s">
        <v>149</v>
      </c>
    </row>
    <row r="7" spans="2:20">
      <c r="B7" s="5" t="s">
        <v>150</v>
      </c>
    </row>
    <row r="9" spans="2:20">
      <c r="B9" t="s">
        <v>58</v>
      </c>
      <c r="C9">
        <v>9.81</v>
      </c>
      <c r="D9" t="s">
        <v>59</v>
      </c>
      <c r="G9" s="5" t="s">
        <v>69</v>
      </c>
      <c r="H9">
        <v>0.9</v>
      </c>
      <c r="I9">
        <v>0.44</v>
      </c>
      <c r="J9">
        <v>7.2800000000000004E-2</v>
      </c>
      <c r="K9" t="s">
        <v>70</v>
      </c>
    </row>
    <row r="10" spans="2:20">
      <c r="B10" t="s">
        <v>151</v>
      </c>
      <c r="C10">
        <v>0.44</v>
      </c>
      <c r="G10" s="5" t="s">
        <v>55</v>
      </c>
      <c r="H10">
        <v>2350</v>
      </c>
      <c r="I10">
        <v>13546</v>
      </c>
      <c r="J10">
        <v>1000</v>
      </c>
      <c r="K10" t="s">
        <v>52</v>
      </c>
    </row>
    <row r="11" spans="2:20">
      <c r="D11" t="s">
        <v>152</v>
      </c>
      <c r="H11" t="s">
        <v>153</v>
      </c>
      <c r="I11" t="s">
        <v>154</v>
      </c>
      <c r="J11" t="s">
        <v>155</v>
      </c>
    </row>
    <row r="12" spans="2:20">
      <c r="B12" t="s">
        <v>156</v>
      </c>
      <c r="C12" t="s">
        <v>157</v>
      </c>
      <c r="D12" t="s">
        <v>158</v>
      </c>
      <c r="F12" t="s">
        <v>156</v>
      </c>
      <c r="G12" t="s">
        <v>157</v>
      </c>
      <c r="H12" t="s">
        <v>158</v>
      </c>
      <c r="I12" t="s">
        <v>158</v>
      </c>
      <c r="J12" t="s">
        <v>158</v>
      </c>
      <c r="T12" t="s">
        <v>159</v>
      </c>
    </row>
    <row r="13" spans="2:20">
      <c r="B13">
        <f>C13/1000</f>
        <v>1E-4</v>
      </c>
      <c r="C13">
        <v>0.1</v>
      </c>
      <c r="D13">
        <f>SQRT(4*$C$9*B13/(3*$C$10))</f>
        <v>5.4522722535904906E-2</v>
      </c>
      <c r="F13">
        <f>G13/1000</f>
        <v>1E-4</v>
      </c>
      <c r="G13">
        <v>0.1</v>
      </c>
      <c r="H13">
        <f>SQRT(2*H$9/(H$10*$F13)+$C$9*$F13/2)</f>
        <v>2.7676822375563828</v>
      </c>
      <c r="I13">
        <f t="shared" ref="I13:J13" si="0">SQRT(2*I$9/(I$10*$F13)+$C$9*$F13/2)</f>
        <v>0.8063056303907854</v>
      </c>
      <c r="J13">
        <f t="shared" si="0"/>
        <v>1.2068514821634018</v>
      </c>
      <c r="T13" t="s">
        <v>160</v>
      </c>
    </row>
    <row r="14" spans="2:20">
      <c r="B14">
        <f>C14/1000</f>
        <v>2.9999999999999997E-4</v>
      </c>
      <c r="C14">
        <v>0.3</v>
      </c>
      <c r="D14">
        <f t="shared" ref="D14:D77" si="1">SQRT(4*$C$9*B14/(3*$C$10))</f>
        <v>9.4436125599167919E-2</v>
      </c>
      <c r="F14">
        <f t="shared" ref="F14:F77" si="2">G14/1000</f>
        <v>5.0000000000000001E-4</v>
      </c>
      <c r="G14">
        <v>0.5</v>
      </c>
      <c r="H14">
        <f t="shared" ref="H14:J77" si="3">SQRT(2*H$9/(H$10*$F14)+$C$9*$F14/2)</f>
        <v>1.2386958438684701</v>
      </c>
      <c r="I14">
        <f t="shared" si="3"/>
        <v>0.36384083597086292</v>
      </c>
      <c r="J14">
        <f t="shared" si="3"/>
        <v>0.54189713045927823</v>
      </c>
    </row>
    <row r="15" spans="2:20">
      <c r="B15">
        <f t="shared" ref="B15:B77" si="4">C15/1000</f>
        <v>5.0000000000000001E-4</v>
      </c>
      <c r="C15">
        <v>0.5</v>
      </c>
      <c r="D15">
        <f t="shared" si="1"/>
        <v>0.1219165139086431</v>
      </c>
      <c r="F15">
        <f t="shared" si="2"/>
        <v>8.9999999999999998E-4</v>
      </c>
      <c r="G15">
        <v>0.9</v>
      </c>
      <c r="H15">
        <f t="shared" si="3"/>
        <v>0.92492071540604714</v>
      </c>
      <c r="I15">
        <f t="shared" si="3"/>
        <v>0.27676078110083163</v>
      </c>
      <c r="J15">
        <f t="shared" si="3"/>
        <v>0.4076668710819874</v>
      </c>
    </row>
    <row r="16" spans="2:20">
      <c r="B16">
        <f t="shared" si="4"/>
        <v>6.9999999999999999E-4</v>
      </c>
      <c r="C16">
        <v>0.7</v>
      </c>
      <c r="D16">
        <f t="shared" si="1"/>
        <v>0.14425356463218131</v>
      </c>
      <c r="F16">
        <f t="shared" si="2"/>
        <v>1.2999999999999999E-3</v>
      </c>
      <c r="G16">
        <v>1.3</v>
      </c>
      <c r="H16">
        <f t="shared" si="3"/>
        <v>0.77173475754727205</v>
      </c>
      <c r="I16">
        <f t="shared" si="3"/>
        <v>0.23737875765241992</v>
      </c>
      <c r="J16">
        <f t="shared" si="3"/>
        <v>0.34405886124324714</v>
      </c>
    </row>
    <row r="17" spans="2:10">
      <c r="B17">
        <f t="shared" si="4"/>
        <v>8.9999999999999998E-4</v>
      </c>
      <c r="C17">
        <v>0.9</v>
      </c>
      <c r="D17">
        <f t="shared" si="1"/>
        <v>0.16356816760771473</v>
      </c>
      <c r="F17">
        <f t="shared" si="2"/>
        <v>1.6999999999999999E-3</v>
      </c>
      <c r="G17">
        <v>1.7</v>
      </c>
      <c r="H17">
        <f t="shared" si="3"/>
        <v>0.67742283989027585</v>
      </c>
      <c r="I17">
        <f t="shared" si="3"/>
        <v>0.21576032039931853</v>
      </c>
      <c r="J17">
        <f t="shared" si="3"/>
        <v>0.30657064246846832</v>
      </c>
    </row>
    <row r="18" spans="2:10">
      <c r="B18">
        <f t="shared" si="4"/>
        <v>1.1000000000000001E-3</v>
      </c>
      <c r="C18">
        <v>1.1000000000000001</v>
      </c>
      <c r="D18">
        <f t="shared" si="1"/>
        <v>0.18083141320025126</v>
      </c>
      <c r="F18">
        <f t="shared" si="2"/>
        <v>2.1000000000000003E-3</v>
      </c>
      <c r="G18">
        <v>2.1</v>
      </c>
      <c r="H18">
        <f t="shared" si="3"/>
        <v>0.61240684298706694</v>
      </c>
      <c r="I18">
        <f t="shared" si="3"/>
        <v>0.20306564380818454</v>
      </c>
      <c r="J18">
        <f t="shared" si="3"/>
        <v>0.2821946727586</v>
      </c>
    </row>
    <row r="19" spans="2:10">
      <c r="B19">
        <f t="shared" si="4"/>
        <v>1.2999999999999999E-3</v>
      </c>
      <c r="C19">
        <v>1.3</v>
      </c>
      <c r="D19">
        <f t="shared" si="1"/>
        <v>0.19658447178110114</v>
      </c>
      <c r="F19">
        <f t="shared" si="2"/>
        <v>2.5000000000000001E-3</v>
      </c>
      <c r="G19">
        <v>2.5</v>
      </c>
      <c r="H19">
        <f t="shared" si="3"/>
        <v>0.56448691634386383</v>
      </c>
      <c r="I19">
        <f t="shared" si="3"/>
        <v>0.1955710376921779</v>
      </c>
      <c r="J19">
        <f t="shared" si="3"/>
        <v>0.26552306867765746</v>
      </c>
    </row>
    <row r="20" spans="2:10">
      <c r="B20">
        <f t="shared" si="4"/>
        <v>1.5E-3</v>
      </c>
      <c r="C20">
        <v>1.5</v>
      </c>
      <c r="D20">
        <f t="shared" si="1"/>
        <v>0.21116559637144752</v>
      </c>
      <c r="F20">
        <f t="shared" si="2"/>
        <v>2.8999999999999998E-3</v>
      </c>
      <c r="G20">
        <v>2.9</v>
      </c>
      <c r="H20">
        <f t="shared" si="3"/>
        <v>0.52758672985602673</v>
      </c>
      <c r="I20">
        <f t="shared" si="3"/>
        <v>0.19137873351387619</v>
      </c>
      <c r="J20">
        <f t="shared" si="3"/>
        <v>0.25383340314411762</v>
      </c>
    </row>
    <row r="21" spans="2:10">
      <c r="B21">
        <f t="shared" si="4"/>
        <v>1.6999999999999999E-3</v>
      </c>
      <c r="C21">
        <v>1.7</v>
      </c>
      <c r="D21">
        <f t="shared" si="1"/>
        <v>0.22480294401178033</v>
      </c>
      <c r="F21">
        <f t="shared" si="2"/>
        <v>3.3E-3</v>
      </c>
      <c r="G21">
        <v>3.3</v>
      </c>
      <c r="H21">
        <f t="shared" si="3"/>
        <v>0.49829189960775022</v>
      </c>
      <c r="I21">
        <f t="shared" si="3"/>
        <v>0.18940039115506968</v>
      </c>
      <c r="J21">
        <f t="shared" si="3"/>
        <v>0.24557628574683696</v>
      </c>
    </row>
    <row r="22" spans="2:10">
      <c r="B22">
        <f t="shared" si="4"/>
        <v>1.9E-3</v>
      </c>
      <c r="C22">
        <v>1.9</v>
      </c>
      <c r="D22">
        <f t="shared" si="1"/>
        <v>0.23765903766071717</v>
      </c>
      <c r="F22">
        <f t="shared" si="2"/>
        <v>3.7000000000000002E-3</v>
      </c>
      <c r="G22">
        <v>3.7</v>
      </c>
      <c r="H22">
        <f t="shared" si="3"/>
        <v>0.47451451628423585</v>
      </c>
      <c r="I22">
        <f t="shared" si="3"/>
        <v>0.18896108348087728</v>
      </c>
      <c r="J22">
        <f t="shared" si="3"/>
        <v>0.23979126621157693</v>
      </c>
    </row>
    <row r="23" spans="2:10">
      <c r="B23">
        <f t="shared" si="4"/>
        <v>2.1000000000000003E-3</v>
      </c>
      <c r="C23">
        <v>2.1</v>
      </c>
      <c r="D23">
        <f t="shared" si="1"/>
        <v>0.24985450311585888</v>
      </c>
      <c r="F23">
        <f t="shared" si="2"/>
        <v>4.0999999999999995E-3</v>
      </c>
      <c r="G23">
        <v>4.0999999999999996</v>
      </c>
      <c r="H23">
        <f t="shared" si="3"/>
        <v>0.45489492134501835</v>
      </c>
      <c r="I23">
        <f t="shared" si="3"/>
        <v>0.18961892269470249</v>
      </c>
      <c r="J23">
        <f t="shared" si="3"/>
        <v>0.23584464191910579</v>
      </c>
    </row>
    <row r="24" spans="2:10">
      <c r="B24">
        <f t="shared" si="4"/>
        <v>2.3E-3</v>
      </c>
      <c r="C24">
        <v>2.2999999999999998</v>
      </c>
      <c r="D24">
        <f t="shared" si="1"/>
        <v>0.26148179147452555</v>
      </c>
      <c r="F24">
        <f t="shared" si="2"/>
        <v>4.4999999999999997E-3</v>
      </c>
      <c r="G24">
        <v>4.5</v>
      </c>
      <c r="H24">
        <f t="shared" si="3"/>
        <v>0.43850343893457305</v>
      </c>
      <c r="I24">
        <f t="shared" si="3"/>
        <v>0.19107303836781497</v>
      </c>
      <c r="J24">
        <f t="shared" si="3"/>
        <v>0.23329821164242889</v>
      </c>
    </row>
    <row r="25" spans="2:10">
      <c r="B25">
        <f t="shared" si="4"/>
        <v>2.5000000000000001E-3</v>
      </c>
      <c r="C25">
        <v>2.5</v>
      </c>
      <c r="D25">
        <f t="shared" si="1"/>
        <v>0.27261361267952455</v>
      </c>
      <c r="F25">
        <f t="shared" si="2"/>
        <v>4.9000000000000007E-3</v>
      </c>
      <c r="G25">
        <v>4.9000000000000004</v>
      </c>
      <c r="H25">
        <f t="shared" si="3"/>
        <v>0.42467910978461271</v>
      </c>
      <c r="I25">
        <f t="shared" si="3"/>
        <v>0.19311246430353829</v>
      </c>
      <c r="J25">
        <f t="shared" si="3"/>
        <v>0.23183784357668125</v>
      </c>
    </row>
    <row r="26" spans="2:10">
      <c r="B26">
        <f t="shared" si="4"/>
        <v>2.7000000000000001E-3</v>
      </c>
      <c r="C26">
        <v>2.7</v>
      </c>
      <c r="D26">
        <f t="shared" si="1"/>
        <v>0.28330837679750376</v>
      </c>
      <c r="F26">
        <f t="shared" si="2"/>
        <v>5.3E-3</v>
      </c>
      <c r="G26">
        <v>5.3</v>
      </c>
      <c r="H26">
        <f t="shared" si="3"/>
        <v>0.41293676632474596</v>
      </c>
      <c r="I26">
        <f t="shared" si="3"/>
        <v>0.19558585286647706</v>
      </c>
      <c r="J26">
        <f t="shared" si="3"/>
        <v>0.23123191413212743</v>
      </c>
    </row>
    <row r="27" spans="2:10">
      <c r="B27">
        <f t="shared" si="4"/>
        <v>2.8999999999999998E-3</v>
      </c>
      <c r="C27">
        <v>2.9</v>
      </c>
      <c r="D27">
        <f t="shared" si="1"/>
        <v>0.29361384658951439</v>
      </c>
      <c r="F27">
        <f t="shared" si="2"/>
        <v>5.7000000000000002E-3</v>
      </c>
      <c r="G27">
        <v>5.7</v>
      </c>
      <c r="H27">
        <f t="shared" si="3"/>
        <v>0.40291065937759651</v>
      </c>
      <c r="I27">
        <f t="shared" si="3"/>
        <v>0.19838261673987298</v>
      </c>
      <c r="J27">
        <f t="shared" si="3"/>
        <v>0.23130577089455165</v>
      </c>
    </row>
    <row r="28" spans="2:10">
      <c r="B28">
        <f t="shared" si="4"/>
        <v>3.0999999999999999E-3</v>
      </c>
      <c r="C28">
        <v>3.1</v>
      </c>
      <c r="D28">
        <f t="shared" si="1"/>
        <v>0.30356967149988062</v>
      </c>
      <c r="F28">
        <f t="shared" si="2"/>
        <v>6.0999999999999995E-3</v>
      </c>
      <c r="G28">
        <v>6.1</v>
      </c>
      <c r="H28">
        <f t="shared" si="3"/>
        <v>0.3943187727699155</v>
      </c>
      <c r="I28">
        <f t="shared" si="3"/>
        <v>0.20142072311050499</v>
      </c>
      <c r="J28">
        <f t="shared" si="3"/>
        <v>0.23192531655474008</v>
      </c>
    </row>
    <row r="29" spans="2:10">
      <c r="B29">
        <f t="shared" si="4"/>
        <v>3.3E-3</v>
      </c>
      <c r="C29">
        <v>3.3</v>
      </c>
      <c r="D29">
        <f t="shared" si="1"/>
        <v>0.3132091952673165</v>
      </c>
      <c r="F29">
        <f t="shared" si="2"/>
        <v>6.4999999999999997E-3</v>
      </c>
      <c r="G29">
        <v>6.5</v>
      </c>
      <c r="H29">
        <f t="shared" si="3"/>
        <v>0.38693941024572487</v>
      </c>
      <c r="I29">
        <f t="shared" si="3"/>
        <v>0.20463854699670164</v>
      </c>
      <c r="J29">
        <f t="shared" si="3"/>
        <v>0.23298605108460893</v>
      </c>
    </row>
    <row r="30" spans="2:10">
      <c r="B30">
        <f t="shared" si="4"/>
        <v>3.5000000000000001E-3</v>
      </c>
      <c r="C30">
        <v>3.5</v>
      </c>
      <c r="D30">
        <f t="shared" si="1"/>
        <v>0.32256077651421683</v>
      </c>
      <c r="F30">
        <f t="shared" si="2"/>
        <v>6.9000000000000008E-3</v>
      </c>
      <c r="G30">
        <v>6.9</v>
      </c>
      <c r="H30">
        <f t="shared" si="3"/>
        <v>0.3805953568088053</v>
      </c>
      <c r="I30">
        <f t="shared" si="3"/>
        <v>0.20798929632436747</v>
      </c>
      <c r="J30">
        <f t="shared" si="3"/>
        <v>0.23440552313322807</v>
      </c>
    </row>
    <row r="31" spans="2:10">
      <c r="B31">
        <f t="shared" si="4"/>
        <v>3.7000000000000002E-3</v>
      </c>
      <c r="C31">
        <v>3.7</v>
      </c>
      <c r="D31">
        <f t="shared" si="1"/>
        <v>0.33164877369124868</v>
      </c>
      <c r="F31">
        <f t="shared" si="2"/>
        <v>7.3000000000000001E-3</v>
      </c>
      <c r="G31">
        <v>7.3</v>
      </c>
      <c r="H31">
        <f t="shared" si="3"/>
        <v>0.37514287630848259</v>
      </c>
      <c r="I31">
        <f t="shared" si="3"/>
        <v>0.21143711684110852</v>
      </c>
      <c r="J31">
        <f t="shared" si="3"/>
        <v>0.23611799058829053</v>
      </c>
    </row>
    <row r="32" spans="2:10">
      <c r="B32">
        <f t="shared" si="4"/>
        <v>3.8999999999999998E-3</v>
      </c>
      <c r="C32">
        <v>3.9</v>
      </c>
      <c r="D32">
        <f t="shared" si="1"/>
        <v>0.34049429310395735</v>
      </c>
      <c r="F32">
        <f t="shared" si="2"/>
        <v>7.7000000000000002E-3</v>
      </c>
      <c r="G32">
        <v>7.7</v>
      </c>
      <c r="H32">
        <f t="shared" si="3"/>
        <v>0.37046388905265032</v>
      </c>
      <c r="I32">
        <f t="shared" si="3"/>
        <v>0.21495432222719857</v>
      </c>
      <c r="J32">
        <f t="shared" si="3"/>
        <v>0.23807055867765531</v>
      </c>
    </row>
    <row r="33" spans="2:20">
      <c r="B33">
        <f t="shared" si="4"/>
        <v>4.0999999999999995E-3</v>
      </c>
      <c r="C33">
        <v>4.0999999999999996</v>
      </c>
      <c r="D33">
        <f t="shared" si="1"/>
        <v>0.3491157661604789</v>
      </c>
      <c r="F33">
        <f t="shared" si="2"/>
        <v>8.0999999999999996E-3</v>
      </c>
      <c r="G33">
        <v>8.1</v>
      </c>
      <c r="H33">
        <f t="shared" si="3"/>
        <v>0.36646029492175153</v>
      </c>
      <c r="I33">
        <f t="shared" si="3"/>
        <v>0.21851939399196546</v>
      </c>
      <c r="J33">
        <f t="shared" si="3"/>
        <v>0.24022033353147962</v>
      </c>
    </row>
    <row r="34" spans="2:20">
      <c r="B34">
        <f t="shared" si="4"/>
        <v>4.3E-3</v>
      </c>
      <c r="C34">
        <v>4.3</v>
      </c>
      <c r="D34">
        <f t="shared" si="1"/>
        <v>0.35752940120677174</v>
      </c>
      <c r="F34">
        <f t="shared" si="2"/>
        <v>8.5000000000000006E-3</v>
      </c>
      <c r="G34">
        <v>8.5</v>
      </c>
      <c r="H34">
        <f t="shared" si="3"/>
        <v>0.36304977730471238</v>
      </c>
      <c r="I34">
        <f t="shared" si="3"/>
        <v>0.22211551762937079</v>
      </c>
      <c r="J34">
        <f t="shared" si="3"/>
        <v>0.24253229014856123</v>
      </c>
    </row>
    <row r="35" spans="2:20">
      <c r="B35">
        <f t="shared" si="4"/>
        <v>4.4999999999999997E-3</v>
      </c>
      <c r="C35">
        <v>4.5</v>
      </c>
      <c r="D35">
        <f t="shared" si="1"/>
        <v>0.36574954172592927</v>
      </c>
      <c r="F35">
        <f t="shared" si="2"/>
        <v>8.8999999999999999E-3</v>
      </c>
      <c r="G35">
        <v>8.9</v>
      </c>
      <c r="H35">
        <f t="shared" si="3"/>
        <v>0.36016265002477194</v>
      </c>
      <c r="I35">
        <f t="shared" si="3"/>
        <v>0.22572949829386205</v>
      </c>
      <c r="J35">
        <f t="shared" si="3"/>
        <v>0.2449776531886077</v>
      </c>
    </row>
    <row r="36" spans="2:20">
      <c r="B36">
        <f t="shared" si="4"/>
        <v>4.7000000000000002E-3</v>
      </c>
      <c r="C36">
        <v>4.7</v>
      </c>
      <c r="D36">
        <f t="shared" si="1"/>
        <v>0.37378895357966618</v>
      </c>
      <c r="F36">
        <f t="shared" si="2"/>
        <v>9.300000000000001E-3</v>
      </c>
      <c r="G36">
        <v>9.3000000000000007</v>
      </c>
      <c r="H36">
        <f t="shared" si="3"/>
        <v>0.35773945237541438</v>
      </c>
      <c r="I36">
        <f t="shared" si="3"/>
        <v>0.22935094884833843</v>
      </c>
      <c r="J36">
        <f t="shared" si="3"/>
        <v>0.24753265234811878</v>
      </c>
    </row>
    <row r="37" spans="2:20">
      <c r="B37">
        <f t="shared" si="4"/>
        <v>4.9000000000000007E-3</v>
      </c>
      <c r="C37">
        <v>4.9000000000000004</v>
      </c>
      <c r="D37">
        <f t="shared" si="1"/>
        <v>0.38165905775133435</v>
      </c>
      <c r="F37">
        <f t="shared" si="2"/>
        <v>9.6999999999999986E-3</v>
      </c>
      <c r="G37">
        <v>9.6999999999999993</v>
      </c>
      <c r="H37">
        <f t="shared" si="3"/>
        <v>0.3557290896707645</v>
      </c>
      <c r="I37">
        <f t="shared" si="3"/>
        <v>0.2329716758502037</v>
      </c>
      <c r="J37">
        <f t="shared" si="3"/>
        <v>0.25017755550478649</v>
      </c>
    </row>
    <row r="38" spans="2:20">
      <c r="B38">
        <f t="shared" si="4"/>
        <v>5.0999999999999995E-3</v>
      </c>
      <c r="C38">
        <v>5.0999999999999996</v>
      </c>
      <c r="D38">
        <f t="shared" si="1"/>
        <v>0.3893701207194652</v>
      </c>
      <c r="F38">
        <f t="shared" si="2"/>
        <v>1.01E-2</v>
      </c>
      <c r="G38">
        <v>10.1</v>
      </c>
      <c r="H38">
        <f t="shared" si="3"/>
        <v>0.35408737759363812</v>
      </c>
      <c r="I38">
        <f t="shared" si="3"/>
        <v>0.23658521102394875</v>
      </c>
      <c r="J38">
        <f t="shared" si="3"/>
        <v>0.2528959105722321</v>
      </c>
    </row>
    <row r="39" spans="2:20">
      <c r="B39">
        <f t="shared" si="4"/>
        <v>5.3E-3</v>
      </c>
      <c r="C39">
        <v>5.3</v>
      </c>
      <c r="D39">
        <f t="shared" si="1"/>
        <v>0.39693141152413908</v>
      </c>
      <c r="F39">
        <f t="shared" si="2"/>
        <v>1.0500000000000001E-2</v>
      </c>
      <c r="G39">
        <v>10.5</v>
      </c>
      <c r="H39">
        <f t="shared" si="3"/>
        <v>0.35277588957789791</v>
      </c>
      <c r="I39">
        <f t="shared" si="3"/>
        <v>0.24018645078156781</v>
      </c>
      <c r="J39">
        <f t="shared" si="3"/>
        <v>0.25567394600675813</v>
      </c>
    </row>
    <row r="40" spans="2:20">
      <c r="B40">
        <f t="shared" si="4"/>
        <v>5.4999999999999997E-3</v>
      </c>
      <c r="C40">
        <v>5.5</v>
      </c>
      <c r="D40">
        <f t="shared" si="1"/>
        <v>0.4043513323831146</v>
      </c>
      <c r="F40">
        <f t="shared" si="2"/>
        <v>1.09E-2</v>
      </c>
      <c r="G40">
        <v>10.9</v>
      </c>
      <c r="H40">
        <f t="shared" si="3"/>
        <v>0.3517610345039317</v>
      </c>
      <c r="I40">
        <f t="shared" si="3"/>
        <v>0.24377137675446961</v>
      </c>
      <c r="J40">
        <f t="shared" si="3"/>
        <v>0.25850009316272521</v>
      </c>
    </row>
    <row r="41" spans="2:20">
      <c r="B41">
        <f t="shared" si="4"/>
        <v>5.7000000000000002E-3</v>
      </c>
      <c r="C41">
        <v>5.7</v>
      </c>
      <c r="D41">
        <f t="shared" si="1"/>
        <v>0.4116375281062874</v>
      </c>
      <c r="F41">
        <f t="shared" si="2"/>
        <v>1.1300000000000001E-2</v>
      </c>
      <c r="G41">
        <v>11.3</v>
      </c>
      <c r="H41">
        <f t="shared" si="3"/>
        <v>0.35101331150016329</v>
      </c>
      <c r="I41">
        <f t="shared" si="3"/>
        <v>0.2473368376028876</v>
      </c>
      <c r="J41">
        <f t="shared" si="3"/>
        <v>0.26136460309730619</v>
      </c>
    </row>
    <row r="42" spans="2:20">
      <c r="B42">
        <f t="shared" si="4"/>
        <v>5.9000000000000007E-3</v>
      </c>
      <c r="C42">
        <v>5.9</v>
      </c>
      <c r="D42">
        <f t="shared" si="1"/>
        <v>0.41879697836888591</v>
      </c>
      <c r="F42">
        <f t="shared" si="2"/>
        <v>1.1699999999999999E-2</v>
      </c>
      <c r="G42">
        <v>11.7</v>
      </c>
      <c r="H42">
        <f t="shared" si="3"/>
        <v>0.35050670242546267</v>
      </c>
      <c r="I42">
        <f t="shared" si="3"/>
        <v>0.2508803775561852</v>
      </c>
      <c r="J42">
        <f t="shared" si="3"/>
        <v>0.26425923719795386</v>
      </c>
      <c r="T42" t="s">
        <v>161</v>
      </c>
    </row>
    <row r="43" spans="2:20">
      <c r="B43">
        <f t="shared" si="4"/>
        <v>6.0999999999999995E-3</v>
      </c>
      <c r="C43">
        <v>6.1</v>
      </c>
      <c r="D43">
        <f t="shared" si="1"/>
        <v>0.42583607601559975</v>
      </c>
      <c r="F43">
        <f t="shared" si="2"/>
        <v>1.21E-2</v>
      </c>
      <c r="G43">
        <v>12.1</v>
      </c>
      <c r="H43">
        <f t="shared" si="3"/>
        <v>0.35021817247436188</v>
      </c>
      <c r="I43">
        <f t="shared" si="3"/>
        <v>0.25440010086280879</v>
      </c>
      <c r="J43">
        <f t="shared" si="3"/>
        <v>0.26717701594867715</v>
      </c>
      <c r="T43" t="s">
        <v>162</v>
      </c>
    </row>
    <row r="44" spans="2:20">
      <c r="B44">
        <f t="shared" si="4"/>
        <v>6.3E-3</v>
      </c>
      <c r="C44">
        <v>6.3</v>
      </c>
      <c r="D44">
        <f t="shared" si="1"/>
        <v>0.43276069389654392</v>
      </c>
      <c r="F44">
        <f t="shared" si="2"/>
        <v>1.2500000000000001E-2</v>
      </c>
      <c r="G44">
        <v>12.5</v>
      </c>
      <c r="H44">
        <f t="shared" si="3"/>
        <v>0.35012725650066273</v>
      </c>
      <c r="I44">
        <f t="shared" si="3"/>
        <v>0.25789456403111538</v>
      </c>
      <c r="J44">
        <f t="shared" si="3"/>
        <v>0.27011201380168193</v>
      </c>
    </row>
    <row r="45" spans="2:20">
      <c r="B45">
        <f t="shared" si="4"/>
        <v>6.4999999999999997E-3</v>
      </c>
      <c r="C45">
        <v>6.5</v>
      </c>
      <c r="D45">
        <f t="shared" si="1"/>
        <v>0.43957624222343128</v>
      </c>
      <c r="F45">
        <f t="shared" si="2"/>
        <v>1.29E-2</v>
      </c>
      <c r="G45">
        <v>12.9</v>
      </c>
      <c r="H45">
        <f t="shared" si="3"/>
        <v>0.35021571390248274</v>
      </c>
      <c r="I45">
        <f t="shared" si="3"/>
        <v>0.26136268972118737</v>
      </c>
      <c r="J45">
        <f t="shared" si="3"/>
        <v>0.27305919084591596</v>
      </c>
    </row>
    <row r="46" spans="2:20">
      <c r="B46">
        <f t="shared" si="4"/>
        <v>6.7000000000000002E-3</v>
      </c>
      <c r="C46">
        <v>6.7</v>
      </c>
      <c r="D46">
        <f t="shared" si="1"/>
        <v>0.44628771803930173</v>
      </c>
      <c r="F46">
        <f t="shared" si="2"/>
        <v>1.3300000000000001E-2</v>
      </c>
      <c r="G46">
        <v>13.3</v>
      </c>
      <c r="H46">
        <f t="shared" si="3"/>
        <v>0.35046723880317848</v>
      </c>
      <c r="I46">
        <f t="shared" si="3"/>
        <v>0.264803697609509</v>
      </c>
      <c r="J46">
        <f t="shared" si="3"/>
        <v>0.27601425401789059</v>
      </c>
    </row>
    <row r="47" spans="2:20">
      <c r="B47">
        <f t="shared" si="4"/>
        <v>6.9000000000000008E-3</v>
      </c>
      <c r="C47">
        <v>6.9</v>
      </c>
      <c r="D47">
        <f t="shared" si="1"/>
        <v>0.45289974808800881</v>
      </c>
      <c r="F47">
        <f t="shared" si="2"/>
        <v>1.3699999999999999E-2</v>
      </c>
      <c r="G47">
        <v>13.7</v>
      </c>
      <c r="H47">
        <f t="shared" si="3"/>
        <v>0.35086721517798236</v>
      </c>
      <c r="I47">
        <f t="shared" si="3"/>
        <v>0.26821704863703422</v>
      </c>
      <c r="J47">
        <f t="shared" si="3"/>
        <v>0.27897354216175657</v>
      </c>
    </row>
    <row r="48" spans="2:20">
      <c r="B48">
        <f t="shared" si="4"/>
        <v>7.0999999999999995E-3</v>
      </c>
      <c r="C48">
        <v>7.1</v>
      </c>
      <c r="D48">
        <f t="shared" si="1"/>
        <v>0.45941662612887268</v>
      </c>
      <c r="F48">
        <f t="shared" si="2"/>
        <v>1.41E-2</v>
      </c>
      <c r="G48">
        <v>14.1</v>
      </c>
      <c r="H48">
        <f t="shared" si="3"/>
        <v>0.35140250878146639</v>
      </c>
      <c r="I48">
        <f t="shared" si="3"/>
        <v>0.27160239986823304</v>
      </c>
      <c r="J48">
        <f t="shared" si="3"/>
        <v>0.28193393044249176</v>
      </c>
    </row>
    <row r="49" spans="2:10">
      <c r="B49">
        <f t="shared" si="4"/>
        <v>7.3000000000000001E-3</v>
      </c>
      <c r="C49">
        <v>7.3</v>
      </c>
      <c r="D49">
        <f t="shared" si="1"/>
        <v>0.46584234555168008</v>
      </c>
      <c r="F49">
        <f t="shared" si="2"/>
        <v>1.4500000000000001E-2</v>
      </c>
      <c r="G49">
        <v>14.5</v>
      </c>
      <c r="H49">
        <f t="shared" si="3"/>
        <v>0.35206128941426551</v>
      </c>
      <c r="I49">
        <f t="shared" si="3"/>
        <v>0.27495956780638686</v>
      </c>
      <c r="J49">
        <f t="shared" si="3"/>
        <v>0.28489275054017227</v>
      </c>
    </row>
    <row r="50" spans="2:10">
      <c r="B50">
        <f t="shared" si="4"/>
        <v>7.4999999999999997E-3</v>
      </c>
      <c r="C50">
        <v>7.5</v>
      </c>
      <c r="D50">
        <f t="shared" si="1"/>
        <v>0.4721806279958396</v>
      </c>
      <c r="F50">
        <f t="shared" si="2"/>
        <v>1.49E-2</v>
      </c>
      <c r="G50">
        <v>14.9</v>
      </c>
      <c r="H50">
        <f t="shared" si="3"/>
        <v>0.35283287836348592</v>
      </c>
      <c r="I50">
        <f t="shared" si="3"/>
        <v>0.27828849848058113</v>
      </c>
      <c r="J50">
        <f t="shared" si="3"/>
        <v>0.28784772377167916</v>
      </c>
    </row>
    <row r="51" spans="2:10">
      <c r="B51">
        <f t="shared" si="4"/>
        <v>7.7000000000000002E-3</v>
      </c>
      <c r="C51">
        <v>7.7</v>
      </c>
      <c r="D51">
        <f t="shared" si="1"/>
        <v>0.47843494855622748</v>
      </c>
      <c r="F51">
        <f t="shared" si="2"/>
        <v>1.5300000000000001E-2</v>
      </c>
      <c r="G51">
        <v>15.3</v>
      </c>
      <c r="H51">
        <f t="shared" si="3"/>
        <v>0.35370761685716984</v>
      </c>
      <c r="I51">
        <f t="shared" si="3"/>
        <v>0.28158924298007326</v>
      </c>
      <c r="J51">
        <f t="shared" si="3"/>
        <v>0.29079690484817933</v>
      </c>
    </row>
    <row r="52" spans="2:10">
      <c r="B52">
        <f t="shared" si="4"/>
        <v>7.9000000000000008E-3</v>
      </c>
      <c r="C52">
        <v>7.9</v>
      </c>
      <c r="D52">
        <f t="shared" si="1"/>
        <v>0.48460855806047687</v>
      </c>
      <c r="F52">
        <f t="shared" si="2"/>
        <v>1.5699999999999999E-2</v>
      </c>
      <c r="G52">
        <v>15.7</v>
      </c>
      <c r="H52">
        <f t="shared" si="3"/>
        <v>0.35467675216009725</v>
      </c>
      <c r="I52">
        <f t="shared" si="3"/>
        <v>0.28486193738940913</v>
      </c>
      <c r="J52">
        <f t="shared" si="3"/>
        <v>0.29373863441896519</v>
      </c>
    </row>
    <row r="53" spans="2:10">
      <c r="B53">
        <f t="shared" si="4"/>
        <v>8.0999999999999996E-3</v>
      </c>
      <c r="C53">
        <v>8.1</v>
      </c>
      <c r="D53">
        <f t="shared" si="1"/>
        <v>0.49070450282314415</v>
      </c>
      <c r="F53">
        <f t="shared" si="2"/>
        <v>1.61E-2</v>
      </c>
      <c r="G53">
        <v>16.100000000000001</v>
      </c>
      <c r="H53">
        <f t="shared" si="3"/>
        <v>0.35573233855833347</v>
      </c>
      <c r="I53">
        <f t="shared" si="3"/>
        <v>0.28810678629298858</v>
      </c>
      <c r="J53">
        <f t="shared" si="3"/>
        <v>0.29667149890218569</v>
      </c>
    </row>
    <row r="54" spans="2:10">
      <c r="B54">
        <f t="shared" si="4"/>
        <v>8.3000000000000001E-3</v>
      </c>
      <c r="C54">
        <v>8.3000000000000007</v>
      </c>
      <c r="D54">
        <f t="shared" si="1"/>
        <v>0.49672564221747567</v>
      </c>
      <c r="F54">
        <f t="shared" si="2"/>
        <v>1.6500000000000001E-2</v>
      </c>
      <c r="G54">
        <v>16.5</v>
      </c>
      <c r="H54">
        <f t="shared" si="3"/>
        <v>0.35686715097209498</v>
      </c>
      <c r="I54">
        <f t="shared" si="3"/>
        <v>0.29132404918567689</v>
      </c>
      <c r="J54">
        <f t="shared" si="3"/>
        <v>0.29959429638136043</v>
      </c>
    </row>
    <row r="55" spans="2:10">
      <c r="B55">
        <f t="shared" si="4"/>
        <v>8.5000000000000006E-3</v>
      </c>
      <c r="C55">
        <v>8.5</v>
      </c>
      <c r="D55">
        <f t="shared" si="1"/>
        <v>0.50267466435242014</v>
      </c>
      <c r="F55">
        <f t="shared" si="2"/>
        <v>1.6899999999999998E-2</v>
      </c>
      <c r="G55">
        <v>16.899999999999999</v>
      </c>
      <c r="H55">
        <f t="shared" si="3"/>
        <v>0.3580746093297561</v>
      </c>
      <c r="I55">
        <f t="shared" si="3"/>
        <v>0.29451402925766557</v>
      </c>
      <c r="J55">
        <f t="shared" si="3"/>
        <v>0.30250600756908053</v>
      </c>
    </row>
    <row r="56" spans="2:10">
      <c r="B56">
        <f t="shared" si="4"/>
        <v>8.6999999999999994E-3</v>
      </c>
      <c r="C56">
        <v>8.6999999999999993</v>
      </c>
      <c r="D56">
        <f t="shared" si="1"/>
        <v>0.50855410009877289</v>
      </c>
      <c r="F56">
        <f t="shared" si="2"/>
        <v>1.7299999999999999E-2</v>
      </c>
      <c r="G56">
        <v>17.3</v>
      </c>
      <c r="H56">
        <f t="shared" si="3"/>
        <v>0.35934871215206465</v>
      </c>
      <c r="I56">
        <f t="shared" si="3"/>
        <v>0.29767706412546752</v>
      </c>
      <c r="J56">
        <f t="shared" si="3"/>
        <v>0.30540577101799871</v>
      </c>
    </row>
    <row r="57" spans="2:10">
      <c r="B57">
        <f t="shared" si="4"/>
        <v>8.8999999999999999E-3</v>
      </c>
      <c r="C57">
        <v>8.9</v>
      </c>
      <c r="D57">
        <f t="shared" si="1"/>
        <v>0.51436633567208423</v>
      </c>
      <c r="F57">
        <f t="shared" si="2"/>
        <v>1.77E-2</v>
      </c>
      <c r="G57">
        <v>17.7</v>
      </c>
      <c r="H57">
        <f t="shared" si="3"/>
        <v>0.36068397805153435</v>
      </c>
      <c r="I57">
        <f t="shared" si="3"/>
        <v>0.30081351816300389</v>
      </c>
      <c r="J57">
        <f t="shared" si="3"/>
        <v>0.30829286190336125</v>
      </c>
    </row>
    <row r="58" spans="2:10">
      <c r="B58">
        <f t="shared" si="4"/>
        <v>9.1000000000000004E-3</v>
      </c>
      <c r="C58">
        <v>9.1</v>
      </c>
      <c r="D58">
        <f t="shared" si="1"/>
        <v>0.52011362394978833</v>
      </c>
      <c r="F58">
        <f t="shared" si="2"/>
        <v>1.8100000000000002E-2</v>
      </c>
      <c r="G58">
        <v>18.100000000000001</v>
      </c>
      <c r="H58">
        <f t="shared" si="3"/>
        <v>0.36207539406026423</v>
      </c>
      <c r="I58">
        <f t="shared" si="3"/>
        <v>0.30392377615200922</v>
      </c>
      <c r="J58">
        <f t="shared" si="3"/>
        <v>0.31116667381811253</v>
      </c>
    </row>
    <row r="59" spans="2:10">
      <c r="B59">
        <f t="shared" si="4"/>
        <v>9.300000000000001E-3</v>
      </c>
      <c r="C59">
        <v>9.3000000000000007</v>
      </c>
      <c r="D59">
        <f t="shared" si="1"/>
        <v>0.52579809467478711</v>
      </c>
      <c r="F59">
        <f t="shared" si="2"/>
        <v>1.8499999999999999E-2</v>
      </c>
      <c r="G59">
        <v>18.5</v>
      </c>
      <c r="H59">
        <f t="shared" si="3"/>
        <v>0.36351836986993175</v>
      </c>
      <c r="I59">
        <f t="shared" si="3"/>
        <v>0.30700823802310812</v>
      </c>
      <c r="J59">
        <f t="shared" si="3"/>
        <v>0.31402670311658254</v>
      </c>
    </row>
    <row r="60" spans="2:10">
      <c r="B60">
        <f t="shared" si="4"/>
        <v>9.4999999999999998E-3</v>
      </c>
      <c r="C60">
        <v>9.5</v>
      </c>
      <c r="D60">
        <f t="shared" si="1"/>
        <v>0.53142176367654614</v>
      </c>
      <c r="F60">
        <f t="shared" si="2"/>
        <v>1.89E-2</v>
      </c>
      <c r="G60">
        <v>18.899999999999999</v>
      </c>
      <c r="H60">
        <f t="shared" si="3"/>
        <v>0.3650086972080081</v>
      </c>
      <c r="I60">
        <f t="shared" si="3"/>
        <v>0.31006731450072661</v>
      </c>
      <c r="J60">
        <f t="shared" si="3"/>
        <v>0.31687253542032279</v>
      </c>
    </row>
    <row r="61" spans="2:10">
      <c r="B61">
        <f t="shared" si="4"/>
        <v>9.6999999999999986E-3</v>
      </c>
      <c r="C61">
        <v>9.6999999999999993</v>
      </c>
      <c r="D61">
        <f t="shared" si="1"/>
        <v>0.53698654122291134</v>
      </c>
      <c r="F61">
        <f t="shared" si="2"/>
        <v>1.9300000000000001E-2</v>
      </c>
      <c r="G61">
        <v>19.3</v>
      </c>
      <c r="H61">
        <f t="shared" si="3"/>
        <v>0.36654251369030832</v>
      </c>
      <c r="I61">
        <f t="shared" si="3"/>
        <v>0.31310142349866538</v>
      </c>
      <c r="J61">
        <f t="shared" si="3"/>
        <v>0.31970383396321228</v>
      </c>
    </row>
    <row r="62" spans="2:10">
      <c r="B62">
        <f t="shared" si="4"/>
        <v>9.9000000000000008E-3</v>
      </c>
      <c r="C62">
        <v>9.9</v>
      </c>
      <c r="D62">
        <f t="shared" si="1"/>
        <v>0.54249423960075371</v>
      </c>
      <c r="F62">
        <f t="shared" si="2"/>
        <v>1.9699999999999999E-2</v>
      </c>
      <c r="G62">
        <v>19.7</v>
      </c>
      <c r="H62">
        <f t="shared" si="3"/>
        <v>0.36811627058645857</v>
      </c>
      <c r="I62">
        <f t="shared" si="3"/>
        <v>0.316110987140375</v>
      </c>
      <c r="J62">
        <f t="shared" si="3"/>
        <v>0.32252032950523046</v>
      </c>
    </row>
    <row r="63" spans="2:10">
      <c r="B63">
        <f t="shared" si="4"/>
        <v>1.01E-2</v>
      </c>
      <c r="C63">
        <v>10.1</v>
      </c>
      <c r="D63">
        <f t="shared" si="1"/>
        <v>0.54794658001072927</v>
      </c>
      <c r="F63">
        <f t="shared" si="2"/>
        <v>2.01E-2</v>
      </c>
      <c r="G63">
        <v>20.100000000000001</v>
      </c>
      <c r="H63">
        <f t="shared" si="3"/>
        <v>0.36972670401543212</v>
      </c>
      <c r="I63">
        <f t="shared" si="3"/>
        <v>0.31909642930004595</v>
      </c>
      <c r="J63">
        <f t="shared" si="3"/>
        <v>0.32532181158743007</v>
      </c>
    </row>
    <row r="64" spans="2:10">
      <c r="B64">
        <f t="shared" si="4"/>
        <v>1.03E-2</v>
      </c>
      <c r="C64">
        <v>10.3</v>
      </c>
      <c r="D64">
        <f t="shared" si="1"/>
        <v>0.55334519885050881</v>
      </c>
      <c r="F64">
        <f t="shared" si="2"/>
        <v>2.0500000000000001E-2</v>
      </c>
      <c r="G64">
        <v>20.5</v>
      </c>
      <c r="H64">
        <f t="shared" si="3"/>
        <v>0.37137080915588677</v>
      </c>
      <c r="I64">
        <f t="shared" si="3"/>
        <v>0.32205817357859423</v>
      </c>
      <c r="J64">
        <f t="shared" si="3"/>
        <v>0.32810812093636182</v>
      </c>
    </row>
    <row r="65" spans="2:10">
      <c r="B65">
        <f t="shared" si="4"/>
        <v>1.0500000000000001E-2</v>
      </c>
      <c r="C65">
        <v>10.5</v>
      </c>
      <c r="D65">
        <f t="shared" si="1"/>
        <v>0.55869165345149341</v>
      </c>
      <c r="F65">
        <f t="shared" si="2"/>
        <v>2.0899999999999998E-2</v>
      </c>
      <c r="G65">
        <v>20.9</v>
      </c>
      <c r="H65">
        <f t="shared" si="3"/>
        <v>0.37304581711296397</v>
      </c>
      <c r="I65">
        <f t="shared" si="3"/>
        <v>0.32499664164330261</v>
      </c>
      <c r="J65">
        <f t="shared" si="3"/>
        <v>0.33087914285586739</v>
      </c>
    </row>
    <row r="66" spans="2:10">
      <c r="B66">
        <f t="shared" si="4"/>
        <v>1.0699999999999999E-2</v>
      </c>
      <c r="C66">
        <v>10.7</v>
      </c>
      <c r="D66">
        <f t="shared" si="1"/>
        <v>0.56398742732601603</v>
      </c>
      <c r="F66">
        <f t="shared" si="2"/>
        <v>2.1299999999999999E-2</v>
      </c>
      <c r="G66">
        <v>21.3</v>
      </c>
      <c r="H66">
        <f t="shared" si="3"/>
        <v>0.37474917413136039</v>
      </c>
      <c r="I66">
        <f t="shared" si="3"/>
        <v>0.32791225187189782</v>
      </c>
      <c r="J66">
        <f t="shared" si="3"/>
        <v>0.33363480146887209</v>
      </c>
    </row>
    <row r="67" spans="2:10">
      <c r="B67">
        <f t="shared" si="4"/>
        <v>1.09E-2</v>
      </c>
      <c r="C67">
        <v>10.9</v>
      </c>
      <c r="D67">
        <f t="shared" si="1"/>
        <v>0.56923393497513197</v>
      </c>
      <c r="F67">
        <f t="shared" si="2"/>
        <v>2.1700000000000001E-2</v>
      </c>
      <c r="G67">
        <v>21.7</v>
      </c>
      <c r="H67">
        <f t="shared" si="3"/>
        <v>0.37647852288535738</v>
      </c>
      <c r="I67">
        <f t="shared" si="3"/>
        <v>0.33080541825172682</v>
      </c>
      <c r="J67">
        <f t="shared" si="3"/>
        <v>0.3363750546924591</v>
      </c>
    </row>
    <row r="68" spans="2:10">
      <c r="B68">
        <f t="shared" si="4"/>
        <v>1.11E-2</v>
      </c>
      <c r="C68">
        <v>11.1</v>
      </c>
      <c r="D68">
        <f t="shared" si="1"/>
        <v>0.57443252630115516</v>
      </c>
      <c r="F68">
        <f t="shared" si="2"/>
        <v>2.2100000000000002E-2</v>
      </c>
      <c r="G68">
        <v>22.1</v>
      </c>
      <c r="H68">
        <f t="shared" si="3"/>
        <v>0.3782316856113262</v>
      </c>
      <c r="I68">
        <f t="shared" si="3"/>
        <v>0.33367654949283959</v>
      </c>
      <c r="J68">
        <f t="shared" si="3"/>
        <v>0.3390998898468085</v>
      </c>
    </row>
    <row r="69" spans="2:10">
      <c r="B69">
        <f t="shared" si="4"/>
        <v>1.1300000000000001E-2</v>
      </c>
      <c r="C69">
        <v>11.3</v>
      </c>
      <c r="D69">
        <f t="shared" si="1"/>
        <v>0.57958449066394269</v>
      </c>
      <c r="F69">
        <f t="shared" si="2"/>
        <v>2.2499999999999999E-2</v>
      </c>
      <c r="G69">
        <v>22.5</v>
      </c>
      <c r="H69">
        <f t="shared" si="3"/>
        <v>0.38000664887800234</v>
      </c>
      <c r="I69">
        <f t="shared" si="3"/>
        <v>0.33652604832051514</v>
      </c>
      <c r="J69">
        <f t="shared" si="3"/>
        <v>0.3418093198131249</v>
      </c>
    </row>
    <row r="70" spans="2:10">
      <c r="B70">
        <f t="shared" si="4"/>
        <v>1.15E-2</v>
      </c>
      <c r="C70">
        <v>11.5</v>
      </c>
      <c r="D70">
        <f t="shared" si="1"/>
        <v>0.58469106061546416</v>
      </c>
      <c r="F70">
        <f t="shared" si="2"/>
        <v>2.29E-2</v>
      </c>
      <c r="G70">
        <v>22.9</v>
      </c>
      <c r="H70">
        <f t="shared" si="3"/>
        <v>0.38180154981537162</v>
      </c>
      <c r="I70">
        <f t="shared" si="3"/>
        <v>0.33935431091834406</v>
      </c>
      <c r="J70">
        <f t="shared" si="3"/>
        <v>0.34450337966792155</v>
      </c>
    </row>
    <row r="71" spans="2:10">
      <c r="B71">
        <f t="shared" si="4"/>
        <v>1.1699999999999999E-2</v>
      </c>
      <c r="C71">
        <v>11.7</v>
      </c>
      <c r="D71">
        <f t="shared" si="1"/>
        <v>0.58975341534330328</v>
      </c>
      <c r="F71">
        <f t="shared" si="2"/>
        <v>2.3300000000000001E-2</v>
      </c>
      <c r="G71">
        <v>23.3</v>
      </c>
      <c r="H71">
        <f t="shared" si="3"/>
        <v>0.38361466364498553</v>
      </c>
      <c r="I71">
        <f t="shared" si="3"/>
        <v>0.34216172649761373</v>
      </c>
      <c r="J71">
        <f t="shared" si="3"/>
        <v>0.3471821237313733</v>
      </c>
    </row>
    <row r="72" spans="2:10">
      <c r="B72">
        <f t="shared" si="4"/>
        <v>1.1900000000000001E-2</v>
      </c>
      <c r="C72">
        <v>11.9</v>
      </c>
      <c r="D72">
        <f t="shared" si="1"/>
        <v>0.59477268385034754</v>
      </c>
      <c r="F72">
        <f t="shared" si="2"/>
        <v>2.3699999999999999E-2</v>
      </c>
      <c r="G72">
        <v>23.7</v>
      </c>
      <c r="H72">
        <f t="shared" si="3"/>
        <v>0.38544439237349587</v>
      </c>
      <c r="I72">
        <f t="shared" si="3"/>
        <v>0.34494867697260007</v>
      </c>
      <c r="J72">
        <f t="shared" si="3"/>
        <v>0.34984562297620908</v>
      </c>
    </row>
    <row r="73" spans="2:10">
      <c r="B73">
        <f t="shared" si="4"/>
        <v>1.21E-2</v>
      </c>
      <c r="C73">
        <v>12.1</v>
      </c>
      <c r="D73">
        <f t="shared" si="1"/>
        <v>0.59974994789495395</v>
      </c>
      <c r="F73">
        <f t="shared" si="2"/>
        <v>2.41E-2</v>
      </c>
      <c r="G73">
        <v>24.1</v>
      </c>
      <c r="H73">
        <f t="shared" si="3"/>
        <v>0.38728925452761059</v>
      </c>
      <c r="I73">
        <f t="shared" si="3"/>
        <v>0.34771553672458694</v>
      </c>
      <c r="J73">
        <f t="shared" si="3"/>
        <v>0.35249396275104289</v>
      </c>
    </row>
    <row r="74" spans="2:10">
      <c r="B74">
        <f t="shared" si="4"/>
        <v>1.23E-2</v>
      </c>
      <c r="C74">
        <v>12.3</v>
      </c>
      <c r="D74">
        <f t="shared" si="1"/>
        <v>0.6046862447132848</v>
      </c>
      <c r="F74">
        <f t="shared" si="2"/>
        <v>2.4500000000000001E-2</v>
      </c>
      <c r="G74">
        <v>24.5</v>
      </c>
      <c r="H74">
        <f t="shared" si="3"/>
        <v>0.38914787582291938</v>
      </c>
      <c r="I74">
        <f t="shared" si="3"/>
        <v>0.35046267244012891</v>
      </c>
      <c r="J74">
        <f t="shared" si="3"/>
        <v>0.35512724077836827</v>
      </c>
    </row>
    <row r="75" spans="2:10">
      <c r="B75">
        <f t="shared" si="4"/>
        <v>1.2500000000000001E-2</v>
      </c>
      <c r="C75">
        <v>12.5</v>
      </c>
      <c r="D75">
        <f t="shared" si="1"/>
        <v>0.60958256954321544</v>
      </c>
      <c r="F75">
        <f t="shared" si="2"/>
        <v>2.4899999999999999E-2</v>
      </c>
      <c r="G75">
        <v>24.9</v>
      </c>
      <c r="H75">
        <f t="shared" si="3"/>
        <v>0.39101898067142687</v>
      </c>
      <c r="I75">
        <f t="shared" si="3"/>
        <v>0.35319044301132735</v>
      </c>
      <c r="J75">
        <f t="shared" si="3"/>
        <v>0.35774556539282626</v>
      </c>
    </row>
    <row r="76" spans="2:10">
      <c r="B76">
        <f t="shared" si="4"/>
        <v>1.2699999999999999E-2</v>
      </c>
      <c r="C76">
        <v>12.7</v>
      </c>
      <c r="D76">
        <f t="shared" si="1"/>
        <v>0.614439877967213</v>
      </c>
      <c r="F76">
        <f t="shared" si="2"/>
        <v>2.53E-2</v>
      </c>
      <c r="G76">
        <v>25.3</v>
      </c>
      <c r="H76">
        <f t="shared" si="3"/>
        <v>0.39290138444343714</v>
      </c>
      <c r="I76">
        <f t="shared" si="3"/>
        <v>0.35589919948778609</v>
      </c>
      <c r="J76">
        <f t="shared" si="3"/>
        <v>0.36034905398996464</v>
      </c>
    </row>
    <row r="77" spans="2:10">
      <c r="B77">
        <f t="shared" si="4"/>
        <v>1.29E-2</v>
      </c>
      <c r="C77">
        <v>12.9</v>
      </c>
      <c r="D77">
        <f t="shared" si="1"/>
        <v>0.61925908808980601</v>
      </c>
      <c r="F77">
        <f t="shared" si="2"/>
        <v>2.5700000000000001E-2</v>
      </c>
      <c r="G77">
        <v>25.7</v>
      </c>
      <c r="H77">
        <f t="shared" si="3"/>
        <v>0.39479398640887542</v>
      </c>
      <c r="I77">
        <f t="shared" si="3"/>
        <v>0.35858928507150484</v>
      </c>
      <c r="J77">
        <f t="shared" si="3"/>
        <v>0.36293783165964588</v>
      </c>
    </row>
    <row r="78" spans="2:10">
      <c r="B78">
        <f t="shared" ref="B78:B112" si="5">C78/1000</f>
        <v>1.3099999999999999E-2</v>
      </c>
      <c r="C78">
        <v>13.1</v>
      </c>
      <c r="D78">
        <f t="shared" ref="D78:D112" si="6">SQRT(4*$C$9*B78/(3*$C$10))</f>
        <v>0.62404108256369839</v>
      </c>
      <c r="F78">
        <f t="shared" ref="F78:F112" si="7">G78/1000</f>
        <v>2.6100000000000002E-2</v>
      </c>
      <c r="G78">
        <v>26.1</v>
      </c>
      <c r="H78">
        <f t="shared" ref="H78:J112" si="8">SQRT(2*H$9/(H$10*$F78)+$C$9*$F78/2)</f>
        <v>0.3966957632914081</v>
      </c>
      <c r="I78">
        <f t="shared" si="8"/>
        <v>0.36126103514731334</v>
      </c>
      <c r="J78">
        <f t="shared" si="8"/>
        <v>0.36551202998164461</v>
      </c>
    </row>
    <row r="79" spans="2:10">
      <c r="B79">
        <f t="shared" si="5"/>
        <v>1.3300000000000001E-2</v>
      </c>
      <c r="C79">
        <v>13.3</v>
      </c>
      <c r="D79">
        <f t="shared" si="6"/>
        <v>0.62878671047719137</v>
      </c>
      <c r="F79">
        <f t="shared" si="7"/>
        <v>2.6499999999999999E-2</v>
      </c>
      <c r="G79">
        <v>26.5</v>
      </c>
      <c r="H79">
        <f t="shared" si="8"/>
        <v>0.39860576337597975</v>
      </c>
      <c r="I79">
        <f t="shared" si="8"/>
        <v>0.36391477734258254</v>
      </c>
      <c r="J79">
        <f t="shared" si="8"/>
        <v>0.36807178596388168</v>
      </c>
    </row>
    <row r="80" spans="2:10">
      <c r="B80">
        <f t="shared" si="5"/>
        <v>1.35E-2</v>
      </c>
      <c r="C80">
        <v>13.5</v>
      </c>
      <c r="D80">
        <f t="shared" si="6"/>
        <v>0.6334967891143426</v>
      </c>
      <c r="F80">
        <f t="shared" si="7"/>
        <v>2.69E-2</v>
      </c>
      <c r="G80">
        <v>26.9</v>
      </c>
      <c r="H80">
        <f t="shared" si="8"/>
        <v>0.40052310111677381</v>
      </c>
      <c r="I80">
        <f t="shared" si="8"/>
        <v>0.36655083161090551</v>
      </c>
      <c r="J80">
        <f t="shared" si="8"/>
        <v>0.37061724110624489</v>
      </c>
    </row>
    <row r="81" spans="2:10">
      <c r="B81">
        <f t="shared" si="5"/>
        <v>1.3699999999999999E-2</v>
      </c>
      <c r="C81">
        <v>13.7</v>
      </c>
      <c r="D81">
        <f t="shared" si="6"/>
        <v>0.63817210559819704</v>
      </c>
      <c r="F81">
        <f t="shared" si="7"/>
        <v>2.7300000000000001E-2</v>
      </c>
      <c r="G81">
        <v>27.3</v>
      </c>
      <c r="H81">
        <f t="shared" si="8"/>
        <v>0.40244695219823085</v>
      </c>
      <c r="I81">
        <f t="shared" si="8"/>
        <v>0.36916951033525469</v>
      </c>
      <c r="J81">
        <f t="shared" si="8"/>
        <v>0.37314854057510843</v>
      </c>
    </row>
    <row r="82" spans="2:10">
      <c r="B82">
        <f t="shared" si="5"/>
        <v>1.3900000000000001E-2</v>
      </c>
      <c r="C82">
        <v>13.9</v>
      </c>
      <c r="D82">
        <f t="shared" si="6"/>
        <v>0.64281341842644424</v>
      </c>
      <c r="F82">
        <f t="shared" si="7"/>
        <v>2.7699999999999999E-2</v>
      </c>
      <c r="G82">
        <v>27.7</v>
      </c>
      <c r="H82">
        <f t="shared" si="8"/>
        <v>0.40437654900672571</v>
      </c>
      <c r="I82">
        <f t="shared" si="8"/>
        <v>0.37177111844680849</v>
      </c>
      <c r="J82">
        <f t="shared" si="8"/>
        <v>0.37566583247552698</v>
      </c>
    </row>
    <row r="83" spans="2:10">
      <c r="B83">
        <f t="shared" si="5"/>
        <v>1.41E-2</v>
      </c>
      <c r="C83">
        <v>14.1</v>
      </c>
      <c r="D83">
        <f t="shared" si="6"/>
        <v>0.6474214589079863</v>
      </c>
      <c r="F83">
        <f t="shared" si="7"/>
        <v>2.81E-2</v>
      </c>
      <c r="G83">
        <v>28.1</v>
      </c>
      <c r="H83">
        <f t="shared" si="8"/>
        <v>0.40631117647489928</v>
      </c>
      <c r="I83">
        <f t="shared" si="8"/>
        <v>0.37435595355622286</v>
      </c>
      <c r="J83">
        <f t="shared" si="8"/>
        <v>0.37816926720970029</v>
      </c>
    </row>
    <row r="84" spans="2:10">
      <c r="B84">
        <f t="shared" si="5"/>
        <v>1.43E-2</v>
      </c>
      <c r="C84">
        <v>14.3</v>
      </c>
      <c r="D84">
        <f t="shared" si="6"/>
        <v>0.65199693250812152</v>
      </c>
      <c r="F84">
        <f t="shared" si="7"/>
        <v>2.8500000000000001E-2</v>
      </c>
      <c r="G84">
        <v>28.5</v>
      </c>
      <c r="H84">
        <f t="shared" si="8"/>
        <v>0.40825016826453109</v>
      </c>
      <c r="I84">
        <f t="shared" si="8"/>
        <v>0.37692430609462146</v>
      </c>
      <c r="J84">
        <f t="shared" si="8"/>
        <v>0.38065899691170385</v>
      </c>
    </row>
    <row r="85" spans="2:10">
      <c r="B85">
        <f t="shared" si="5"/>
        <v>1.4500000000000001E-2</v>
      </c>
      <c r="C85">
        <v>14.5</v>
      </c>
      <c r="D85">
        <f t="shared" si="6"/>
        <v>0.65654052010934905</v>
      </c>
      <c r="F85">
        <f t="shared" si="7"/>
        <v>2.8899999999999999E-2</v>
      </c>
      <c r="G85">
        <v>28.9</v>
      </c>
      <c r="H85">
        <f t="shared" si="8"/>
        <v>0.41019290325729363</v>
      </c>
      <c r="I85">
        <f t="shared" si="8"/>
        <v>0.37947645946199715</v>
      </c>
      <c r="J85">
        <f t="shared" si="8"/>
        <v>0.38313517494969973</v>
      </c>
    </row>
    <row r="86" spans="2:10">
      <c r="B86">
        <f t="shared" si="5"/>
        <v>1.47E-2</v>
      </c>
      <c r="C86">
        <v>14.7</v>
      </c>
      <c r="D86">
        <f t="shared" si="6"/>
        <v>0.66105287919417544</v>
      </c>
      <c r="F86">
        <f t="shared" si="7"/>
        <v>2.93E-2</v>
      </c>
      <c r="G86">
        <v>29.3</v>
      </c>
      <c r="H86">
        <f t="shared" si="8"/>
        <v>0.4121388023257978</v>
      </c>
      <c r="I86">
        <f t="shared" si="8"/>
        <v>0.38201269018107925</v>
      </c>
      <c r="J86">
        <f t="shared" si="8"/>
        <v>0.3855979554879026</v>
      </c>
    </row>
    <row r="87" spans="2:10">
      <c r="B87">
        <f t="shared" si="5"/>
        <v>1.49E-2</v>
      </c>
      <c r="C87">
        <v>14.9</v>
      </c>
      <c r="D87">
        <f t="shared" si="6"/>
        <v>0.66553464495574055</v>
      </c>
      <c r="F87">
        <f t="shared" si="7"/>
        <v>2.9700000000000001E-2</v>
      </c>
      <c r="G87">
        <v>29.7</v>
      </c>
      <c r="H87">
        <f t="shared" si="8"/>
        <v>0.41408732536006893</v>
      </c>
      <c r="I87">
        <f t="shared" si="8"/>
        <v>0.38453326805502414</v>
      </c>
      <c r="J87">
        <f t="shared" si="8"/>
        <v>0.38804749310149772</v>
      </c>
    </row>
    <row r="88" spans="2:10">
      <c r="B88">
        <f t="shared" si="5"/>
        <v>1.5099999999999999E-2</v>
      </c>
      <c r="C88">
        <v>15.1</v>
      </c>
      <c r="D88">
        <f t="shared" si="6"/>
        <v>0.66998643134157432</v>
      </c>
      <c r="F88">
        <f t="shared" si="7"/>
        <v>3.0100000000000002E-2</v>
      </c>
      <c r="G88">
        <v>30.1</v>
      </c>
      <c r="H88">
        <f t="shared" si="8"/>
        <v>0.41603796852702846</v>
      </c>
      <c r="I88">
        <f t="shared" si="8"/>
        <v>0.38703845632754835</v>
      </c>
      <c r="J88">
        <f t="shared" si="8"/>
        <v>0.39048394243851514</v>
      </c>
    </row>
    <row r="89" spans="2:10">
      <c r="B89">
        <f t="shared" si="5"/>
        <v>1.5300000000000001E-2</v>
      </c>
      <c r="C89">
        <v>15.3</v>
      </c>
      <c r="D89">
        <f t="shared" si="6"/>
        <v>0.67440883203534097</v>
      </c>
      <c r="F89">
        <f t="shared" si="7"/>
        <v>3.0499999999999999E-2</v>
      </c>
      <c r="G89">
        <v>30.5</v>
      </c>
      <c r="H89">
        <f t="shared" si="8"/>
        <v>0.41799026174272824</v>
      </c>
      <c r="I89">
        <f t="shared" si="8"/>
        <v>0.38952851184434722</v>
      </c>
      <c r="J89">
        <f t="shared" si="8"/>
        <v>0.39290745792336812</v>
      </c>
    </row>
    <row r="90" spans="2:10">
      <c r="B90">
        <f t="shared" si="5"/>
        <v>1.55E-2</v>
      </c>
      <c r="C90">
        <v>15.5</v>
      </c>
      <c r="D90">
        <f t="shared" si="6"/>
        <v>0.67880242138101365</v>
      </c>
      <c r="F90">
        <f t="shared" si="7"/>
        <v>3.0899999999999997E-2</v>
      </c>
      <c r="G90">
        <v>30.9</v>
      </c>
      <c r="H90">
        <f t="shared" si="8"/>
        <v>0.41994376633902641</v>
      </c>
      <c r="I90">
        <f t="shared" si="8"/>
        <v>0.39200368521482815</v>
      </c>
      <c r="J90">
        <f t="shared" si="8"/>
        <v>0.39531819349738045</v>
      </c>
    </row>
    <row r="91" spans="2:10">
      <c r="B91">
        <f t="shared" si="5"/>
        <v>1.5699999999999999E-2</v>
      </c>
      <c r="C91">
        <v>15.7</v>
      </c>
      <c r="D91">
        <f t="shared" si="6"/>
        <v>0.68316775525355544</v>
      </c>
      <c r="F91">
        <f t="shared" si="7"/>
        <v>3.1300000000000001E-2</v>
      </c>
      <c r="G91">
        <v>31.3</v>
      </c>
      <c r="H91">
        <f t="shared" si="8"/>
        <v>0.42189807290813097</v>
      </c>
      <c r="I91">
        <f t="shared" si="8"/>
        <v>0.39446422097335349</v>
      </c>
      <c r="J91">
        <f t="shared" si="8"/>
        <v>0.39771630239216799</v>
      </c>
    </row>
    <row r="92" spans="2:10">
      <c r="B92">
        <f t="shared" si="5"/>
        <v>1.5900000000000001E-2</v>
      </c>
      <c r="C92">
        <v>15.9</v>
      </c>
      <c r="D92">
        <f t="shared" si="6"/>
        <v>0.6875053718798394</v>
      </c>
      <c r="F92">
        <f t="shared" si="7"/>
        <v>3.1699999999999999E-2</v>
      </c>
      <c r="G92">
        <v>31.7</v>
      </c>
      <c r="H92">
        <f t="shared" si="8"/>
        <v>0.42385279930999431</v>
      </c>
      <c r="I92">
        <f t="shared" si="8"/>
        <v>0.39691035773932221</v>
      </c>
      <c r="J92">
        <f t="shared" si="8"/>
        <v>0.40010193693221296</v>
      </c>
    </row>
    <row r="93" spans="2:10">
      <c r="B93">
        <f t="shared" si="5"/>
        <v>1.61E-2</v>
      </c>
      <c r="C93">
        <v>16.100000000000001</v>
      </c>
      <c r="D93">
        <f t="shared" si="6"/>
        <v>0.69181579261324389</v>
      </c>
      <c r="F93">
        <f t="shared" si="7"/>
        <v>3.2100000000000004E-2</v>
      </c>
      <c r="G93">
        <v>32.1</v>
      </c>
      <c r="H93">
        <f t="shared" si="8"/>
        <v>0.42580758882893927</v>
      </c>
      <c r="I93">
        <f t="shared" si="8"/>
        <v>0.39934232837554096</v>
      </c>
      <c r="J93">
        <f t="shared" si="8"/>
        <v>0.40247524836338866</v>
      </c>
    </row>
    <row r="94" spans="2:10">
      <c r="B94">
        <f t="shared" si="5"/>
        <v>1.6300000000000002E-2</v>
      </c>
      <c r="C94">
        <v>16.3</v>
      </c>
      <c r="D94">
        <f t="shared" si="6"/>
        <v>0.69609952266507513</v>
      </c>
      <c r="F94">
        <f t="shared" si="7"/>
        <v>3.2500000000000001E-2</v>
      </c>
      <c r="G94">
        <v>32.5</v>
      </c>
      <c r="H94">
        <f t="shared" si="8"/>
        <v>0.42776210846715013</v>
      </c>
      <c r="I94">
        <f t="shared" si="8"/>
        <v>0.40176036014443267</v>
      </c>
      <c r="J94">
        <f t="shared" si="8"/>
        <v>0.40483638670455502</v>
      </c>
    </row>
    <row r="95" spans="2:10">
      <c r="B95">
        <f t="shared" si="5"/>
        <v>1.6500000000000001E-2</v>
      </c>
      <c r="C95">
        <v>16.5</v>
      </c>
      <c r="D95">
        <f t="shared" si="6"/>
        <v>0.70035705179572516</v>
      </c>
      <c r="F95">
        <f t="shared" si="7"/>
        <v>3.2899999999999999E-2</v>
      </c>
      <c r="G95">
        <v>32.9</v>
      </c>
      <c r="H95">
        <f t="shared" si="8"/>
        <v>0.4297160473637921</v>
      </c>
      <c r="I95">
        <f t="shared" si="8"/>
        <v>0.40416467486171853</v>
      </c>
      <c r="J95">
        <f t="shared" si="8"/>
        <v>0.4071855006196729</v>
      </c>
    </row>
    <row r="96" spans="2:10">
      <c r="B96">
        <f t="shared" si="5"/>
        <v>1.67E-2</v>
      </c>
      <c r="C96">
        <v>16.7</v>
      </c>
      <c r="D96">
        <f t="shared" si="6"/>
        <v>0.70458885496823931</v>
      </c>
      <c r="F96">
        <f t="shared" si="7"/>
        <v>3.3299999999999996E-2</v>
      </c>
      <c r="G96">
        <v>33.299999999999997</v>
      </c>
      <c r="H96">
        <f t="shared" si="8"/>
        <v>0.4316691153295365</v>
      </c>
      <c r="I96">
        <f t="shared" si="8"/>
        <v>0.40655548904728134</v>
      </c>
      <c r="J96">
        <f t="shared" si="8"/>
        <v>0.40952273730816507</v>
      </c>
    </row>
    <row r="97" spans="2:10">
      <c r="B97">
        <f t="shared" si="5"/>
        <v>1.6899999999999998E-2</v>
      </c>
      <c r="C97">
        <v>16.899999999999999</v>
      </c>
      <c r="D97">
        <f t="shared" si="6"/>
        <v>0.70879539296676375</v>
      </c>
      <c r="F97">
        <f t="shared" si="7"/>
        <v>3.3700000000000001E-2</v>
      </c>
      <c r="G97">
        <v>33.700000000000003</v>
      </c>
      <c r="H97">
        <f t="shared" si="8"/>
        <v>0.4336210414871845</v>
      </c>
      <c r="I97">
        <f t="shared" si="8"/>
        <v>0.40893301407298083</v>
      </c>
      <c r="J97">
        <f t="shared" si="8"/>
        <v>0.4118482424115078</v>
      </c>
    </row>
    <row r="98" spans="2:10">
      <c r="B98">
        <f t="shared" si="5"/>
        <v>1.7100000000000001E-2</v>
      </c>
      <c r="C98">
        <v>17.100000000000001</v>
      </c>
      <c r="D98">
        <f t="shared" si="6"/>
        <v>0.7129771129821515</v>
      </c>
      <c r="F98">
        <f t="shared" si="7"/>
        <v>3.4099999999999998E-2</v>
      </c>
      <c r="G98">
        <v>34.1</v>
      </c>
      <c r="H98">
        <f t="shared" si="8"/>
        <v>0.43557157300990823</v>
      </c>
      <c r="I98">
        <f t="shared" si="8"/>
        <v>0.41129745630724368</v>
      </c>
      <c r="J98">
        <f t="shared" si="8"/>
        <v>0.41416215993425526</v>
      </c>
    </row>
    <row r="99" spans="2:10">
      <c r="B99">
        <f t="shared" si="5"/>
        <v>1.7299999999999999E-2</v>
      </c>
      <c r="C99">
        <v>17.3</v>
      </c>
      <c r="D99">
        <f t="shared" si="6"/>
        <v>0.71713444916683378</v>
      </c>
      <c r="F99">
        <f t="shared" si="7"/>
        <v>3.4500000000000003E-2</v>
      </c>
      <c r="G99">
        <v>34.5</v>
      </c>
      <c r="H99">
        <f t="shared" si="8"/>
        <v>0.43752047394937349</v>
      </c>
      <c r="I99">
        <f t="shared" si="8"/>
        <v>0.41364901725629799</v>
      </c>
      <c r="J99">
        <f t="shared" si="8"/>
        <v>0.41646463217789875</v>
      </c>
    </row>
    <row r="100" spans="2:10">
      <c r="B100">
        <f t="shared" si="5"/>
        <v>1.7500000000000002E-2</v>
      </c>
      <c r="C100">
        <v>17.5</v>
      </c>
      <c r="D100">
        <f t="shared" si="6"/>
        <v>0.72126782316090654</v>
      </c>
      <c r="F100">
        <f t="shared" si="7"/>
        <v>3.49E-2</v>
      </c>
      <c r="G100">
        <v>34.9</v>
      </c>
      <c r="H100">
        <f t="shared" si="8"/>
        <v>0.43946752414668083</v>
      </c>
      <c r="I100">
        <f t="shared" si="8"/>
        <v>0.4159878937019561</v>
      </c>
      <c r="J100">
        <f t="shared" si="8"/>
        <v>0.41875579968613408</v>
      </c>
    </row>
    <row r="101" spans="2:10">
      <c r="B101">
        <f t="shared" si="5"/>
        <v>1.77E-2</v>
      </c>
      <c r="C101">
        <v>17.7</v>
      </c>
      <c r="D101">
        <f t="shared" si="6"/>
        <v>0.72537764459123444</v>
      </c>
      <c r="F101">
        <f t="shared" si="7"/>
        <v>3.5299999999999998E-2</v>
      </c>
      <c r="G101">
        <v>35.299999999999997</v>
      </c>
      <c r="H101">
        <f t="shared" si="8"/>
        <v>0.44141251821967431</v>
      </c>
      <c r="I101">
        <f t="shared" si="8"/>
        <v>0.41831427783588676</v>
      </c>
      <c r="J101">
        <f t="shared" si="8"/>
        <v>0.42103580120026762</v>
      </c>
    </row>
    <row r="102" spans="2:10">
      <c r="B102">
        <f t="shared" si="5"/>
        <v>1.7899999999999999E-2</v>
      </c>
      <c r="C102">
        <v>17.899999999999999</v>
      </c>
      <c r="D102">
        <f t="shared" si="6"/>
        <v>0.72946431154524749</v>
      </c>
      <c r="F102">
        <f t="shared" si="7"/>
        <v>3.5700000000000003E-2</v>
      </c>
      <c r="G102">
        <v>35.700000000000003</v>
      </c>
      <c r="H102">
        <f t="shared" si="8"/>
        <v>0.44335526462071595</v>
      </c>
      <c r="I102">
        <f t="shared" si="8"/>
        <v>0.42062835739034055</v>
      </c>
      <c r="J102">
        <f t="shared" si="8"/>
        <v>0.42330477362362573</v>
      </c>
    </row>
    <row r="103" spans="2:10">
      <c r="B103">
        <f t="shared" si="5"/>
        <v>1.8100000000000002E-2</v>
      </c>
      <c r="C103">
        <v>18.100000000000001</v>
      </c>
      <c r="D103">
        <f t="shared" si="6"/>
        <v>0.73352821102097798</v>
      </c>
      <c r="F103">
        <f t="shared" si="7"/>
        <v>3.61E-2</v>
      </c>
      <c r="G103">
        <v>36.1</v>
      </c>
      <c r="H103">
        <f t="shared" si="8"/>
        <v>0.44529558475952796</v>
      </c>
      <c r="I103">
        <f t="shared" si="8"/>
        <v>0.42293031576531787</v>
      </c>
      <c r="J103">
        <f t="shared" si="8"/>
        <v>0.42556285199395627</v>
      </c>
    </row>
    <row r="104" spans="2:10">
      <c r="B104">
        <f t="shared" si="5"/>
        <v>1.83E-2</v>
      </c>
      <c r="C104">
        <v>18.3</v>
      </c>
      <c r="D104">
        <f t="shared" si="6"/>
        <v>0.73756971935478133</v>
      </c>
      <c r="F104">
        <f t="shared" si="7"/>
        <v>3.6499999999999998E-2</v>
      </c>
      <c r="G104">
        <v>36.5</v>
      </c>
      <c r="H104">
        <f t="shared" si="8"/>
        <v>0.4472333121861567</v>
      </c>
      <c r="I104">
        <f t="shared" si="8"/>
        <v>0.42522033215218685</v>
      </c>
      <c r="J104">
        <f t="shared" si="8"/>
        <v>0.42781016946291778</v>
      </c>
    </row>
    <row r="105" spans="2:10">
      <c r="B105">
        <f t="shared" si="5"/>
        <v>1.8499999999999999E-2</v>
      </c>
      <c r="C105">
        <v>18.5</v>
      </c>
      <c r="D105">
        <f t="shared" si="6"/>
        <v>0.74158920262807593</v>
      </c>
      <c r="F105">
        <f t="shared" si="7"/>
        <v>3.6899999999999995E-2</v>
      </c>
      <c r="G105">
        <v>36.9</v>
      </c>
      <c r="H105">
        <f t="shared" si="8"/>
        <v>0.44916829182952628</v>
      </c>
      <c r="I105">
        <f t="shared" si="8"/>
        <v>0.42749858165377441</v>
      </c>
      <c r="J105">
        <f t="shared" si="8"/>
        <v>0.43004685728184849</v>
      </c>
    </row>
    <row r="106" spans="2:10">
      <c r="B106">
        <f t="shared" si="5"/>
        <v>1.8699999999999998E-2</v>
      </c>
      <c r="C106">
        <v>18.7</v>
      </c>
      <c r="D106">
        <f t="shared" si="6"/>
        <v>0.7455870170543476</v>
      </c>
      <c r="F106">
        <f t="shared" si="7"/>
        <v>3.73E-2</v>
      </c>
      <c r="G106">
        <v>37.299999999999997</v>
      </c>
      <c r="H106">
        <f t="shared" si="8"/>
        <v>0.45110037928742386</v>
      </c>
      <c r="I106">
        <f t="shared" si="8"/>
        <v>0.42976523540096756</v>
      </c>
      <c r="J106">
        <f t="shared" si="8"/>
        <v>0.43227304479309336</v>
      </c>
    </row>
    <row r="107" spans="2:10">
      <c r="B107">
        <f t="shared" si="5"/>
        <v>1.89E-2</v>
      </c>
      <c r="C107">
        <v>18.899999999999999</v>
      </c>
      <c r="D107">
        <f t="shared" si="6"/>
        <v>0.74956350934757654</v>
      </c>
      <c r="F107">
        <f t="shared" si="7"/>
        <v>3.7700000000000004E-2</v>
      </c>
      <c r="G107">
        <v>37.700000000000003</v>
      </c>
      <c r="H107">
        <f t="shared" si="8"/>
        <v>0.45302944016410035</v>
      </c>
      <c r="I107">
        <f t="shared" si="8"/>
        <v>0.43202046066587169</v>
      </c>
      <c r="J107">
        <f t="shared" si="8"/>
        <v>0.43448885942624271</v>
      </c>
    </row>
    <row r="108" spans="2:10">
      <c r="B108">
        <f t="shared" si="5"/>
        <v>1.9100000000000002E-2</v>
      </c>
      <c r="C108">
        <v>19.100000000000001</v>
      </c>
      <c r="D108">
        <f t="shared" si="6"/>
        <v>0.75351901707316526</v>
      </c>
      <c r="F108">
        <f t="shared" si="7"/>
        <v>3.8100000000000002E-2</v>
      </c>
      <c r="G108">
        <v>38.1</v>
      </c>
      <c r="H108">
        <f t="shared" si="8"/>
        <v>0.45495534945198091</v>
      </c>
      <c r="I108">
        <f t="shared" si="8"/>
        <v>0.43426442097158324</v>
      </c>
      <c r="J108">
        <f t="shared" si="8"/>
        <v>0.43669442669870578</v>
      </c>
    </row>
    <row r="109" spans="2:10">
      <c r="B109">
        <f t="shared" si="5"/>
        <v>1.9300000000000001E-2</v>
      </c>
      <c r="C109">
        <v>19.3</v>
      </c>
      <c r="D109">
        <f t="shared" si="6"/>
        <v>0.75745386898237155</v>
      </c>
      <c r="F109">
        <f t="shared" si="7"/>
        <v>3.85E-2</v>
      </c>
      <c r="G109">
        <v>38.5</v>
      </c>
      <c r="H109">
        <f t="shared" si="8"/>
        <v>0.45687799095426218</v>
      </c>
      <c r="I109">
        <f t="shared" si="8"/>
        <v>0.43649727619863887</v>
      </c>
      <c r="J109">
        <f t="shared" si="8"/>
        <v>0.43888987022010223</v>
      </c>
    </row>
    <row r="110" spans="2:10">
      <c r="B110">
        <f t="shared" si="5"/>
        <v>1.95E-2</v>
      </c>
      <c r="C110">
        <v>19.5</v>
      </c>
      <c r="D110">
        <f t="shared" si="6"/>
        <v>0.76136838533118656</v>
      </c>
      <c r="F110">
        <f t="shared" si="7"/>
        <v>3.8899999999999997E-2</v>
      </c>
      <c r="G110">
        <v>38.9</v>
      </c>
      <c r="H110">
        <f t="shared" si="8"/>
        <v>0.45879725674543209</v>
      </c>
      <c r="I110">
        <f t="shared" si="8"/>
        <v>0.43871918268821058</v>
      </c>
      <c r="J110">
        <f t="shared" si="8"/>
        <v>0.44107531170000847</v>
      </c>
    </row>
    <row r="111" spans="2:10">
      <c r="B111">
        <f t="shared" si="5"/>
        <v>1.9699999999999999E-2</v>
      </c>
      <c r="C111">
        <v>19.7</v>
      </c>
      <c r="D111">
        <f t="shared" si="6"/>
        <v>0.7652628781845312</v>
      </c>
      <c r="F111">
        <f t="shared" si="7"/>
        <v>3.9299999999999995E-2</v>
      </c>
      <c r="G111">
        <v>39.299999999999997</v>
      </c>
      <c r="H111">
        <f t="shared" si="8"/>
        <v>0.4607130466669826</v>
      </c>
      <c r="I111">
        <f t="shared" si="8"/>
        <v>0.44093029334212014</v>
      </c>
      <c r="J111">
        <f t="shared" si="8"/>
        <v>0.44325087095864568</v>
      </c>
    </row>
    <row r="112" spans="2:10">
      <c r="B112">
        <f t="shared" si="5"/>
        <v>1.9899999999999998E-2</v>
      </c>
      <c r="C112">
        <v>19.899999999999999</v>
      </c>
      <c r="D112">
        <f t="shared" si="6"/>
        <v>0.76913765170658965</v>
      </c>
      <c r="F112">
        <f t="shared" si="7"/>
        <v>4.4999999999999998E-2</v>
      </c>
      <c r="G112">
        <v>45</v>
      </c>
      <c r="H112">
        <f t="shared" si="8"/>
        <v>0.48759232622729481</v>
      </c>
      <c r="I112">
        <f t="shared" si="8"/>
        <v>0.47134768547125683</v>
      </c>
      <c r="J112">
        <f t="shared" si="8"/>
        <v>0.47324471001328217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Arild Håkonsen</dc:creator>
  <cp:keywords/>
  <dc:description/>
  <cp:lastModifiedBy/>
  <cp:revision/>
  <dcterms:created xsi:type="dcterms:W3CDTF">2026-07-16T07:15:08Z</dcterms:created>
  <dcterms:modified xsi:type="dcterms:W3CDTF">2026-07-23T08:42:43Z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a58698-f344-4198-ab37-f250df3982dd_Enabled">
    <vt:lpwstr>true</vt:lpwstr>
  </property>
  <property fmtid="{D5CDD505-2E9C-101B-9397-08002B2CF9AE}" pid="3" name="MSIP_Label_a4a58698-f344-4198-ab37-f250df3982dd_SetDate">
    <vt:lpwstr>2026-07-17T09:00:48Z</vt:lpwstr>
  </property>
  <property fmtid="{D5CDD505-2E9C-101B-9397-08002B2CF9AE}" pid="4" name="MSIP_Label_a4a58698-f344-4198-ab37-f250df3982dd_Method">
    <vt:lpwstr>Standard</vt:lpwstr>
  </property>
  <property fmtid="{D5CDD505-2E9C-101B-9397-08002B2CF9AE}" pid="5" name="MSIP_Label_a4a58698-f344-4198-ab37-f250df3982dd_Name">
    <vt:lpwstr>GLB Internal</vt:lpwstr>
  </property>
  <property fmtid="{D5CDD505-2E9C-101B-9397-08002B2CF9AE}" pid="6" name="MSIP_Label_a4a58698-f344-4198-ab37-f250df3982dd_SiteId">
    <vt:lpwstr>bc1d8991-4a28-4552-abc1-ace7ae108274</vt:lpwstr>
  </property>
  <property fmtid="{D5CDD505-2E9C-101B-9397-08002B2CF9AE}" pid="7" name="MSIP_Label_a4a58698-f344-4198-ab37-f250df3982dd_ActionId">
    <vt:lpwstr>3bd0f97f-edea-4175-b833-28efb51ab03b</vt:lpwstr>
  </property>
  <property fmtid="{D5CDD505-2E9C-101B-9397-08002B2CF9AE}" pid="8" name="MSIP_Label_a4a58698-f344-4198-ab37-f250df3982dd_ContentBits">
    <vt:lpwstr>0</vt:lpwstr>
  </property>
  <property fmtid="{D5CDD505-2E9C-101B-9397-08002B2CF9AE}" pid="9" name="MSIP_Label_a4a58698-f344-4198-ab37-f250df3982dd_Tag">
    <vt:lpwstr>10, 3, 0, 1</vt:lpwstr>
  </property>
</Properties>
</file>